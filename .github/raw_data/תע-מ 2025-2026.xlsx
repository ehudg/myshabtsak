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vailability matrix" sheetId="1" r:id="rId5"/>
    <sheet state="visible" name="משמרות 05012026" sheetId="2" r:id="rId6"/>
    <sheet state="visible" name="משמרות 04012026" sheetId="3" r:id="rId7"/>
    <sheet state="visible" name="יזומות" sheetId="4" r:id="rId8"/>
    <sheet state="visible" name="משימות" sheetId="5" r:id="rId9"/>
    <sheet state="visible" name="Form Responses 1" sheetId="6" r:id="rId10"/>
    <sheet state="visible" name="משחקים" sheetId="7" r:id="rId11"/>
    <sheet state="visible" name="Sheet2" sheetId="8" r:id="rId12"/>
    <sheet state="visible" name="מקור 9.12.25 of AvailabilityMat" sheetId="9" r:id="rId13"/>
    <sheet state="visible" name="מקור 9.12.25 of Form Responses " sheetId="10" r:id="rId14"/>
  </sheets>
  <definedNames>
    <definedName hidden="1" localSheetId="0" name="_xlnm._FilterDatabase">'availability matrix'!$A$1:$AX$90</definedName>
    <definedName hidden="1" localSheetId="6" name="_xlnm._FilterDatabase">'משחקים'!$A$1:$AX$85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tc={043c400d-4b28-4cf2-b923-c14150a0035f}</author>
    <author>tc={0a49f617-cf98-4a22-9959-27bffbbd3e5c}</author>
    <author>tc={39224fe2-b354-44a0-b877-4b05f8836732}</author>
    <author>tc={447ee71e-522b-4639-b009-9f397e354ca2}</author>
    <author>tc={4b0b0c0d-9c07-4694-83f8-959e1abf5e94}</author>
    <author>tc={4fc0c8a4-0bed-4ac0-8f3b-a0aefeedf621}</author>
    <author>tc={65284327-87f0-43cb-b665-bb3316020034}</author>
    <author>tc={7e14bb7a-46d1-4968-b45b-5c41192f6cb5}</author>
    <author>tc={7ed8359f-9632-43ba-81b2-81c47e39ac04}</author>
    <author>tc={87dfa02d-7b90-45e4-8a62-60e4f6e19c4d}</author>
    <author>tc={c09f60b8-831b-492d-adb0-d1b4e6cc189e}</author>
    <author>tc={de1c3ca8-941c-4952-aac0-ddcda6098bbd}</author>
    <author>tc={e886ed4d-1c9f-4c9a-ba0f-470a072733de}</author>
    <author>tc={fac4ce04-592e-4331-a7d0-7475332c26e2}</author>
  </authors>
  <commentList>
    <comment authorId="0" xr:uid="{043c400d-4b28-4cf2-b923-c14150a0035f}" ref="L13">
      <text>
        <t xml:space="preserve">[Threaded comment]
 Your version of Excel allows you to read this threaded comment; however, any edits to it will get removed if the file is opened in a newer version of Excel. Learn more: https://go.microsoft.com/fwlink/?linkid=870924
Comment:
	אושפז בבית
</t>
      </text>
    </comment>
    <comment authorId="1" xr:uid="{0a49f617-cf98-4a22-9959-27bffbbd3e5c}" ref="AE74">
      <text>
        <t xml:space="preserve">[Threaded comment]
 Your version of Excel allows you to read this threaded comment; however, any edits to it will get removed if the file is opened in a newer version of Excel. Learn more: https://go.microsoft.com/fwlink/?linkid=870924
Comment:
	פרימט מגיע אחה"צ
</t>
      </text>
    </comment>
    <comment authorId="2" xr:uid="{39224fe2-b354-44a0-b877-4b05f8836732}" ref="Y74">
      <text>
        <t xml:space="preserve">[Threaded comment]
 Your version of Excel allows you to read this threaded comment; however, any edits to it will get removed if the file is opened in a newer version of Excel. Learn more: https://go.microsoft.com/fwlink/?linkid=870924
Comment:
	פרימט יוצא בשישי בבוקר מוקדם 0600
</t>
      </text>
    </comment>
    <comment authorId="3" xr:uid="{447ee71e-522b-4639-b009-9f397e354ca2}" ref="R31">
      <text>
        <t xml:space="preserve">[Threaded comment]
 Your version of Excel allows you to read this threaded comment; however, any edits to it will get removed if the file is opened in a newer version of Excel. Learn more: https://go.microsoft.com/fwlink/?linkid=870924
Comment:
	אפטר של 5 שעות
</t>
      </text>
    </comment>
    <comment authorId="4" xr:uid="{4b0b0c0d-9c07-4694-83f8-959e1abf5e94}" ref="AL74">
      <text>
        <t xml:space="preserve">[Threaded comment]
 Your version of Excel allows you to read this threaded comment; however, any edits to it will get removed if the file is opened in a newer version of Excel. Learn more: https://go.microsoft.com/fwlink/?linkid=870924
Comment:
	חוזר בערב
</t>
      </text>
    </comment>
    <comment authorId="5" xr:uid="{4fc0c8a4-0bed-4ac0-8f3b-a0aefeedf621}" ref="AR34">
      <text>
        <t xml:space="preserve">[Threaded comment]
 Your version of Excel allows you to read this threaded comment; however, any edits to it will get removed if the file is opened in a newer version of Excel. Learn more: https://go.microsoft.com/fwlink/?linkid=870924
Comment:
	אפטר בערב של 5 שעות יציאה ב 1800 וחזרה ב 11 בלילה
</t>
      </text>
    </comment>
    <comment authorId="6" xr:uid="{65284327-87f0-43cb-b665-bb3316020034}" ref="AQ70">
      <text>
        <t xml:space="preserve">[Threaded comment]
 Your version of Excel allows you to read this threaded comment; however, any edits to it will get removed if the file is opened in a newer version of Excel. Learn more: https://go.microsoft.com/fwlink/?linkid=870924
Comment:
	חוזר מאוחר אחרי טקס
</t>
      </text>
    </comment>
    <comment authorId="7" xr:uid="{7e14bb7a-46d1-4968-b45b-5c41192f6cb5}" ref="N74">
      <text>
        <t xml:space="preserve">[Threaded comment]
 Your version of Excel allows you to read this threaded comment; however, any edits to it will get removed if the file is opened in a newer version of Excel. Learn more: https://go.microsoft.com/fwlink/?linkid=870924
Comment:
	יציאה מאוחרת בלילה אחרי משמרות במקום שלישי בבוקר
</t>
      </text>
    </comment>
    <comment authorId="8" xr:uid="{7ed8359f-9632-43ba-81b2-81c47e39ac04}" ref="AM74">
      <text>
        <t xml:space="preserve">[Threaded comment]
 Your version of Excel allows you to read this threaded comment; however, any edits to it will get removed if the file is opened in a newer version of Excel. Learn more: https://go.microsoft.com/fwlink/?linkid=870924
Comment:
	אפטר בצהריים -
</t>
      </text>
    </comment>
    <comment authorId="9" xr:uid="{87dfa02d-7b90-45e4-8a62-60e4f6e19c4d}" ref="AL14">
      <text>
        <t xml:space="preserve">[Threaded comment]
 Your version of Excel allows you to read this threaded comment; however, any edits to it will get removed if the file is opened in a newer version of Excel. Learn more: https://go.microsoft.com/fwlink/?linkid=870924
Comment:
	רונן - נא לאפשר לאיגור לצאת ברביעי בלילה אם אפשרי. אחרת - חמישי לפנות בוקר לכל המאוחר.
</t>
      </text>
    </comment>
    <comment authorId="10" xr:uid="{c09f60b8-831b-492d-adb0-d1b4e6cc189e}" ref="Z31">
      <text>
        <t xml:space="preserve">[Threaded comment]
 Your version of Excel allows you to read this threaded comment; however, any edits to it will get removed if the file is opened in a newer version of Excel. Learn more: https://go.microsoft.com/fwlink/?linkid=870924
Comment:
	חזרה למשמרת של הצהריים. אם אפשר אז מאוחר יותר.
</t>
      </text>
    </comment>
    <comment authorId="11" xr:uid="{de1c3ca8-941c-4952-aac0-ddcda6098bbd}" ref="Z62">
      <text>
        <t xml:space="preserve">[Threaded comment]
 Your version of Excel allows you to read this threaded comment; however, any edits to it will get removed if the file is opened in a newer version of Excel. Learn more: https://go.microsoft.com/fwlink/?linkid=870924
Comment:
	יציאה במוצ"ש
</t>
      </text>
    </comment>
    <comment authorId="12" xr:uid="{e886ed4d-1c9f-4c9a-ba0f-470a072733de}" ref="AH74">
      <text>
        <t xml:space="preserve">[Threaded comment]
 Your version of Excel allows you to read this threaded comment; however, any edits to it will get removed if the file is opened in a newer version of Excel. Learn more: https://go.microsoft.com/fwlink/?linkid=870924
Comment:
	יוצא לאפטר אחה"צ
</t>
      </text>
    </comment>
    <comment authorId="13" xr:uid="{fac4ce04-592e-4331-a7d0-7475332c26e2}" ref="AK72">
      <text>
        <t xml:space="preserve">[Threaded comment]
 Your version of Excel allows you to read this threaded comment; however, any edits to it will get removed if the file is opened in a newer version of Excel. Learn more: https://go.microsoft.com/fwlink/?linkid=870924
Comment:
	עמיר מלכי יוצא לאפטר משעות הבוקר 06:00 עד אחה"צ באישור.
</t>
      </text>
    </comment>
  </commentList>
</comments>
</file>

<file path=xl/sharedStrings.xml><?xml version="1.0" encoding="utf-8"?>
<sst xmlns="http://schemas.openxmlformats.org/spreadsheetml/2006/main" count="3354" uniqueCount="566">
  <si>
    <t>שם</t>
  </si>
  <si>
    <t>יום 1 (05/01) 06-14</t>
  </si>
  <si>
    <t>יום 1 (05/01) 14-22</t>
  </si>
  <si>
    <t>יום 1 (05/01) 22-06</t>
  </si>
  <si>
    <t>יום 2 (06/01) 06-14</t>
  </si>
  <si>
    <t>יום 2 (06/01) 14-22</t>
  </si>
  <si>
    <t>יום 2 (06/01) 22-06</t>
  </si>
  <si>
    <t>יום 3 (07/01) 06-14</t>
  </si>
  <si>
    <t>יום 3 (07/01) 14-22</t>
  </si>
  <si>
    <t>יום 3 (07/01) 22-06</t>
  </si>
  <si>
    <t>יום 1 (04/01) 06-14</t>
  </si>
  <si>
    <t>יום 1 (04/01) 14-22</t>
  </si>
  <si>
    <t>יום 1 (04/01) 22-06</t>
  </si>
  <si>
    <t>יום 2 (05/01) 06-14</t>
  </si>
  <si>
    <t>יום 2 (05/01) 14-22</t>
  </si>
  <si>
    <t>יום 2 (05/01) 22-06</t>
  </si>
  <si>
    <t>יום 3 (06/01) 06-14</t>
  </si>
  <si>
    <t>יום 3 (06/01) 14-22</t>
  </si>
  <si>
    <t>יום 3 (06/01) 22-06</t>
  </si>
  <si>
    <t>uu</t>
  </si>
  <si>
    <t>השלם ידנית</t>
  </si>
  <si>
    <t>יזומות</t>
  </si>
  <si>
    <t>זמין</t>
  </si>
  <si>
    <t>לא זמין</t>
  </si>
  <si>
    <t>שם מלא</t>
  </si>
  <si>
    <t>צוות</t>
  </si>
  <si>
    <t>נוכחות</t>
  </si>
  <si>
    <t>Role</t>
  </si>
  <si>
    <t>1/4</t>
  </si>
  <si>
    <t>1/5</t>
  </si>
  <si>
    <t>1/6</t>
  </si>
  <si>
    <t>1/7</t>
  </si>
  <si>
    <t>1/8</t>
  </si>
  <si>
    <t>1/9</t>
  </si>
  <si>
    <t>ש</t>
  </si>
  <si>
    <t>א</t>
  </si>
  <si>
    <t>ב</t>
  </si>
  <si>
    <t>ג</t>
  </si>
  <si>
    <t>ד</t>
  </si>
  <si>
    <t>ה</t>
  </si>
  <si>
    <t>ו</t>
  </si>
  <si>
    <t>תחילת נוה"ק</t>
  </si>
  <si>
    <t>יום לפני 1800</t>
  </si>
  <si>
    <t>0700</t>
  </si>
  <si>
    <t>שעת יציאה</t>
  </si>
  <si>
    <t>0800</t>
  </si>
  <si>
    <t>1200</t>
  </si>
  <si>
    <t>סיום</t>
  </si>
  <si>
    <t>1600</t>
  </si>
  <si>
    <t>2000</t>
  </si>
  <si>
    <t>סד"כ</t>
  </si>
  <si>
    <t>1+7</t>
  </si>
  <si>
    <t>3+9</t>
  </si>
  <si>
    <t>2+8</t>
  </si>
  <si>
    <t>מפקד</t>
  </si>
  <si>
    <t>ניר שטראוס</t>
  </si>
  <si>
    <t>עומר נוי</t>
  </si>
  <si>
    <t>סגן</t>
  </si>
  <si>
    <t>אייל שביט</t>
  </si>
  <si>
    <t>אריאל דהן</t>
  </si>
  <si>
    <t>אביב כספי</t>
  </si>
  <si>
    <t>תומר גינוסר</t>
  </si>
  <si>
    <t>תומר אדלשטיין</t>
  </si>
  <si>
    <t>חיילים</t>
  </si>
  <si>
    <t>יואב שאשא</t>
  </si>
  <si>
    <t>אורי שמע</t>
  </si>
  <si>
    <t>רומן שפיגלמן</t>
  </si>
  <si>
    <t>סהר בן משה</t>
  </si>
  <si>
    <t>אלכס ברודסקי</t>
  </si>
  <si>
    <t>רועי לוי</t>
  </si>
  <si>
    <t>איגור רייכלין</t>
  </si>
  <si>
    <t>איתי גנז</t>
  </si>
  <si>
    <t>נתנאל רייבי</t>
  </si>
  <si>
    <t>אריק גרטי</t>
  </si>
  <si>
    <t>אהוד סלע</t>
  </si>
  <si>
    <t>גלעד שלו</t>
  </si>
  <si>
    <t>נועם מעודה</t>
  </si>
  <si>
    <t>גטנך</t>
  </si>
  <si>
    <t>יונתן בן עמי</t>
  </si>
  <si>
    <t>לא נוכח</t>
  </si>
  <si>
    <t>יורי לוינסון</t>
  </si>
  <si>
    <t>רצף ארוך ביותר</t>
  </si>
  <si>
    <t>דורון פרימט</t>
  </si>
  <si>
    <t>דודי כמוס</t>
  </si>
  <si>
    <t>עופר נחום</t>
  </si>
  <si>
    <t>רועי מלך</t>
  </si>
  <si>
    <t>שי אקר</t>
  </si>
  <si>
    <t>Com1</t>
  </si>
  <si>
    <t>תרחיש מרווח</t>
  </si>
  <si>
    <t>תרחיש מינימום בלי רווח</t>
  </si>
  <si>
    <t>משמרת 1</t>
  </si>
  <si>
    <t>מינימום ימים במוצב כולל אל"ת</t>
  </si>
  <si>
    <t>נהג</t>
  </si>
  <si>
    <t>אדלשטין תומר</t>
  </si>
  <si>
    <t>Sol</t>
  </si>
  <si>
    <t>חייל</t>
  </si>
  <si>
    <t>חיילים שנמצאים בערב בבסיס (אחרי החלפות)</t>
  </si>
  <si>
    <t>מינימום מ"כים/סמלים</t>
  </si>
  <si>
    <t>סה"כ HM</t>
  </si>
  <si>
    <t>סה"כ HPK</t>
  </si>
  <si>
    <t>סה"כ RSP</t>
  </si>
  <si>
    <t>סה"כ Off1</t>
  </si>
  <si>
    <t>משמרת 2</t>
  </si>
  <si>
    <t>סה"כ Off2</t>
  </si>
  <si>
    <t>מפקדים להוצאת משימות</t>
  </si>
  <si>
    <t>HPK + HM</t>
  </si>
  <si>
    <t>סה"כ לוחמים למשימות</t>
  </si>
  <si>
    <t>סה"כ Sol</t>
  </si>
  <si>
    <t>סה"כ Com1</t>
  </si>
  <si>
    <t>סה"כ Com2</t>
  </si>
  <si>
    <t>אהוד גרנד</t>
  </si>
  <si>
    <t>משמרת 3</t>
  </si>
  <si>
    <t>HPK</t>
  </si>
  <si>
    <t>ממ</t>
  </si>
  <si>
    <t>אופיר יצחקי</t>
  </si>
  <si>
    <t>מפקדה</t>
  </si>
  <si>
    <t>Off1</t>
  </si>
  <si>
    <t>אור זורע</t>
  </si>
  <si>
    <t>כרמל</t>
  </si>
  <si>
    <t>אור כהן</t>
  </si>
  <si>
    <t>Timestamp</t>
  </si>
  <si>
    <t>מספר אישי</t>
  </si>
  <si>
    <t>יזומה</t>
  </si>
  <si>
    <t>בקשה 1 - מתאריך</t>
  </si>
  <si>
    <t>ועד לתאריך:</t>
  </si>
  <si>
    <t>סיבת הבקשה</t>
  </si>
  <si>
    <t>האם נדרשת יציאה מהארץ במהלך תאריכים אלו</t>
  </si>
  <si>
    <t>בקשה 2 - מתאריך</t>
  </si>
  <si>
    <t>ועד לתאריך2:</t>
  </si>
  <si>
    <t>סיבת הבקשה 2</t>
  </si>
  <si>
    <t>האם נדרשת יציאה מהארץ במהלך תאריכים אלו 2</t>
  </si>
  <si>
    <t>בקשה 3- מתאריך</t>
  </si>
  <si>
    <t>ועד לתאריך3:</t>
  </si>
  <si>
    <t>סיבת הבקשה 3</t>
  </si>
  <si>
    <t>האם נדרשת יציאה מהארץ במהלך תאריכים אלו 3</t>
  </si>
  <si>
    <t>הערות נוספות</t>
  </si>
  <si>
    <t>חפק</t>
  </si>
  <si>
    <t>הערות שלנו</t>
  </si>
  <si>
    <t>מ"פ</t>
  </si>
  <si>
    <t>משמרת 24/7</t>
  </si>
  <si>
    <t>אור קורקוס</t>
  </si>
  <si>
    <t>נהג חפק</t>
  </si>
  <si>
    <t>N/A</t>
  </si>
  <si>
    <t>מור גבעון</t>
  </si>
  <si>
    <t>035925205</t>
  </si>
  <si>
    <t>חייל חפק</t>
  </si>
  <si>
    <t>HM</t>
  </si>
  <si>
    <t xml:space="preserve">חופשה </t>
  </si>
  <si>
    <t>לא</t>
  </si>
  <si>
    <t>חמ"ל</t>
  </si>
  <si>
    <t>קצין חמ"ל</t>
  </si>
  <si>
    <t>אוראל קהלני</t>
  </si>
  <si>
    <t>סמב"צ</t>
  </si>
  <si>
    <t>קצין/חייל</t>
  </si>
  <si>
    <t>ש"ג</t>
  </si>
  <si>
    <t>יום הולדת לאישה סגרתי חופשה</t>
  </si>
  <si>
    <t>רס"פ</t>
  </si>
  <si>
    <t>רספ</t>
  </si>
  <si>
    <t>לוודא תאריכים. היו תאריכים חוצי שנים</t>
  </si>
  <si>
    <t>טיפולי רכב/עופר</t>
  </si>
  <si>
    <t>בר רזיאל</t>
  </si>
  <si>
    <t>יתירות</t>
  </si>
  <si>
    <t>סופש יומולדת 30 שנזגר לפני קבלת הצו צריך לצאת ב24 בצהריים</t>
  </si>
  <si>
    <t>חתונה של בן דוד שלי צריך לצאת ב20 בצהריים ויכול לחזור ב21 בצהריים</t>
  </si>
  <si>
    <t>בר מצווה של בן דוד שלי יכול לצאת ב28 בערב</t>
  </si>
  <si>
    <t>אורן קלדניצקי</t>
  </si>
  <si>
    <t>איגור ראיכלין</t>
  </si>
  <si>
    <t>חופשה מתוכננת מראש</t>
  </si>
  <si>
    <t>כן</t>
  </si>
  <si>
    <t>ארוע משפחתי</t>
  </si>
  <si>
    <t>צביקה פרידמן</t>
  </si>
  <si>
    <t>עבודה ,אינני יכול להיעדר מהעבודה בתאריכים אלו ,סוף ותחילת שנה ,פשוט בלתי אפשרי.</t>
  </si>
  <si>
    <t>אירוע משפחתי</t>
  </si>
  <si>
    <t>חייל/נהג</t>
  </si>
  <si>
    <t>אייל ברק</t>
  </si>
  <si>
    <t>סער שירן</t>
  </si>
  <si>
    <t>מבחן חשוב שנה אחרונה</t>
  </si>
  <si>
    <t xml:space="preserve">מבחן </t>
  </si>
  <si>
    <t>לצאת יומיות בשל כך שיש לי תינוקת בת חודשים בבית</t>
  </si>
  <si>
    <t>אליקו אנג'ל</t>
  </si>
  <si>
    <t>מבוקש להיות זמין להגעה לעבודה יום-יום בתקופה הנ"ל. במקום העבודה שלי המנהלים מעליי לא יהיו בארץ, והתבקשתי לנוכחות פיזית.</t>
  </si>
  <si>
    <t>חמל</t>
  </si>
  <si>
    <t>ברוך ליאור</t>
  </si>
  <si>
    <t>חד הורי { הילדים אצלי }</t>
  </si>
  <si>
    <t>אילן הראל</t>
  </si>
  <si>
    <t>Off2</t>
  </si>
  <si>
    <t>ליאור ברוך</t>
  </si>
  <si>
    <t>אילן פרג</t>
  </si>
  <si>
    <t>RSP</t>
  </si>
  <si>
    <t>הנחות עבודה</t>
  </si>
  <si>
    <t>100 אחראים לעבודות רס"ר בבסיס</t>
  </si>
  <si>
    <t>אילן שקלרש</t>
  </si>
  <si>
    <t>300 אחראים ל מטבח</t>
  </si>
  <si>
    <t>יזומה בנוסף לאנשי כרמל</t>
  </si>
  <si>
    <t>פגישת הכנה לניתוח +ניתוח לבת שלי</t>
  </si>
  <si>
    <t xml:space="preserve">חמ"ל מאויש על ידי 2 אנשים 6/6. בעת ארוע אמת - שניהם בחמ"ל. </t>
  </si>
  <si>
    <t>עדיפות שקצין יהיה בכרמל או ב 100</t>
  </si>
  <si>
    <t>עזרה בבית</t>
  </si>
  <si>
    <t>רץ חמל 20:00 - 06:00</t>
  </si>
  <si>
    <t>חפ"ק מסומנים. במידה ויש פחות מ 3 אנשים - נצטרך השלמה או מהלוחמים האחרים או שאילן ורון יהיו יחד</t>
  </si>
  <si>
    <t>בכללי נדרש לעזור בבית ויכול להיות זמין לשבוע מלבד שבוע האלת, מעבר לכך לא יכול להיות זמין</t>
  </si>
  <si>
    <t>אזכרה</t>
  </si>
  <si>
    <t xml:space="preserve">חתונה </t>
  </si>
  <si>
    <t>ארז ברעם</t>
  </si>
  <si>
    <t>אליעזר כהנא</t>
  </si>
  <si>
    <t>???</t>
  </si>
  <si>
    <t>מעוניין לעשות רצוף. ולצאת את היציאה האחרונה.</t>
  </si>
  <si>
    <t>אריה גרטי</t>
  </si>
  <si>
    <t>ארוע</t>
  </si>
  <si>
    <t>דוד קושניר</t>
  </si>
  <si>
    <t>חנוכה</t>
  </si>
  <si>
    <t>יום הולדת לבן שלי</t>
  </si>
  <si>
    <t>ניתוח</t>
  </si>
  <si>
    <t xml:space="preserve">ינאי כהן </t>
  </si>
  <si>
    <t>Com2</t>
  </si>
  <si>
    <t xml:space="preserve">טיפול בילדים עקב היעדרות של אשתי מהבית </t>
  </si>
  <si>
    <t>עומס בעבודה</t>
  </si>
  <si>
    <t xml:space="preserve">אם עכשיו אעלם מהעבודה לתקופה כה ממושכת בעיצומו של הפרוייקט, אז ההנהלה עלולה להחליף אותי בקולגות מהסניף שבחו''ל  ואז אני מסתכן בעיבוד המשרה בהמשך, לכן אני חייב להופיע במשרד כל כמה זמן לימים רציפים </t>
  </si>
  <si>
    <t xml:space="preserve">רועי סלע </t>
  </si>
  <si>
    <t>תפקיד חדש בעבודה</t>
  </si>
  <si>
    <t>תפקיד ניהולי חדש בעבודה. ביקשתי את המינימום הנדרש. אשמח להתחשבות</t>
  </si>
  <si>
    <t>אסף אונונו</t>
  </si>
  <si>
    <t>נתן איפרגן</t>
  </si>
  <si>
    <t>תחילת עבודה חדשה לאחר אבטלה של 8 חוד, בנוסף בלימודי מנהל עבודה בבניה הנדסית, כשהחודשיים הקרובים הם המסה של הלימודיים הכוללים מבחנים</t>
  </si>
  <si>
    <t>רוצה לצרף מכתב מהמעביד לאמור</t>
  </si>
  <si>
    <t>דמיטרי ויסבורד</t>
  </si>
  <si>
    <t>נובי גוד (שנה אזרחית חדשה)</t>
  </si>
  <si>
    <t>ב 14.01 מבחן מחוננים אצל אחת הבנות</t>
  </si>
  <si>
    <t xml:space="preserve">לי ואן ספיר </t>
  </si>
  <si>
    <t>ארז אוחנה פורטנוי</t>
  </si>
  <si>
    <t>כנס מנהלים של התנועה הקיבוצית (אני מנהל קהילה)</t>
  </si>
  <si>
    <t>תרגיל צח"י ישובי (אני ראש צח"י)</t>
  </si>
  <si>
    <t>פרימט דורון</t>
  </si>
  <si>
    <t>אילוצים במקום העבודה</t>
  </si>
  <si>
    <t>פרויקט אישי בו אני מדריך ילדים על הרצף</t>
  </si>
  <si>
    <t>אהלן, אןכל לבצע את המילואים מתאריך 21/12- 8/1(אולי אוכל לתת עוד כמה ימים) אצטרך גמישות בגלל העבודה השנייה  שלי, הדרכת אופניים לילדים על הרצף ונוער בסיכון ולכן בתאריכים הנל אצטרך לצאת לכמה שעות
26/12
28/1
301</t>
  </si>
  <si>
    <t>גטנך סיסאי</t>
  </si>
  <si>
    <t>ביקור רפואי עבור האישה</t>
  </si>
  <si>
    <t>דוד שולמן</t>
  </si>
  <si>
    <t>טקס סיום קורס קצינים של הבת</t>
  </si>
  <si>
    <t>ניתוח לבן שלי</t>
  </si>
  <si>
    <t xml:space="preserve">עבודה </t>
  </si>
  <si>
    <t xml:space="preserve">אורן קלדניצקי </t>
  </si>
  <si>
    <t>אריאל דדון</t>
  </si>
  <si>
    <t xml:space="preserve">סקי בגאורגיה </t>
  </si>
  <si>
    <t>אהוד  גרנד</t>
  </si>
  <si>
    <t>אירוע נשפחתי</t>
  </si>
  <si>
    <t>חו״ל</t>
  </si>
  <si>
    <t>בקשה 1 טרם נסגר סופית ויתכן שינויים מינורים בתאריכים, אשתדל להימנע מהנסיעה .
בקשה 2 מתקיים בסיום התעסוקה ויתכן ויהיה על ימי העיבוד- הוזמנו כרטיסים- חוסר גמישות בתאריכים .</t>
  </si>
  <si>
    <t xml:space="preserve">ניר שטראוס </t>
  </si>
  <si>
    <t xml:space="preserve">ככלל אם ניתן לקבל חופש בימי השבוע, מוכן להתנדב לסופשים. </t>
  </si>
  <si>
    <t>מבחן</t>
  </si>
  <si>
    <t>נועם גולדברג</t>
  </si>
  <si>
    <t>אני לא אוכל להגיע לכל הקו לצערי והודעתי שאוכל להגיע עד ה11/1</t>
  </si>
  <si>
    <t>שלמה גולן</t>
  </si>
  <si>
    <t>דיון חשוב בבית משפט</t>
  </si>
  <si>
    <t>עליה לתורה של נער שאני מלמד לבר מצווה</t>
  </si>
  <si>
    <t>בר מצווה של בן אחותי</t>
  </si>
  <si>
    <t>ניר קרניאל</t>
  </si>
  <si>
    <t>חג המולד - משפחה של אשתי חוגגים חד המולד (אמא נוצריה)</t>
  </si>
  <si>
    <t>חג המולד, המשפחה של אישתי חוגגים כי אמא שלה נוצרייה</t>
  </si>
  <si>
    <t xml:space="preserve">תור לרופא של הבן שלי </t>
  </si>
  <si>
    <t>יורי לוינזון</t>
  </si>
  <si>
    <t>בן שלמה קורקוס</t>
  </si>
  <si>
    <t>בתקופה הזאת אני שוהה בקוריאה אצל הלקוח של החברה שלי ( יוצא לשם שבוע הבא, לקראת 11.12). אני משגיח שם על ההתקנה של המכונה הראשונה של הסטארטאפ בו אני עובד ולא יכול להגיע ב21.12 
חוזר ארצה בסוף דצמבר
עדכנתי את ניר עוד לפני חודש</t>
  </si>
  <si>
    <t>אם ניתן, אשמח לחזור לשגרה ללא ימי הסתגלות</t>
  </si>
  <si>
    <t>מבדק חיצוני בחברה</t>
  </si>
  <si>
    <t>תחרות באילת</t>
  </si>
  <si>
    <t xml:space="preserve">אדלשטין תומר </t>
  </si>
  <si>
    <t xml:space="preserve">בדיקות הריון של אשתי </t>
  </si>
  <si>
    <t>בר ינוקא</t>
  </si>
  <si>
    <t xml:space="preserve">בדיקה מיוחדת של הילדה </t>
  </si>
  <si>
    <t xml:space="preserve">יש לי מפגש חשוב בקורס מקצועי בעבודה ב 28.12 - אבקש לצאת מוקדם בבוקר ישירות לשם (ת״א) ולחזור למחרת בבוקר - יציאה של יום אחד. </t>
  </si>
  <si>
    <t xml:space="preserve">יש לאשתי כנס חשוב בעבודה שמתקיים בירושלים - אבקש לצאת מוקדם בבוקר (לכל המאוחר עד השעה 5:00 בבוקר כדי להספיק ולארגן את הילדים למסגרות ולחזור למחרת בבוקר (1.1.26) - יציאה של יום אחד. </t>
  </si>
  <si>
    <t>ככלל, אשמח מאוד, אם יהיה ניתן, שהיציאות הביתה בקו יהיו ע״ח ימי חול ככל הניתן (א׳ - ה׳) ולא בסופי שבוע, כיוון שאשתי צריכה עזרה עם הילדים הקטנים במהלך השבוע ואין לנו עזרה מהמשפחה לכך.</t>
  </si>
  <si>
    <t>נעם שחם</t>
  </si>
  <si>
    <t>אשתי נכנסת לחודש 9 בתאריך 29/12</t>
  </si>
  <si>
    <t>אשתי מתחילה את שבוע 37 בתאריך 29/12</t>
  </si>
  <si>
    <t>טקס סיום קורס קצינים של הבן שלי</t>
  </si>
  <si>
    <t>לצורך עבודה חיונית מאוד בכל יום ראשון משעה מוקדמת ועד הערב, מבקש לצאת בשבתות בצהריים/אחה"צ, אם ניתן בסביבות 14:00/15:00 ולחזור בימי שני אם ניתן בסביבות 14:00.</t>
  </si>
  <si>
    <t>יציאה לימי הולדת של אישתי ובני, יציאה בחמישי, אם אפשר בבוקר או בצהריים, וחזרה ביום שישי בצהריים.</t>
  </si>
  <si>
    <t>שי לוגאסי</t>
  </si>
  <si>
    <t xml:space="preserve">טיסה לחול </t>
  </si>
  <si>
    <t>חתונה חשובה</t>
  </si>
  <si>
    <t>גדעון חזן</t>
  </si>
  <si>
    <t>הרצאה חשובה שאני מעביר ברביעי, ביקור תלמידים בבית הספר בחמישי, עזרה בבית לשבת, ושבת משפחתית</t>
  </si>
  <si>
    <t xml:space="preserve">עזרה לשבת, שבת משפחתית, הוראה בבית הספר בראשון-שני (אני לחוץ על הגשת בגרויות), הרצאת סיום קורס שאני מעביר בשלישי. </t>
  </si>
  <si>
    <t xml:space="preserve">ברביעי- סיום תכנית שעמדתי בראשה ופרידה מהקבוצה, חלוקת תעודות מחצית בחמישי. </t>
  </si>
  <si>
    <t>כל שבת בבית תהיה מבורכת (:</t>
  </si>
  <si>
    <t>אני בחול 24-29 ואז יש פה חגיגות שבאה משפחה מרוסיה לחגוג לסבתא שלי בת ה90) אז אם אפשר להתחיל ב2.1 יהיה טוב</t>
  </si>
  <si>
    <t>גיל ועקנין</t>
  </si>
  <si>
    <t>גליל עוז שימעון</t>
  </si>
  <si>
    <t>חתונה של בן דוד שלי</t>
  </si>
  <si>
    <t>חופשה</t>
  </si>
  <si>
    <t xml:space="preserve">יואב שאשא </t>
  </si>
  <si>
    <t xml:space="preserve">מבדק בעבודה </t>
  </si>
  <si>
    <t>תור לרופא קשב וריכוז  ב 15/01. יום הולדת לבן ב 19/01</t>
  </si>
  <si>
    <t xml:space="preserve">מבדק דקרא בעבודה </t>
  </si>
  <si>
    <t>תור לרופא הפרעת קשב וריכוז</t>
  </si>
  <si>
    <t>יום הולדת של הבן</t>
  </si>
  <si>
    <t>טעיתי בתאריך התור לרופא במילוי טופס הקודם, אנא להתעלם מהקודם</t>
  </si>
  <si>
    <t>יוסי פניאס</t>
  </si>
  <si>
    <t>חגי  אופק</t>
  </si>
  <si>
    <t>חול עבודה. כנס</t>
  </si>
  <si>
    <t>כרמל אבני</t>
  </si>
  <si>
    <t>טל אופק</t>
  </si>
  <si>
    <t>התחייבות קודמת (הדרכת קבוצה)</t>
  </si>
  <si>
    <t>ידידיה שגיב</t>
  </si>
  <si>
    <t>הדרכת טיולים (תחייבות קודמת)</t>
  </si>
  <si>
    <t>הדרכת טיול התחייבות קודמת</t>
  </si>
  <si>
    <t>יובל שדמה</t>
  </si>
  <si>
    <t xml:space="preserve">עבודה עצמאית של בת זוג </t>
  </si>
  <si>
    <t>סבב יציאות מותאם לעבודה עצמאית של בת זוגי</t>
  </si>
  <si>
    <t>סבב יציאות מותאם צרכים</t>
  </si>
  <si>
    <t>אצטרך לצאת ב20.1 ו27.1 ימי שלישי בשביל לאפשר לבת זוג שלי להתחיל עבודה חדשה</t>
  </si>
  <si>
    <t>מבדק איכות בחברה</t>
  </si>
  <si>
    <t>הסדרי ראיה עם ביתי אגם כל חמשוש שני עד יום ראשון. חזרה לבסיס בשני בבוקר.</t>
  </si>
  <si>
    <t>זהה לבקשה הראשונה</t>
  </si>
  <si>
    <t>ינאי כהן</t>
  </si>
  <si>
    <t>ביתי היא ילדה בת 10 וחצי ומאובחנת על הרצף האוטיסטי. שימור הסדרי הראיה חשוב לנו במאוד לשימור היציבות והעיקביות בחייה. 
תודה מראש</t>
  </si>
  <si>
    <t>תומר קימלוב</t>
  </si>
  <si>
    <t>אשתי בחול. לפחות בחלק מהימים האלו להיות איתם</t>
  </si>
  <si>
    <t>אירוע בערב</t>
  </si>
  <si>
    <t>אשתי בחול בין ה 31.12 ועד ה 11.1. אבקש להיות בחלק מהתקופה הזו בבית.</t>
  </si>
  <si>
    <t>לי ואן ספיר</t>
  </si>
  <si>
    <t>תרגיל כוננות גדול ביישוב והתחייבויות קודמות</t>
  </si>
  <si>
    <t>שלומית אטיה</t>
  </si>
  <si>
    <t>רופאת נשיפ</t>
  </si>
  <si>
    <t>משה  אפל</t>
  </si>
  <si>
    <t>אברהם נזרי</t>
  </si>
  <si>
    <t>נועם שלום מעודה</t>
  </si>
  <si>
    <t>מתן  גורן</t>
  </si>
  <si>
    <t>סנטיאגו מן</t>
  </si>
  <si>
    <t>עופר גייר</t>
  </si>
  <si>
    <t>עידו סליק</t>
  </si>
  <si>
    <t>8622878</t>
  </si>
  <si>
    <t>עמיר מלכי</t>
  </si>
  <si>
    <t>רודינסקי יבגני</t>
  </si>
  <si>
    <t>רון יפהר</t>
  </si>
  <si>
    <t>רונן שקלרק</t>
  </si>
  <si>
    <t>רועי וקנין</t>
  </si>
  <si>
    <t>רועי  לוי</t>
  </si>
  <si>
    <t>שלמה  אנגלסטר</t>
  </si>
  <si>
    <t>תומר גנוסר</t>
  </si>
  <si>
    <t>גיל וקנין</t>
  </si>
  <si>
    <t>5053743</t>
  </si>
  <si>
    <t>עדי אדאטו</t>
  </si>
  <si>
    <t>בנוסף אשמח שלא להיות משובצת ב-28.1, במידה ועוד תופסים את הקו.</t>
  </si>
  <si>
    <t>ביקש לעשות שבוע שבוע בגלל ילדים בחינוך ביתי</t>
  </si>
  <si>
    <t>שם פרטי</t>
  </si>
  <si>
    <t>שם משפחה</t>
  </si>
  <si>
    <t>אביב</t>
  </si>
  <si>
    <t>כספי</t>
  </si>
  <si>
    <t>אברהם</t>
  </si>
  <si>
    <t>נזרי</t>
  </si>
  <si>
    <t>אהוד</t>
  </si>
  <si>
    <t>סלע</t>
  </si>
  <si>
    <t xml:space="preserve">אהוד </t>
  </si>
  <si>
    <t>גרנד</t>
  </si>
  <si>
    <t>אופיר</t>
  </si>
  <si>
    <t>יצחקי</t>
  </si>
  <si>
    <t>4388611</t>
  </si>
  <si>
    <t>אור</t>
  </si>
  <si>
    <t>זורע</t>
  </si>
  <si>
    <t>כהן</t>
  </si>
  <si>
    <t>7301390</t>
  </si>
  <si>
    <t xml:space="preserve">קורקוס </t>
  </si>
  <si>
    <t>אוראל</t>
  </si>
  <si>
    <t>קהלני</t>
  </si>
  <si>
    <t>אורי</t>
  </si>
  <si>
    <t>שמע</t>
  </si>
  <si>
    <t>אורן</t>
  </si>
  <si>
    <t>קלדניצקי</t>
  </si>
  <si>
    <t>איגור</t>
  </si>
  <si>
    <t>ראיכלין</t>
  </si>
  <si>
    <t>אייל</t>
  </si>
  <si>
    <t>ברק</t>
  </si>
  <si>
    <t>שביט</t>
  </si>
  <si>
    <t>אילן</t>
  </si>
  <si>
    <t>הראל</t>
  </si>
  <si>
    <t>פרג</t>
  </si>
  <si>
    <t>שקלרק</t>
  </si>
  <si>
    <t>איתי</t>
  </si>
  <si>
    <t>גנז</t>
  </si>
  <si>
    <t>אליהו</t>
  </si>
  <si>
    <t>אנג'ל</t>
  </si>
  <si>
    <t>אליעזר</t>
  </si>
  <si>
    <t>כהנא</t>
  </si>
  <si>
    <t>אלכס</t>
  </si>
  <si>
    <t>ברודסקי</t>
  </si>
  <si>
    <t>אסף</t>
  </si>
  <si>
    <t>אונונו</t>
  </si>
  <si>
    <t>ארז</t>
  </si>
  <si>
    <t>ברעם</t>
  </si>
  <si>
    <t>אוחנה פורטנוי</t>
  </si>
  <si>
    <t>אריאל</t>
  </si>
  <si>
    <t>דהן</t>
  </si>
  <si>
    <t xml:space="preserve">אריאל </t>
  </si>
  <si>
    <t>דדון</t>
  </si>
  <si>
    <t>אריק</t>
  </si>
  <si>
    <t>גרטי</t>
  </si>
  <si>
    <t>בן שלמה</t>
  </si>
  <si>
    <t>קורקוס</t>
  </si>
  <si>
    <t>בנימין</t>
  </si>
  <si>
    <t>סיסאיי</t>
  </si>
  <si>
    <t>בר</t>
  </si>
  <si>
    <t>רזיאל</t>
  </si>
  <si>
    <t>ינוקא</t>
  </si>
  <si>
    <t>גדעון</t>
  </si>
  <si>
    <t>חזן</t>
  </si>
  <si>
    <t>גליל עוז</t>
  </si>
  <si>
    <t>שימעון</t>
  </si>
  <si>
    <t>גלעד</t>
  </si>
  <si>
    <t>שלו</t>
  </si>
  <si>
    <t>דוד</t>
  </si>
  <si>
    <t>שולמן</t>
  </si>
  <si>
    <t>דודי</t>
  </si>
  <si>
    <t>כמוס</t>
  </si>
  <si>
    <t>דורון</t>
  </si>
  <si>
    <t>פרימט</t>
  </si>
  <si>
    <t>דמיטרי בצלאל</t>
  </si>
  <si>
    <t>ויסבורד</t>
  </si>
  <si>
    <t>דניאל</t>
  </si>
  <si>
    <t>קושניר</t>
  </si>
  <si>
    <t xml:space="preserve">חגי </t>
  </si>
  <si>
    <t>אופק</t>
  </si>
  <si>
    <t>טל</t>
  </si>
  <si>
    <t>ידידיה</t>
  </si>
  <si>
    <t>שגיב</t>
  </si>
  <si>
    <t>יואב</t>
  </si>
  <si>
    <t>שאשא</t>
  </si>
  <si>
    <t>יובל</t>
  </si>
  <si>
    <t>שדמה</t>
  </si>
  <si>
    <t xml:space="preserve">יונתן </t>
  </si>
  <si>
    <t>בן עמי</t>
  </si>
  <si>
    <t>יוסי</t>
  </si>
  <si>
    <t>פניאס</t>
  </si>
  <si>
    <t>יורי</t>
  </si>
  <si>
    <t>לוינזון</t>
  </si>
  <si>
    <t>ינאי עקיבא</t>
  </si>
  <si>
    <t>אבני</t>
  </si>
  <si>
    <t>לי</t>
  </si>
  <si>
    <t>ואן שפיר</t>
  </si>
  <si>
    <t>ליאור</t>
  </si>
  <si>
    <t>ברוך</t>
  </si>
  <si>
    <t>מור</t>
  </si>
  <si>
    <t>גבעון</t>
  </si>
  <si>
    <t xml:space="preserve">משה </t>
  </si>
  <si>
    <t>אפל</t>
  </si>
  <si>
    <t xml:space="preserve">מתן </t>
  </si>
  <si>
    <t>גורן</t>
  </si>
  <si>
    <t>נועם</t>
  </si>
  <si>
    <t>גולדברג</t>
  </si>
  <si>
    <t>נועם שלום</t>
  </si>
  <si>
    <t>מעודה</t>
  </si>
  <si>
    <t>ניר</t>
  </si>
  <si>
    <t>שטראוס</t>
  </si>
  <si>
    <t xml:space="preserve">ניר </t>
  </si>
  <si>
    <t>קרניאל</t>
  </si>
  <si>
    <t>נעם</t>
  </si>
  <si>
    <t>שחם</t>
  </si>
  <si>
    <t>נתן</t>
  </si>
  <si>
    <t>איפרגן</t>
  </si>
  <si>
    <t>רועי סלע</t>
  </si>
  <si>
    <t>נתנאל</t>
  </si>
  <si>
    <t>רייבי</t>
  </si>
  <si>
    <t>סהר</t>
  </si>
  <si>
    <t>בן משה</t>
  </si>
  <si>
    <t>סנטיאגו</t>
  </si>
  <si>
    <t>מן</t>
  </si>
  <si>
    <t>סער</t>
  </si>
  <si>
    <t>שירן</t>
  </si>
  <si>
    <t>עומר</t>
  </si>
  <si>
    <t>נוי</t>
  </si>
  <si>
    <t>עופר</t>
  </si>
  <si>
    <t>גייר</t>
  </si>
  <si>
    <t>נחום</t>
  </si>
  <si>
    <t>עידו</t>
  </si>
  <si>
    <t>סליק</t>
  </si>
  <si>
    <t>עמיר</t>
  </si>
  <si>
    <t>מלכי</t>
  </si>
  <si>
    <t>צביקה</t>
  </si>
  <si>
    <t>פרידמן</t>
  </si>
  <si>
    <t>רודינסקי</t>
  </si>
  <si>
    <t>יבגני</t>
  </si>
  <si>
    <t>רומן</t>
  </si>
  <si>
    <t>שפיגלמן</t>
  </si>
  <si>
    <t>רון</t>
  </si>
  <si>
    <t>יפהר</t>
  </si>
  <si>
    <t>רונן</t>
  </si>
  <si>
    <t>רועי</t>
  </si>
  <si>
    <t>וקנין</t>
  </si>
  <si>
    <t>מלך</t>
  </si>
  <si>
    <t xml:space="preserve">רועי </t>
  </si>
  <si>
    <t>לוי</t>
  </si>
  <si>
    <t>שי</t>
  </si>
  <si>
    <t>אקר</t>
  </si>
  <si>
    <t>לוגאסי</t>
  </si>
  <si>
    <t>שלמה</t>
  </si>
  <si>
    <t>גולן</t>
  </si>
  <si>
    <t xml:space="preserve">שלמה </t>
  </si>
  <si>
    <t>אנגלסטר</t>
  </si>
  <si>
    <t>תומר</t>
  </si>
  <si>
    <t>אדלשטיין</t>
  </si>
  <si>
    <t>קימלוב</t>
  </si>
  <si>
    <t>גנוסר</t>
  </si>
  <si>
    <t>עדי עינב</t>
  </si>
  <si>
    <t>מס</t>
  </si>
  <si>
    <t>גיל</t>
  </si>
  <si>
    <t>ועקנין</t>
  </si>
  <si>
    <t>סה"כ</t>
  </si>
  <si>
    <t>NA</t>
  </si>
  <si>
    <t>21/12/2025</t>
  </si>
  <si>
    <t>22/12/2025</t>
  </si>
  <si>
    <t>23/12/2025</t>
  </si>
  <si>
    <t>24/12/2025</t>
  </si>
  <si>
    <t>25/12/2025</t>
  </si>
  <si>
    <t>26/12/2025</t>
  </si>
  <si>
    <t>27/12/2025</t>
  </si>
  <si>
    <t>28/12/2025</t>
  </si>
  <si>
    <t>29/12/2025</t>
  </si>
  <si>
    <t>30/12/2025</t>
  </si>
  <si>
    <t>31/12/2025</t>
  </si>
  <si>
    <t>13/01/2026</t>
  </si>
  <si>
    <t>14/01/2026</t>
  </si>
  <si>
    <t>15/01/2026</t>
  </si>
  <si>
    <t>16/01/2026</t>
  </si>
  <si>
    <t>17/01/2026</t>
  </si>
  <si>
    <t>18/01/2026</t>
  </si>
  <si>
    <t>19/01/2026</t>
  </si>
  <si>
    <t>20/01/2026</t>
  </si>
  <si>
    <t>21/01/2026</t>
  </si>
  <si>
    <t>22/01/2026</t>
  </si>
  <si>
    <t>23/01/2026</t>
  </si>
  <si>
    <t>24/01/2026</t>
  </si>
  <si>
    <t>25/01/2026</t>
  </si>
  <si>
    <t>26/01/2026</t>
  </si>
  <si>
    <t>27/01/2026</t>
  </si>
  <si>
    <t>28/01/2026</t>
  </si>
  <si>
    <t>29/01/2026</t>
  </si>
  <si>
    <t>30/01/2026</t>
  </si>
  <si>
    <t>31/01/2026</t>
  </si>
  <si>
    <t>13/02/2026</t>
  </si>
  <si>
    <t>14/02/2026</t>
  </si>
  <si>
    <t>15/02/2026</t>
  </si>
  <si>
    <t>סיכום עובד</t>
  </si>
  <si>
    <t>משה אפל</t>
  </si>
  <si>
    <t>HR</t>
  </si>
  <si>
    <t>מור עוזיאל</t>
  </si>
  <si>
    <t>מסופח</t>
  </si>
  <si>
    <t>Out</t>
  </si>
  <si>
    <t>OUT</t>
  </si>
  <si>
    <t>n/a</t>
  </si>
  <si>
    <t>סה״כ מפקדה (חמל + לוג׳ )</t>
  </si>
  <si>
    <t>סה״כ מבצעי</t>
  </si>
  <si>
    <t>עמית שטראוס</t>
  </si>
  <si>
    <t>SOL</t>
  </si>
  <si>
    <t>יונתן קורניק</t>
  </si>
  <si>
    <t>אלון בלוק</t>
  </si>
  <si>
    <t>מינימום:</t>
  </si>
  <si>
    <t>Com1+Com2</t>
  </si>
  <si>
    <t>OFF1</t>
  </si>
  <si>
    <t>OFF2</t>
  </si>
  <si>
    <t>מינימום</t>
  </si>
  <si>
    <t>סה"כ כללי</t>
  </si>
  <si>
    <t>סה"כ מצבה</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</si>
</sst>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quot;/&quot;d"/>
    <numFmt numFmtId="165" formatCode="mmm&quot;/&quot;d"/>
    <numFmt numFmtId="166" formatCode="0.0"/>
    <numFmt numFmtId="167" formatCode="m/d"/>
    <numFmt numFmtId="168" formatCode="m/d/yyyy h:mm:ss"/>
    <numFmt numFmtId="169" formatCode="mm/dd/yyyy"/>
  </numFmts>
  <fonts count="10">
    <font>
      <sz val="10.0"/>
      <color rgb="FF000000"/>
      <name val="Arial"/>
      <scheme val="minor"/>
    </font>
    <font>
      <b/>
      <color theme="1"/>
      <name val="Arial"/>
      <scheme val="minor"/>
    </font>
    <font>
      <color theme="1"/>
      <name val="Arial"/>
      <scheme val="minor"/>
    </font>
    <font>
      <sz val="11.0"/>
      <color theme="1"/>
      <name val="Arial"/>
      <scheme val="minor"/>
    </font>
    <font>
      <sz val="5.0"/>
      <color theme="1"/>
      <name val="Arial"/>
      <scheme val="minor"/>
    </font>
    <font>
      <color theme="1"/>
      <name val="Arial"/>
    </font>
    <font>
      <sz val="11.0"/>
      <color theme="1"/>
      <name val="Arial"/>
    </font>
    <font>
      <b/>
      <sz val="11.0"/>
      <color theme="1"/>
      <name val="Calibri"/>
    </font>
    <font>
      <sz val="11.0"/>
      <color theme="1"/>
      <name val="Calibri"/>
    </font>
    <font>
      <color rgb="FF999999"/>
      <name val="Arial"/>
      <scheme val="minor"/>
    </font>
  </fonts>
  <fills count="14">
    <fill>
      <patternFill patternType="none"/>
    </fill>
    <fill>
      <patternFill patternType="lightGray"/>
    </fill>
    <fill>
      <patternFill patternType="solid">
        <fgColor rgb="FFD3D3D3"/>
        <bgColor rgb="FFD3D3D3"/>
      </patternFill>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
      <patternFill patternType="solid">
        <fgColor rgb="FFFFF2CC"/>
        <bgColor rgb="FFFFF2CC"/>
      </patternFill>
    </fill>
    <fill>
      <patternFill patternType="solid">
        <fgColor rgb="FFF4CCCC"/>
        <bgColor rgb="FFF4CCCC"/>
      </patternFill>
    </fill>
    <fill>
      <patternFill patternType="solid">
        <fgColor rgb="FFCC0000"/>
        <bgColor rgb="FFCC0000"/>
      </patternFill>
    </fill>
    <fill>
      <patternFill patternType="solid">
        <fgColor rgb="FF00FFFF"/>
        <bgColor rgb="FF00FFFF"/>
      </patternFill>
    </fill>
    <fill>
      <patternFill patternType="solid">
        <fgColor rgb="FFB4C6E7"/>
        <bgColor rgb="FFB4C6E7"/>
      </patternFill>
    </fill>
    <fill>
      <patternFill patternType="solid">
        <fgColor rgb="FFD9D2E9"/>
        <bgColor rgb="FFD9D2E9"/>
      </patternFill>
    </fill>
    <fill>
      <patternFill patternType="solid">
        <fgColor rgb="FFFFE599"/>
        <bgColor rgb="FFFFE599"/>
      </patternFill>
    </fill>
    <fill>
      <patternFill patternType="solid">
        <fgColor rgb="FFCCCCCC"/>
        <bgColor rgb="FFCCCCCC"/>
      </patternFill>
    </fill>
  </fills>
  <borders count="31">
    <border/>
    <border>
      <left style="thin">
        <color rgb="FF000000"/>
      </left>
      <top style="thin">
        <color rgb="FF000000"/>
      </top>
    </border>
    <border>
      <left style="thin">
        <color rgb="FF0000FF"/>
      </left>
      <right style="thin">
        <color rgb="FF0000FF"/>
      </right>
    </border>
    <border>
      <top style="thin">
        <color rgb="FF000000"/>
      </top>
    </border>
    <border>
      <left style="dotted">
        <color rgb="FF274E13"/>
      </left>
    </border>
    <border>
      <left style="thin">
        <color rgb="FF000000"/>
      </left>
    </border>
    <border>
      <right style="dotted">
        <color rgb="FF274E13"/>
      </right>
    </border>
    <border>
      <left style="thin">
        <color rgb="FFFF0000"/>
      </left>
      <top style="thin">
        <color rgb="FFFF0000"/>
      </top>
      <bottom style="thin">
        <color rgb="FFFF0000"/>
      </bottom>
    </border>
    <border>
      <top style="thin">
        <color rgb="FFFF0000"/>
      </top>
      <bottom style="thin">
        <color rgb="FFFF0000"/>
      </bottom>
    </border>
    <border>
      <right style="thin">
        <color rgb="FFFF0000"/>
      </right>
      <top style="thin">
        <color rgb="FFFF0000"/>
      </top>
      <bottom style="thin">
        <color rgb="FFFF0000"/>
      </bottom>
    </border>
    <border>
      <left style="dotted">
        <color rgb="FF274E13"/>
      </left>
      <top style="thin">
        <color rgb="FFFF0000"/>
      </top>
      <bottom style="thin">
        <color rgb="FFFF0000"/>
      </bottom>
    </border>
    <border>
      <left style="thin">
        <color rgb="FF0000FF"/>
      </left>
      <right style="thin">
        <color rgb="FF0000FF"/>
      </right>
      <top style="thin">
        <color rgb="FFFF0000"/>
      </top>
      <bottom style="thin">
        <color rgb="FFFF0000"/>
      </bottom>
    </border>
    <border>
      <right style="dotted">
        <color rgb="FF274E13"/>
      </right>
      <top style="thin">
        <color rgb="FFFF0000"/>
      </top>
      <bottom style="thin">
        <color rgb="FFFF0000"/>
      </bottom>
    </border>
    <border>
      <left style="thin">
        <color rgb="FF00FFFF"/>
      </left>
      <top style="thin">
        <color rgb="FF00FFFF"/>
      </top>
      <bottom style="thin">
        <color rgb="FF00FFFF"/>
      </bottom>
    </border>
    <border>
      <top style="thin">
        <color rgb="FF00FFFF"/>
      </top>
      <bottom style="thin">
        <color rgb="FF00FFFF"/>
      </bottom>
    </border>
    <border>
      <left style="dotted">
        <color rgb="FF274E13"/>
      </left>
      <top style="thin">
        <color rgb="FF00FFFF"/>
      </top>
      <bottom style="thin">
        <color rgb="FF00FFFF"/>
      </bottom>
    </border>
    <border>
      <left style="thin">
        <color rgb="FF0000FF"/>
      </left>
      <right style="thin">
        <color rgb="FF00FFFF"/>
      </right>
      <top style="thin">
        <color rgb="FF00FFFF"/>
      </top>
      <bottom style="thin">
        <color rgb="FF00FFFF"/>
      </bottom>
    </border>
    <border>
      <bottom style="thin">
        <color rgb="FFFF0000"/>
      </bottom>
    </border>
    <border>
      <left style="dotted">
        <color rgb="FF274E13"/>
      </left>
      <bottom style="thin">
        <color rgb="FFFF0000"/>
      </bottom>
    </border>
    <border>
      <left style="thin">
        <color rgb="FF0000FF"/>
      </left>
      <right style="thin">
        <color rgb="FF0000FF"/>
      </right>
      <bottom style="thin">
        <color rgb="FFFF0000"/>
      </bottom>
    </border>
    <border>
      <right style="thin">
        <color rgb="FF000000"/>
      </right>
      <top style="thin">
        <color rgb="FF000000"/>
      </top>
    </border>
    <border>
      <right style="thin">
        <color rgb="FF000000"/>
      </right>
    </border>
    <border>
      <left style="thin">
        <color rgb="FFFF0000"/>
      </left>
      <right style="thin">
        <color rgb="FFFF0000"/>
      </right>
      <top style="thin">
        <color rgb="FFFF0000"/>
      </top>
      <bottom style="thin">
        <color rgb="FFFF0000"/>
      </bottom>
    </border>
    <border>
      <left style="thin">
        <color rgb="FF000000"/>
      </left>
      <right style="thin">
        <color rgb="FF000000"/>
      </right>
      <top style="thin">
        <color rgb="FF000000"/>
      </top>
      <bottom style="thin">
        <color rgb="FF000000"/>
      </bottom>
    </border>
    <border>
      <left style="thin">
        <color rgb="FF0000FF"/>
      </left>
      <right style="thin">
        <color rgb="FF0000FF"/>
      </right>
      <top style="thin">
        <color rgb="FFFF0000"/>
      </top>
    </border>
    <border>
      <top style="thin">
        <color rgb="FFFF0000"/>
      </top>
    </border>
    <border>
      <left style="thin">
        <color rgb="FFFF0000"/>
      </left>
      <bottom style="thin">
        <color rgb="FFFF0000"/>
      </bottom>
    </border>
    <border>
      <left style="thin">
        <color rgb="FF0000FF"/>
      </lef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horizontal="right" readingOrder="0"/>
    </xf>
    <xf borderId="0" fillId="0" fontId="2" numFmtId="0" xfId="0" applyAlignment="1" applyFont="1">
      <alignment readingOrder="0"/>
    </xf>
    <xf borderId="0" fillId="3" fontId="1" numFmtId="0" xfId="0" applyAlignment="1" applyFill="1" applyFont="1">
      <alignment horizontal="center" readingOrder="0"/>
    </xf>
    <xf borderId="0" fillId="0" fontId="2" numFmtId="0" xfId="0" applyAlignment="1" applyFont="1">
      <alignment horizontal="right" readingOrder="0"/>
    </xf>
    <xf borderId="0" fillId="4" fontId="2" numFmtId="0" xfId="0" applyAlignment="1" applyFill="1" applyFont="1">
      <alignment horizontal="center" readingOrder="0"/>
    </xf>
    <xf borderId="0" fillId="0" fontId="2" numFmtId="0" xfId="0" applyAlignment="1" applyFont="1">
      <alignment readingOrder="0"/>
    </xf>
    <xf borderId="0" fillId="0" fontId="2" numFmtId="49" xfId="0" applyAlignment="1" applyFont="1" applyNumberFormat="1">
      <alignment horizontal="right"/>
    </xf>
    <xf borderId="0" fillId="5" fontId="2" numFmtId="0" xfId="0" applyAlignment="1" applyFill="1" applyFont="1">
      <alignment horizontal="center" readingOrder="0"/>
    </xf>
    <xf borderId="0" fillId="0" fontId="2" numFmtId="1" xfId="0" applyAlignment="1" applyFont="1" applyNumberFormat="1">
      <alignment readingOrder="0"/>
    </xf>
    <xf borderId="0" fillId="0" fontId="3" numFmtId="164" xfId="0" applyAlignment="1" applyFont="1" applyNumberFormat="1">
      <alignment readingOrder="0"/>
    </xf>
    <xf borderId="1" fillId="0" fontId="4" numFmtId="164" xfId="0" applyAlignment="1" applyBorder="1" applyFont="1" applyNumberFormat="1">
      <alignment readingOrder="0"/>
    </xf>
    <xf borderId="2" fillId="0" fontId="3" numFmtId="164" xfId="0" applyAlignment="1" applyBorder="1" applyFont="1" applyNumberFormat="1">
      <alignment horizontal="right" readingOrder="0"/>
    </xf>
    <xf borderId="3" fillId="0" fontId="4" numFmtId="164" xfId="0" applyAlignment="1" applyBorder="1" applyFont="1" applyNumberFormat="1">
      <alignment readingOrder="0"/>
    </xf>
    <xf borderId="2" fillId="0" fontId="3" numFmtId="49" xfId="0" applyAlignment="1" applyBorder="1" applyFont="1" applyNumberFormat="1">
      <alignment horizontal="right" readingOrder="0"/>
    </xf>
    <xf borderId="4" fillId="0" fontId="4" numFmtId="164" xfId="0" applyAlignment="1" applyBorder="1" applyFont="1" applyNumberFormat="1">
      <alignment readingOrder="0"/>
    </xf>
    <xf borderId="2" fillId="0" fontId="4" numFmtId="164" xfId="0" applyAlignment="1" applyBorder="1" applyFont="1" applyNumberFormat="1">
      <alignment readingOrder="0"/>
    </xf>
    <xf borderId="0" fillId="0" fontId="2" numFmtId="49" xfId="0" applyAlignment="1" applyFont="1" applyNumberFormat="1">
      <alignment horizontal="right" readingOrder="0"/>
    </xf>
    <xf borderId="0" fillId="0" fontId="4" numFmtId="164" xfId="0" applyAlignment="1" applyFont="1" applyNumberFormat="1">
      <alignment readingOrder="0"/>
    </xf>
    <xf borderId="0" fillId="0" fontId="2" numFmtId="0" xfId="0" applyAlignment="1" applyFont="1">
      <alignment horizontal="right"/>
    </xf>
    <xf borderId="0" fillId="0" fontId="2" numFmtId="49" xfId="0" applyAlignment="1" applyFont="1" applyNumberFormat="1">
      <alignment horizontal="right" readingOrder="0"/>
    </xf>
    <xf borderId="0" fillId="0" fontId="2" numFmtId="165" xfId="0" applyFont="1" applyNumberFormat="1"/>
    <xf borderId="0" fillId="0" fontId="2" numFmtId="166" xfId="0" applyAlignment="1" applyFont="1" applyNumberFormat="1">
      <alignment readingOrder="0"/>
    </xf>
    <xf borderId="0" fillId="0" fontId="2" numFmtId="1" xfId="0" applyAlignment="1" applyFont="1" applyNumberFormat="1">
      <alignment readingOrder="0"/>
    </xf>
    <xf borderId="0" fillId="0" fontId="2" numFmtId="166" xfId="0" applyAlignment="1" applyFont="1" applyNumberFormat="1">
      <alignment readingOrder="0"/>
    </xf>
    <xf borderId="5" fillId="0" fontId="2" numFmtId="166" xfId="0" applyAlignment="1" applyBorder="1" applyFont="1" applyNumberFormat="1">
      <alignment readingOrder="0"/>
    </xf>
    <xf borderId="4" fillId="3" fontId="2" numFmtId="166" xfId="0" applyAlignment="1" applyBorder="1" applyFill="1" applyFont="1" applyNumberFormat="1">
      <alignment readingOrder="0"/>
    </xf>
    <xf borderId="2" fillId="3" fontId="2" numFmtId="166" xfId="0" applyAlignment="1" applyBorder="1" applyFill="1" applyFont="1" applyNumberFormat="1">
      <alignment readingOrder="0"/>
    </xf>
    <xf borderId="0" fillId="0" fontId="2" numFmtId="166" xfId="0" applyFont="1" applyNumberFormat="1"/>
    <xf borderId="5" fillId="0" fontId="2" numFmtId="166" xfId="0" applyAlignment="1" applyBorder="1" applyFont="1" applyNumberFormat="1">
      <alignment readingOrder="0"/>
    </xf>
    <xf borderId="4" fillId="0" fontId="2" numFmtId="166" xfId="0" applyAlignment="1" applyBorder="1" applyFont="1" applyNumberFormat="1">
      <alignment readingOrder="0"/>
    </xf>
    <xf borderId="2" fillId="0" fontId="2" numFmtId="166" xfId="0" applyAlignment="1" applyBorder="1" applyFont="1" applyNumberFormat="1">
      <alignment readingOrder="0"/>
    </xf>
    <xf borderId="6" fillId="0" fontId="2" numFmtId="166" xfId="0" applyAlignment="1" applyBorder="1" applyFont="1" applyNumberFormat="1">
      <alignment readingOrder="0"/>
    </xf>
    <xf borderId="0" fillId="6" fontId="5" numFmtId="166" xfId="0" applyAlignment="1" applyFill="1" applyFont="1" applyNumberFormat="1">
      <alignment horizontal="right" vertical="bottom"/>
    </xf>
    <xf borderId="0" fillId="7" fontId="5" numFmtId="166" xfId="0" applyAlignment="1" applyFill="1" applyFont="1" applyNumberFormat="1">
      <alignment horizontal="right" vertical="bottom"/>
    </xf>
    <xf borderId="2" fillId="7" fontId="5" numFmtId="166" xfId="0" applyAlignment="1" applyBorder="1" applyFill="1" applyFont="1" applyNumberFormat="1">
      <alignment horizontal="right" vertical="bottom"/>
    </xf>
    <xf borderId="2" fillId="6" fontId="5" numFmtId="166" xfId="0" applyAlignment="1" applyBorder="1" applyFill="1" applyFont="1" applyNumberFormat="1">
      <alignment horizontal="right" readingOrder="0" vertical="bottom"/>
    </xf>
    <xf borderId="0" fillId="0" fontId="5" numFmtId="0" xfId="0" applyAlignment="1" applyFont="1">
      <alignment vertical="bottom"/>
    </xf>
    <xf borderId="0" fillId="0" fontId="5" numFmtId="0" xfId="0" applyAlignment="1" applyFont="1">
      <alignment horizontal="right" readingOrder="0" vertical="bottom"/>
    </xf>
    <xf borderId="0" fillId="0" fontId="5" numFmtId="167" xfId="0" applyAlignment="1" applyFont="1" applyNumberFormat="1">
      <alignment horizontal="right" vertical="bottom"/>
    </xf>
    <xf borderId="0" fillId="0" fontId="5" numFmtId="0" xfId="0" applyAlignment="1" applyFont="1">
      <alignment readingOrder="0" vertical="bottom"/>
    </xf>
    <xf borderId="0" fillId="0" fontId="6" numFmtId="0" xfId="0" applyAlignment="1" applyFont="1">
      <alignment horizontal="right" vertical="bottom"/>
    </xf>
    <xf borderId="0" fillId="0" fontId="5" numFmtId="0" xfId="0" applyAlignment="1" applyFont="1">
      <alignment horizontal="right" vertical="bottom"/>
    </xf>
    <xf borderId="0" fillId="0" fontId="5" numFmtId="0" xfId="0" applyAlignment="1" applyFont="1">
      <alignment readingOrder="0" vertical="bottom"/>
    </xf>
    <xf borderId="7" fillId="0" fontId="2" numFmtId="166" xfId="0" applyAlignment="1" applyBorder="1" applyFont="1" applyNumberFormat="1">
      <alignment readingOrder="0"/>
    </xf>
    <xf borderId="8" fillId="0" fontId="2" numFmtId="166" xfId="0" applyAlignment="1" applyBorder="1" applyFont="1" applyNumberFormat="1">
      <alignment readingOrder="0"/>
    </xf>
    <xf borderId="9" fillId="0" fontId="2" numFmtId="166" xfId="0" applyAlignment="1" applyBorder="1" applyFont="1" applyNumberFormat="1">
      <alignment readingOrder="0"/>
    </xf>
    <xf borderId="10" fillId="0" fontId="2" numFmtId="166" xfId="0" applyAlignment="1" applyBorder="1" applyFont="1" applyNumberFormat="1">
      <alignment readingOrder="0"/>
    </xf>
    <xf borderId="11" fillId="0" fontId="2" numFmtId="166" xfId="0" applyAlignment="1" applyBorder="1" applyFont="1" applyNumberFormat="1">
      <alignment readingOrder="0"/>
    </xf>
    <xf borderId="12" fillId="0" fontId="2" numFmtId="166" xfId="0" applyAlignment="1" applyBorder="1" applyFont="1" applyNumberFormat="1">
      <alignment readingOrder="0"/>
    </xf>
    <xf borderId="0" fillId="6" fontId="5" numFmtId="166" xfId="0" applyAlignment="1" applyFill="1" applyFont="1" applyNumberFormat="1">
      <alignment horizontal="right" readingOrder="0" vertical="bottom"/>
    </xf>
    <xf borderId="0" fillId="7" fontId="5" numFmtId="166" xfId="0" applyAlignment="1" applyFill="1" applyFont="1" applyNumberFormat="1">
      <alignment horizontal="right" readingOrder="0" vertical="bottom"/>
    </xf>
    <xf borderId="0" fillId="8" fontId="5" numFmtId="166" xfId="0" applyAlignment="1" applyFill="1" applyFont="1" applyNumberFormat="1">
      <alignment horizontal="right" readingOrder="0" vertical="bottom"/>
    </xf>
    <xf borderId="0" fillId="8" fontId="5" numFmtId="166" xfId="0" applyAlignment="1" applyFill="1" applyFont="1" applyNumberFormat="1">
      <alignment horizontal="right" vertical="bottom"/>
    </xf>
    <xf borderId="4" fillId="8" fontId="2" numFmtId="166" xfId="0" applyAlignment="1" applyBorder="1" applyFill="1" applyFont="1" applyNumberFormat="1">
      <alignment readingOrder="0"/>
    </xf>
    <xf borderId="0" fillId="0" fontId="2" numFmtId="0" xfId="0" applyAlignment="1" applyFont="1">
      <alignment horizontal="left" readingOrder="0" shrinkToFit="0" vertical="center" wrapText="0"/>
    </xf>
    <xf borderId="0" fillId="0" fontId="2" numFmtId="0" xfId="0" applyAlignment="1" applyFont="1">
      <alignment horizontal="left" readingOrder="2"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168" xfId="0" applyAlignment="1" applyFont="1" applyNumberFormat="1">
      <alignment readingOrder="0" shrinkToFit="0" vertical="center" wrapText="0"/>
    </xf>
    <xf borderId="0" fillId="0" fontId="2" numFmtId="0" xfId="0" applyAlignment="1" applyFont="1">
      <alignment horizontal="right" readingOrder="2" shrinkToFit="0" vertical="center" wrapText="0"/>
    </xf>
    <xf quotePrefix="1" borderId="0" fillId="0" fontId="2" numFmtId="0" xfId="0" applyAlignment="1" applyFont="1">
      <alignment horizontal="right" readingOrder="2" shrinkToFit="0" vertical="center" wrapText="0"/>
    </xf>
    <xf borderId="0" fillId="0" fontId="2" numFmtId="0" xfId="0" applyAlignment="1" applyFont="1">
      <alignment readingOrder="0" shrinkToFit="0" vertical="center" wrapText="0"/>
    </xf>
    <xf borderId="0" fillId="0" fontId="2" numFmtId="1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5" numFmtId="0" xfId="0" applyAlignment="1" applyFont="1">
      <alignment horizontal="right" readingOrder="0" vertical="bottom"/>
    </xf>
    <xf borderId="0" fillId="0" fontId="2" numFmtId="0" xfId="0" applyAlignment="1" applyFont="1">
      <alignment readingOrder="0" shrinkToFit="0" vertical="center" wrapText="0"/>
    </xf>
    <xf borderId="13" fillId="9" fontId="2" numFmtId="166" xfId="0" applyAlignment="1" applyBorder="1" applyFill="1" applyFont="1" applyNumberFormat="1">
      <alignment readingOrder="0"/>
    </xf>
    <xf borderId="14" fillId="9" fontId="2" numFmtId="166" xfId="0" applyAlignment="1" applyBorder="1" applyFill="1" applyFont="1" applyNumberFormat="1">
      <alignment readingOrder="0"/>
    </xf>
    <xf borderId="15" fillId="9" fontId="2" numFmtId="166" xfId="0" applyAlignment="1" applyBorder="1" applyFill="1" applyFont="1" applyNumberFormat="1">
      <alignment readingOrder="0"/>
    </xf>
    <xf borderId="16" fillId="9" fontId="2" numFmtId="166" xfId="0" applyAlignment="1" applyBorder="1" applyFill="1" applyFont="1" applyNumberFormat="1">
      <alignment readingOrder="0"/>
    </xf>
    <xf borderId="3" fillId="0" fontId="5" numFmtId="0" xfId="0" applyAlignment="1" applyBorder="1" applyFont="1">
      <alignment vertical="bottom"/>
    </xf>
    <xf borderId="3" fillId="0" fontId="5" numFmtId="0" xfId="0" applyAlignment="1" applyBorder="1" applyFont="1">
      <alignment horizontal="right" vertical="bottom"/>
    </xf>
    <xf borderId="0" fillId="0" fontId="2" numFmtId="0" xfId="0" applyAlignment="1" applyFont="1">
      <alignment shrinkToFit="0" vertical="center" wrapText="0"/>
    </xf>
    <xf borderId="17" fillId="0" fontId="2" numFmtId="166" xfId="0" applyAlignment="1" applyBorder="1" applyFont="1" applyNumberFormat="1">
      <alignment readingOrder="0"/>
    </xf>
    <xf borderId="18" fillId="0" fontId="2" numFmtId="166" xfId="0" applyAlignment="1" applyBorder="1" applyFont="1" applyNumberFormat="1">
      <alignment readingOrder="0"/>
    </xf>
    <xf borderId="19" fillId="0" fontId="2" numFmtId="166" xfId="0" applyAlignment="1" applyBorder="1" applyFont="1" applyNumberFormat="1">
      <alignment readingOrder="0"/>
    </xf>
    <xf borderId="0" fillId="0" fontId="6" numFmtId="0" xfId="0" applyAlignment="1" applyFont="1">
      <alignment horizontal="right" readingOrder="0" vertical="bottom"/>
    </xf>
    <xf borderId="1" fillId="0" fontId="2" numFmtId="164" xfId="0" applyAlignment="1" applyBorder="1" applyFont="1" applyNumberFormat="1">
      <alignment readingOrder="0"/>
    </xf>
    <xf borderId="3" fillId="0" fontId="2" numFmtId="164" xfId="0" applyAlignment="1" applyBorder="1" applyFont="1" applyNumberFormat="1">
      <alignment readingOrder="0"/>
    </xf>
    <xf borderId="20" fillId="0" fontId="2" numFmtId="164" xfId="0" applyAlignment="1" applyBorder="1" applyFont="1" applyNumberFormat="1">
      <alignment readingOrder="0"/>
    </xf>
    <xf borderId="0" fillId="0" fontId="2" numFmtId="164" xfId="0" applyAlignment="1" applyFont="1" applyNumberFormat="1">
      <alignment readingOrder="0"/>
    </xf>
    <xf borderId="21" fillId="0" fontId="2" numFmtId="166" xfId="0" applyAlignment="1" applyBorder="1" applyFont="1" applyNumberFormat="1">
      <alignment readingOrder="0"/>
    </xf>
    <xf borderId="2" fillId="7" fontId="5" numFmtId="166" xfId="0" applyAlignment="1" applyBorder="1" applyFill="1" applyFont="1" applyNumberFormat="1">
      <alignment horizontal="right" readingOrder="0" vertical="bottom"/>
    </xf>
    <xf borderId="7" fillId="5" fontId="2" numFmtId="166" xfId="0" applyAlignment="1" applyBorder="1" applyFill="1" applyFont="1" applyNumberFormat="1">
      <alignment readingOrder="0"/>
    </xf>
    <xf borderId="9" fillId="5" fontId="2" numFmtId="166" xfId="0" applyAlignment="1" applyBorder="1" applyFill="1" applyFont="1" applyNumberFormat="1">
      <alignment readingOrder="0"/>
    </xf>
    <xf borderId="22" fillId="0" fontId="2" numFmtId="166" xfId="0" applyAlignment="1" applyBorder="1" applyFont="1" applyNumberFormat="1">
      <alignment readingOrder="0"/>
    </xf>
    <xf borderId="0" fillId="0" fontId="2" numFmtId="0" xfId="0" applyAlignment="1" applyFont="1">
      <alignment horizontal="right" readingOrder="2" shrinkToFit="0" vertical="center" wrapText="0"/>
    </xf>
    <xf borderId="0" fillId="0" fontId="2" numFmtId="0" xfId="0" applyAlignment="1" applyFont="1">
      <alignment horizontal="right" readingOrder="2"/>
    </xf>
    <xf borderId="0" fillId="0" fontId="2" numFmtId="168" xfId="0" applyAlignment="1" applyFont="1" applyNumberFormat="1">
      <alignment readingOrder="0"/>
    </xf>
    <xf borderId="0" fillId="0" fontId="2" numFmtId="0" xfId="0" applyAlignment="1" applyFont="1">
      <alignment horizontal="right" readingOrder="2"/>
    </xf>
    <xf borderId="0" fillId="0" fontId="2" numFmtId="14" xfId="0" applyAlignment="1" applyFont="1" applyNumberFormat="1">
      <alignment readingOrder="0"/>
    </xf>
    <xf borderId="0" fillId="0" fontId="2" numFmtId="49" xfId="0" applyAlignment="1" applyFont="1" applyNumberFormat="1">
      <alignment horizontal="right" readingOrder="2"/>
    </xf>
    <xf borderId="4" fillId="7" fontId="5" numFmtId="166" xfId="0" applyAlignment="1" applyBorder="1" applyFill="1" applyFont="1" applyNumberFormat="1">
      <alignment horizontal="right" vertical="bottom"/>
    </xf>
    <xf borderId="6" fillId="7" fontId="5" numFmtId="166" xfId="0" applyAlignment="1" applyBorder="1" applyFill="1" applyFont="1" applyNumberFormat="1">
      <alignment horizontal="right" vertical="bottom"/>
    </xf>
    <xf borderId="0" fillId="10" fontId="6" numFmtId="0" xfId="0" applyAlignment="1" applyFill="1" applyFont="1">
      <alignment vertical="bottom"/>
    </xf>
    <xf borderId="0" fillId="11" fontId="6" numFmtId="0" xfId="0" applyAlignment="1" applyFill="1" applyFont="1">
      <alignment vertical="bottom"/>
    </xf>
    <xf borderId="23" fillId="10" fontId="7" numFmtId="0" xfId="0" applyAlignment="1" applyBorder="1" applyFill="1" applyFont="1">
      <alignment horizontal="center" vertical="bottom"/>
    </xf>
    <xf borderId="23" fillId="11" fontId="7" numFmtId="0" xfId="0" applyAlignment="1" applyBorder="1" applyFill="1" applyFont="1">
      <alignment horizontal="center" readingOrder="0" vertical="bottom"/>
    </xf>
    <xf borderId="23" fillId="11" fontId="7" numFmtId="0" xfId="0" applyAlignment="1" applyBorder="1" applyFill="1" applyFont="1">
      <alignment horizontal="center" vertical="bottom"/>
    </xf>
    <xf borderId="23" fillId="10" fontId="8" numFmtId="0" xfId="0" applyAlignment="1" applyBorder="1" applyFill="1" applyFont="1">
      <alignment horizontal="center" vertical="bottom"/>
    </xf>
    <xf borderId="23" fillId="11" fontId="8" numFmtId="0" xfId="0" applyAlignment="1" applyBorder="1" applyFill="1" applyFont="1">
      <alignment horizontal="center" vertical="bottom"/>
    </xf>
    <xf borderId="23" fillId="10" fontId="8" numFmtId="0" xfId="0" applyAlignment="1" applyBorder="1" applyFill="1" applyFont="1">
      <alignment horizontal="center" shrinkToFit="0" vertical="bottom" wrapText="1"/>
    </xf>
    <xf borderId="23" fillId="11" fontId="6" numFmtId="0" xfId="0" applyAlignment="1" applyBorder="1" applyFill="1" applyFont="1">
      <alignment vertical="bottom"/>
    </xf>
    <xf quotePrefix="1" borderId="23" fillId="11" fontId="8" numFmtId="0" xfId="0" applyAlignment="1" applyBorder="1" applyFill="1" applyFont="1">
      <alignment horizontal="center" vertical="bottom"/>
    </xf>
    <xf borderId="23" fillId="10" fontId="8" numFmtId="0" xfId="0" applyAlignment="1" applyBorder="1" applyFill="1" applyFont="1">
      <alignment horizontal="center" vertical="top"/>
    </xf>
    <xf borderId="23" fillId="11" fontId="8" numFmtId="0" xfId="0" applyAlignment="1" applyBorder="1" applyFill="1" applyFont="1">
      <alignment horizontal="center" vertical="top"/>
    </xf>
    <xf borderId="23" fillId="10" fontId="8" numFmtId="49" xfId="0" applyAlignment="1" applyBorder="1" applyFill="1" applyFont="1" applyNumberFormat="1">
      <alignment horizontal="center" vertical="bottom"/>
    </xf>
    <xf borderId="23" fillId="11" fontId="8" numFmtId="49" xfId="0" applyAlignment="1" applyBorder="1" applyFill="1" applyFont="1" applyNumberFormat="1">
      <alignment horizontal="center" vertical="bottom"/>
    </xf>
    <xf borderId="23" fillId="10" fontId="8" numFmtId="49" xfId="0" applyAlignment="1" applyBorder="1" applyFill="1" applyFont="1" applyNumberFormat="1">
      <alignment horizontal="center" shrinkToFit="0" vertical="bottom" wrapText="1"/>
    </xf>
    <xf borderId="23" fillId="11" fontId="6" numFmtId="49" xfId="0" applyAlignment="1" applyBorder="1" applyFill="1" applyFont="1" applyNumberFormat="1">
      <alignment vertical="bottom"/>
    </xf>
    <xf borderId="23" fillId="11" fontId="8" numFmtId="0" xfId="0" applyAlignment="1" applyBorder="1" applyFill="1" applyFont="1">
      <alignment horizontal="center" shrinkToFit="0" vertical="bottom" wrapText="1"/>
    </xf>
    <xf borderId="23" fillId="11" fontId="8" numFmtId="49" xfId="0" applyAlignment="1" applyBorder="1" applyFill="1" applyFont="1" applyNumberFormat="1">
      <alignment horizontal="center" shrinkToFit="0" vertical="bottom" wrapText="1"/>
    </xf>
    <xf borderId="23" fillId="10" fontId="8" numFmtId="0" xfId="0" applyAlignment="1" applyBorder="1" applyFill="1" applyFont="1">
      <alignment horizontal="center" vertical="bottom"/>
    </xf>
    <xf borderId="23" fillId="11" fontId="8" numFmtId="0" xfId="0" applyAlignment="1" applyBorder="1" applyFill="1" applyFont="1">
      <alignment horizontal="center" vertical="bottom"/>
    </xf>
    <xf borderId="23" fillId="10" fontId="8" numFmtId="0" xfId="0" applyAlignment="1" applyBorder="1" applyFill="1" applyFont="1">
      <alignment horizontal="center" shrinkToFit="0" vertical="bottom" wrapText="1"/>
    </xf>
    <xf borderId="23" fillId="10" fontId="8" numFmtId="0" xfId="0" applyAlignment="1" applyBorder="1" applyFill="1" applyFont="1">
      <alignment horizontal="center" vertical="top"/>
    </xf>
    <xf borderId="23" fillId="11" fontId="8" numFmtId="0" xfId="0" applyAlignment="1" applyBorder="1" applyFill="1" applyFont="1">
      <alignment horizontal="center" vertical="top"/>
    </xf>
    <xf borderId="23" fillId="10" fontId="8" numFmtId="49" xfId="0" applyAlignment="1" applyBorder="1" applyFill="1" applyFont="1" applyNumberFormat="1">
      <alignment horizontal="center" vertical="bottom"/>
    </xf>
    <xf borderId="0" fillId="0" fontId="2" numFmtId="0" xfId="0" applyFont="1"/>
    <xf borderId="23" fillId="10" fontId="6" numFmtId="0" xfId="0" applyAlignment="1" applyBorder="1" applyFill="1" applyFont="1">
      <alignment vertical="bottom"/>
    </xf>
    <xf borderId="0" fillId="0" fontId="2" numFmtId="1" xfId="0" applyFont="1" applyNumberFormat="1"/>
    <xf borderId="5" fillId="0" fontId="2" numFmtId="166" xfId="0" applyBorder="1" applyFont="1" applyNumberFormat="1"/>
    <xf borderId="21" fillId="0" fontId="2" numFmtId="166" xfId="0" applyBorder="1" applyFont="1" applyNumberFormat="1"/>
    <xf borderId="24" fillId="0" fontId="2" numFmtId="166" xfId="0" applyAlignment="1" applyBorder="1" applyFont="1" applyNumberFormat="1">
      <alignment readingOrder="0"/>
    </xf>
    <xf borderId="25" fillId="0" fontId="2" numFmtId="166" xfId="0" applyAlignment="1" applyBorder="1" applyFont="1" applyNumberFormat="1">
      <alignment readingOrder="0"/>
    </xf>
    <xf borderId="26" fillId="0" fontId="2" numFmtId="166" xfId="0" applyAlignment="1" applyBorder="1" applyFont="1" applyNumberFormat="1">
      <alignment readingOrder="0"/>
    </xf>
    <xf borderId="0" fillId="0" fontId="2" numFmtId="165" xfId="0" applyAlignment="1" applyFont="1" applyNumberFormat="1">
      <alignment readingOrder="0"/>
    </xf>
    <xf borderId="0" fillId="0" fontId="2" numFmtId="169" xfId="0" applyAlignment="1" applyFont="1" applyNumberFormat="1">
      <alignment readingOrder="0"/>
    </xf>
    <xf borderId="0" fillId="0" fontId="1" numFmtId="0" xfId="0" applyAlignment="1" applyFont="1">
      <alignment readingOrder="0"/>
    </xf>
    <xf borderId="5" fillId="0" fontId="2" numFmtId="0" xfId="0" applyBorder="1" applyFont="1"/>
    <xf borderId="21" fillId="0" fontId="2" numFmtId="0" xfId="0" applyBorder="1" applyFont="1"/>
    <xf borderId="0" fillId="0" fontId="2" numFmtId="0" xfId="0" applyFont="1"/>
    <xf borderId="2" fillId="12" fontId="2" numFmtId="166" xfId="0" applyAlignment="1" applyBorder="1" applyFill="1" applyFont="1" applyNumberFormat="1">
      <alignment readingOrder="0"/>
    </xf>
    <xf borderId="8" fillId="5" fontId="2" numFmtId="166" xfId="0" applyAlignment="1" applyBorder="1" applyFill="1" applyFont="1" applyNumberFormat="1">
      <alignment readingOrder="0"/>
    </xf>
    <xf borderId="11" fillId="5" fontId="2" numFmtId="166" xfId="0" applyAlignment="1" applyBorder="1" applyFill="1" applyFont="1" applyNumberFormat="1">
      <alignment readingOrder="0"/>
    </xf>
    <xf borderId="27" fillId="0" fontId="2" numFmtId="166" xfId="0" applyAlignment="1" applyBorder="1" applyFont="1" applyNumberFormat="1">
      <alignment readingOrder="0"/>
    </xf>
    <xf borderId="22" fillId="5" fontId="2" numFmtId="166" xfId="0" applyAlignment="1" applyBorder="1" applyFill="1" applyFont="1" applyNumberFormat="1">
      <alignment readingOrder="0"/>
    </xf>
    <xf borderId="4" fillId="7" fontId="5" numFmtId="166" xfId="0" applyAlignment="1" applyBorder="1" applyFill="1" applyFont="1" applyNumberFormat="1">
      <alignment horizontal="right" readingOrder="0" vertical="bottom"/>
    </xf>
    <xf borderId="6" fillId="7" fontId="5" numFmtId="166" xfId="0" applyAlignment="1" applyBorder="1" applyFill="1" applyFont="1" applyNumberFormat="1">
      <alignment horizontal="right" readingOrder="0" vertical="bottom"/>
    </xf>
    <xf borderId="4" fillId="0" fontId="2" numFmtId="166" xfId="0" applyBorder="1" applyFont="1" applyNumberFormat="1"/>
    <xf borderId="2" fillId="0" fontId="2" numFmtId="166" xfId="0" applyBorder="1" applyFont="1" applyNumberFormat="1"/>
    <xf borderId="28" fillId="0" fontId="2" numFmtId="0" xfId="0" applyBorder="1" applyFont="1"/>
    <xf borderId="29" fillId="0" fontId="2" numFmtId="0" xfId="0" applyBorder="1" applyFont="1"/>
    <xf borderId="30" fillId="0" fontId="2" numFmtId="0" xfId="0" applyBorder="1" applyFont="1"/>
    <xf borderId="0" fillId="4" fontId="2" numFmtId="166" xfId="0" applyFill="1" applyFont="1" applyNumberFormat="1"/>
    <xf borderId="0" fillId="13" fontId="9" numFmtId="0" xfId="0" applyAlignment="1" applyFill="1" applyFont="1">
      <alignment readingOrder="0"/>
    </xf>
    <xf borderId="0" fillId="13" fontId="9" numFmtId="0" xfId="0" applyFill="1" applyFont="1"/>
    <xf borderId="0" fillId="13" fontId="9" numFmtId="1" xfId="0" applyAlignment="1" applyFill="1" applyFont="1" applyNumberFormat="1">
      <alignment readingOrder="0"/>
    </xf>
    <xf borderId="0" fillId="13" fontId="9" numFmtId="166" xfId="0" applyFill="1" applyFont="1" applyNumberFormat="1"/>
    <xf borderId="0" fillId="13" fontId="9" numFmtId="0" xfId="0" applyAlignment="1" applyFill="1" applyFont="1">
      <alignment readingOrder="0"/>
    </xf>
    <xf borderId="2" fillId="13" fontId="9" numFmtId="166" xfId="0" applyBorder="1" applyFill="1" applyFont="1" applyNumberFormat="1"/>
    <xf borderId="0" fillId="0" fontId="2" numFmtId="166" xfId="0" applyAlignment="1" applyFont="1" applyNumberFormat="1">
      <alignment horizontal="right" readingOrder="2"/>
    </xf>
    <xf borderId="4" fillId="0" fontId="2" numFmtId="0" xfId="0" applyBorder="1" applyFont="1"/>
    <xf borderId="2" fillId="0" fontId="2" numFmtId="0" xfId="0" applyBorder="1" applyFont="1"/>
  </cellXfs>
  <cellStyles count="1">
    <cellStyle xfId="0" name="Normal" builtinId="0"/>
  </cellStyles>
  <dxfs count="16">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color rgb="FFFFFFFF"/>
      </font>
      <fill>
        <patternFill patternType="solid">
          <fgColor rgb="FF3C78D8"/>
          <bgColor rgb="FF3C78D8"/>
        </patternFill>
      </fill>
      <border/>
    </dxf>
    <dxf>
      <font/>
      <fill>
        <patternFill patternType="solid">
          <fgColor rgb="FFB4C6E7"/>
          <bgColor rgb="FFB4C6E7"/>
        </patternFill>
      </fill>
      <border/>
    </dxf>
    <dxf>
      <font/>
      <fill>
        <patternFill patternType="solid">
          <fgColor rgb="FFE8E7FC"/>
          <bgColor rgb="FFE8E7FC"/>
        </patternFill>
      </fill>
      <border/>
    </dxf>
    <dxf>
      <font/>
      <fill>
        <patternFill patternType="solid">
          <fgColor rgb="FFB6D7A8"/>
          <bgColor rgb="FFB6D7A8"/>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EA9999"/>
          <bgColor rgb="FFEA9999"/>
        </patternFill>
      </fill>
      <border/>
    </dxf>
    <dxf>
      <font/>
      <fill>
        <patternFill patternType="solid">
          <fgColor rgb="FFE06666"/>
          <bgColor rgb="FFE06666"/>
        </patternFill>
      </fill>
      <border/>
    </dxf>
    <dxf>
      <font/>
      <fill>
        <patternFill patternType="solid">
          <fgColor rgb="FFFF0000"/>
          <bgColor rgb="FFFF0000"/>
        </patternFill>
      </fill>
      <border/>
    </dxf>
    <dxf>
      <font/>
      <fill>
        <patternFill patternType="solid">
          <fgColor rgb="FFF4C7C3"/>
          <bgColor rgb="FFF4C7C3"/>
        </patternFill>
      </fill>
      <border/>
    </dxf>
    <dxf>
      <font/>
      <fill>
        <patternFill patternType="solid">
          <fgColor rgb="FFE6B8AF"/>
          <bgColor rgb="FFE6B8AF"/>
        </patternFill>
      </fill>
      <border/>
    </dxf>
  </dxfs>
  <tableStyles count="4">
    <tableStyle count="4" pivot="0" name="Form Responses 1-style">
      <tableStyleElement dxfId="1" type="headerRow"/>
      <tableStyleElement dxfId="2" type="firstRowStripe"/>
      <tableStyleElement dxfId="3" type="secondRowStripe"/>
      <tableStyleElement dxfId="4" size="0" type="wholeTable"/>
    </tableStyle>
    <tableStyle count="2" pivot="0" name="Sheet2-style">
      <tableStyleElement dxfId="6" type="firstRowStripe"/>
      <tableStyleElement dxfId="7" type="secondRowStripe"/>
    </tableStyle>
    <tableStyle count="2" pivot="0" name="Sheet2-style 2">
      <tableStyleElement dxfId="6" type="firstRowStripe"/>
      <tableStyleElement dxfId="7" type="secondRowStripe"/>
    </tableStyle>
    <tableStyle count="4" pivot="0" name="מקור 9.12.25 of Form Responses -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ilan harel" id="{61173de8-3d70-46cf-9e67-079918bdf709}" providerId="google-sheets"/>
</x18tc:personList>
</file>

<file path=xl/tables/table1.xml><?xml version="1.0" encoding="utf-8"?>
<table xmlns="http://schemas.openxmlformats.org/spreadsheetml/2006/main" ref="A1:R60" displayName="Form_Responses" name="Form_Responses" id="1">
  <tableColumns count="18">
    <tableColumn name="Timestamp" id="1"/>
    <tableColumn name="שם מלא" id="2"/>
    <tableColumn name="מספר אישי" id="3"/>
    <tableColumn name="Role" id="4"/>
    <tableColumn name="בקשה 1 - מתאריך" id="5"/>
    <tableColumn name="ועד לתאריך:" id="6"/>
    <tableColumn name="סיבת הבקשה" id="7"/>
    <tableColumn name="האם נדרשת יציאה מהארץ במהלך תאריכים אלו" id="8"/>
    <tableColumn name="בקשה 2 - מתאריך" id="9"/>
    <tableColumn name="ועד לתאריך2:" id="10"/>
    <tableColumn name="סיבת הבקשה 2" id="11"/>
    <tableColumn name="האם נדרשת יציאה מהארץ במהלך תאריכים אלו 2" id="12"/>
    <tableColumn name="בקשה 3- מתאריך" id="13"/>
    <tableColumn name="ועד לתאריך3:" id="14"/>
    <tableColumn name="סיבת הבקשה 3" id="15"/>
    <tableColumn name="האם נדרשת יציאה מהארץ במהלך תאריכים אלו 3" id="16"/>
    <tableColumn name="הערות נוספות" id="17"/>
    <tableColumn name="הערות שלנו" id="18"/>
  </tableColumns>
  <tableStyleInfo name="Form Responses 1-style" showColumnStripes="0" showFirstColumn="1" showLastColumn="1" showRowStripes="1"/>
</table>
</file>

<file path=xl/tables/table2.xml><?xml version="1.0" encoding="utf-8"?>
<table xmlns="http://schemas.openxmlformats.org/spreadsheetml/2006/main" headerRowCount="0" ref="A71:D71" displayName="Table_1" name="Table_1" id="2">
  <tableColumns count="4">
    <tableColumn name="Column1" id="1"/>
    <tableColumn name="Column2" id="2"/>
    <tableColumn name="Column3" id="3"/>
    <tableColumn name="Column4" id="4"/>
  </tableColumns>
  <tableStyleInfo name="Sheet2-style" showColumnStripes="0" showFirstColumn="1" showLastColumn="1" showRowStripes="1"/>
</table>
</file>

<file path=xl/tables/table3.xml><?xml version="1.0" encoding="utf-8"?>
<table xmlns="http://schemas.openxmlformats.org/spreadsheetml/2006/main" headerRowCount="0" ref="A72:D88" displayName="Table_2" name="Table_2" id="3">
  <tableColumns count="4">
    <tableColumn name="Column1" id="1"/>
    <tableColumn name="Column2" id="2"/>
    <tableColumn name="Column3" id="3"/>
    <tableColumn name="Column4" id="4"/>
  </tableColumns>
  <tableStyleInfo name="Sheet2-style 2" showColumnStripes="0" showFirstColumn="1" showLastColumn="1" showRowStripes="1"/>
</table>
</file>

<file path=xl/tables/table4.xml><?xml version="1.0" encoding="utf-8"?>
<table xmlns="http://schemas.openxmlformats.org/spreadsheetml/2006/main" ref="A1:R56" displayName="Form_Responses_2" name="Form_Responses_2" id="4">
  <tableColumns count="18">
    <tableColumn name="Timestamp" id="1"/>
    <tableColumn name="שם מלא" id="2"/>
    <tableColumn name="מספר אישי" id="3"/>
    <tableColumn name="Role" id="4"/>
    <tableColumn name="בקשה 1 - מתאריך" id="5"/>
    <tableColumn name="ועד לתאריך:" id="6"/>
    <tableColumn name="סיבת הבקשה" id="7"/>
    <tableColumn name="האם נדרשת יציאה מהארץ במהלך תאריכים אלו" id="8"/>
    <tableColumn name="בקשה 2 - מתאריך" id="9"/>
    <tableColumn name="ועד לתאריך2:" id="10"/>
    <tableColumn name="סיבת הבקשה 2" id="11"/>
    <tableColumn name="האם נדרשת יציאה מהארץ במהלך תאריכים אלו 2" id="12"/>
    <tableColumn name="בקשה 3- מתאריך" id="13"/>
    <tableColumn name="ועד לתאריך3:" id="14"/>
    <tableColumn name="סיבת הבקשה 3" id="15"/>
    <tableColumn name="האם נדרשת יציאה מהארץ במהלך תאריכים אלו 3" id="16"/>
    <tableColumn name="הערות נוספות" id="17"/>
    <tableColumn name="הערות שלנו" id="18"/>
  </tableColumns>
  <tableStyleInfo name="מקור 9.12.25 of Form Responses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L14" dT="2026-01-12T17:22:09.00" personId="{61173de8-3d70-46cf-9e67-079918bdf709}" id="{87dfa02d-7b90-45e4-8a62-60e4f6e19c4d}" done="0">
    <x18tc:text xml:space="preserve">רונן - נא לאפשר לאיגור לצאת ברביעי בלילה אם אפשרי. אחרת - חמישי לפנות בוקר לכל המאוחר.</x18tc:text>
  </x18tc:threadedComment>
  <x18tc:threadedComment ref="L13" dT="2026-01-21T15:50:27.00" personId="{61173de8-3d70-46cf-9e67-079918bdf709}" id="{043c400d-4b28-4cf2-b923-c14150a0035f}" done="0">
    <x18tc:text xml:space="preserve">אושפז בבית</x18tc:text>
  </x18tc:threadedComment>
  <x18tc:threadedComment ref="Z62" dT="2025-12-29T16:31:03.00" personId="{61173de8-3d70-46cf-9e67-079918bdf709}" id="{de1c3ca8-941c-4952-aac0-ddcda6098bbd}" done="0">
    <x18tc:text xml:space="preserve">יציאה במוצ"ש</x18tc:text>
  </x18tc:threadedComment>
  <x18tc:threadedComment ref="R31" dT="2025-12-31T13:59:00.00" personId="{61173de8-3d70-46cf-9e67-079918bdf709}" id="{447ee71e-522b-4639-b009-9f397e354ca2}" done="0">
    <x18tc:text xml:space="preserve">אפטר של 5 שעות</x18tc:text>
  </x18tc:threadedComment>
  <x18tc:threadedComment ref="Z31" dT="2025-12-31T14:02:52.00" personId="{61173de8-3d70-46cf-9e67-079918bdf709}" id="{c09f60b8-831b-492d-adb0-d1b4e6cc189e}" done="0">
    <x18tc:text xml:space="preserve">חזרה למשמרת של הצהריים. אם אפשר אז מאוחר יותר.</x18tc:text>
  </x18tc:threadedComment>
  <x18tc:threadedComment ref="AH74" dT="2025-12-28T07:11:49.00" personId="{61173de8-3d70-46cf-9e67-079918bdf709}" id="{e886ed4d-1c9f-4c9a-ba0f-470a072733de}" done="0">
    <x18tc:text xml:space="preserve">יוצא לאפטר אחה"צ</x18tc:text>
  </x18tc:threadedComment>
  <x18tc:threadedComment ref="AL74" dT="2025-12-28T07:13:12.00" personId="{61173de8-3d70-46cf-9e67-079918bdf709}" id="{4b0b0c0d-9c07-4694-83f8-959e1abf5e94}" done="0">
    <x18tc:text xml:space="preserve">חוזר בערב</x18tc:text>
  </x18tc:threadedComment>
  <x18tc:threadedComment ref="AM74" dT="2025-12-28T07:13:38.00" personId="{61173de8-3d70-46cf-9e67-079918bdf709}" id="{7ed8359f-9632-43ba-81b2-81c47e39ac04}" done="0">
    <x18tc:text xml:space="preserve">אפטר בצהריים -</x18tc:text>
  </x18tc:threadedComment>
  <x18tc:threadedComment ref="Y74" dT="2025-12-28T06:58:41.00" personId="{61173de8-3d70-46cf-9e67-079918bdf709}" id="{39224fe2-b354-44a0-b877-4b05f8836732}" done="0">
    <x18tc:text xml:space="preserve">פרימט יוצא בשישי בבוקר מוקדם 0600</x18tc:text>
  </x18tc:threadedComment>
  <x18tc:threadedComment ref="AE74" dT="2025-12-28T07:04:54.00" personId="{61173de8-3d70-46cf-9e67-079918bdf709}" id="{0a49f617-cf98-4a22-9959-27bffbbd3e5c}" done="0">
    <x18tc:text xml:space="preserve">פרימט מגיע אחה"צ</x18tc:text>
  </x18tc:threadedComment>
  <x18tc:threadedComment ref="N74" dT="2025-12-28T07:08:55.00" personId="{61173de8-3d70-46cf-9e67-079918bdf709}" id="{7e14bb7a-46d1-4968-b45b-5c41192f6cb5}" done="0">
    <x18tc:text xml:space="preserve">יציאה מאוחרת בלילה אחרי משמרות במקום שלישי בבוקר</x18tc:text>
  </x18tc:threadedComment>
  <x18tc:threadedComment ref="AR34" dT="2026-01-05T14:52:30.00" personId="{61173de8-3d70-46cf-9e67-079918bdf709}" id="{4fc0c8a4-0bed-4ac0-8f3b-a0aefeedf621}" done="0">
    <x18tc:text xml:space="preserve">אפטר בערב של 5 שעות יציאה ב 1800 וחזרה ב 11 בלילה</x18tc:text>
  </x18tc:threadedComment>
  <x18tc:threadedComment ref="AQ70" dT="2026-01-05T17:50:55.00" personId="{61173de8-3d70-46cf-9e67-079918bdf709}" id="{65284327-87f0-43cb-b665-bb3316020034}" done="0">
    <x18tc:text xml:space="preserve">חוזר מאוחר אחרי טקס</x18tc:text>
  </x18tc:threadedComment>
  <x18tc:threadedComment ref="AK72" dT="2026-01-11T12:18:13.00" personId="{61173de8-3d70-46cf-9e67-079918bdf709}" id="{fac4ce04-592e-4331-a7d0-7475332c26e2}" done="0">
    <x18tc:text xml:space="preserve">עמיר מלכי יוצא לאפטר משעות הבוקר 06:00 עד אחה"צ באישור.</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2.xml"/><Relationship Id="rId5"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1.0"/>
    <col customWidth="1" min="2" max="2" width="12.75"/>
    <col customWidth="1" min="3" max="3" width="6.25"/>
    <col customWidth="1" min="4" max="4" width="7.75"/>
    <col customWidth="1" min="5" max="5" width="7.13"/>
    <col customWidth="1" min="6" max="45" width="5.13"/>
    <col customWidth="1" min="46" max="46" width="10.13"/>
    <col customWidth="1" min="47" max="68" width="6.88"/>
  </cols>
  <sheetData>
    <row r="1">
      <c r="A1" s="7" t="s">
        <v>19</v>
      </c>
      <c r="B1" s="3" t="s">
        <v>24</v>
      </c>
      <c r="C1" s="10" t="s">
        <v>25</v>
      </c>
      <c r="D1" s="3" t="s">
        <v>26</v>
      </c>
      <c r="E1" s="7" t="s">
        <v>27</v>
      </c>
      <c r="F1" s="12">
        <v>46012.0</v>
      </c>
      <c r="G1" s="14">
        <v>46013.0</v>
      </c>
      <c r="H1" s="14">
        <v>46014.0</v>
      </c>
      <c r="I1" s="14">
        <v>46015.0</v>
      </c>
      <c r="J1" s="14">
        <v>46016.0</v>
      </c>
      <c r="K1" s="16">
        <v>46017.0</v>
      </c>
      <c r="L1" s="17">
        <v>46018.0</v>
      </c>
      <c r="M1" s="19">
        <v>46019.0</v>
      </c>
      <c r="N1" s="19">
        <v>46020.0</v>
      </c>
      <c r="O1" s="19">
        <v>46021.0</v>
      </c>
      <c r="P1" s="19">
        <v>46022.0</v>
      </c>
      <c r="Q1" s="19">
        <v>46023.0</v>
      </c>
      <c r="R1" s="16">
        <v>46024.0</v>
      </c>
      <c r="S1" s="17">
        <v>46025.0</v>
      </c>
      <c r="T1" s="19">
        <v>46026.0</v>
      </c>
      <c r="U1" s="19">
        <v>46027.0</v>
      </c>
      <c r="V1" s="19">
        <v>46028.0</v>
      </c>
      <c r="W1" s="19">
        <v>46029.0</v>
      </c>
      <c r="X1" s="19">
        <v>46030.0</v>
      </c>
      <c r="Y1" s="16">
        <v>46031.0</v>
      </c>
      <c r="Z1" s="17">
        <v>46032.0</v>
      </c>
      <c r="AA1" s="19">
        <v>46033.0</v>
      </c>
      <c r="AB1" s="19">
        <v>46034.0</v>
      </c>
      <c r="AC1" s="19">
        <v>46035.0</v>
      </c>
      <c r="AD1" s="19">
        <v>46036.0</v>
      </c>
      <c r="AE1" s="19">
        <v>46037.0</v>
      </c>
      <c r="AF1" s="16">
        <v>46038.0</v>
      </c>
      <c r="AG1" s="17">
        <v>46039.0</v>
      </c>
      <c r="AH1" s="19">
        <v>46040.0</v>
      </c>
      <c r="AI1" s="19">
        <v>46041.0</v>
      </c>
      <c r="AJ1" s="19">
        <v>46042.0</v>
      </c>
      <c r="AK1" s="19">
        <v>46043.0</v>
      </c>
      <c r="AL1" s="19">
        <v>46044.0</v>
      </c>
      <c r="AM1" s="16">
        <v>46045.0</v>
      </c>
      <c r="AN1" s="17">
        <v>46046.0</v>
      </c>
      <c r="AO1" s="19">
        <v>46047.0</v>
      </c>
      <c r="AP1" s="19">
        <v>46048.0</v>
      </c>
      <c r="AQ1" s="19">
        <v>46049.0</v>
      </c>
      <c r="AR1" s="19">
        <v>46050.0</v>
      </c>
      <c r="AS1" s="19">
        <v>46051.0</v>
      </c>
      <c r="AT1" s="3" t="s">
        <v>79</v>
      </c>
      <c r="AU1" s="3" t="s">
        <v>81</v>
      </c>
      <c r="AV1" s="22"/>
      <c r="AW1" s="22"/>
      <c r="AX1" s="22"/>
      <c r="AY1" s="22"/>
      <c r="AZ1" s="22"/>
      <c r="BA1" s="22"/>
      <c r="BB1" s="22"/>
      <c r="BC1" s="22"/>
      <c r="BD1" s="22"/>
      <c r="BE1" s="22"/>
      <c r="BF1" s="22"/>
      <c r="BG1" s="22"/>
      <c r="BH1" s="22"/>
      <c r="BI1" s="22"/>
      <c r="BJ1" s="22"/>
      <c r="BK1" s="22"/>
      <c r="BL1" s="22"/>
      <c r="BM1" s="22"/>
      <c r="BN1" s="22"/>
      <c r="BO1" s="22"/>
      <c r="BP1" s="22"/>
    </row>
    <row r="2">
      <c r="A2" s="7"/>
      <c r="B2" s="23"/>
      <c r="C2" s="24"/>
      <c r="D2" s="25"/>
      <c r="E2" s="25"/>
      <c r="F2" s="26" t="s">
        <v>35</v>
      </c>
      <c r="G2" s="23" t="s">
        <v>36</v>
      </c>
      <c r="H2" s="23" t="s">
        <v>37</v>
      </c>
      <c r="I2" s="23" t="s">
        <v>38</v>
      </c>
      <c r="J2" s="23" t="s">
        <v>39</v>
      </c>
      <c r="K2" s="27" t="s">
        <v>40</v>
      </c>
      <c r="L2" s="28" t="s">
        <v>34</v>
      </c>
      <c r="M2" s="23" t="s">
        <v>35</v>
      </c>
      <c r="N2" s="23" t="s">
        <v>36</v>
      </c>
      <c r="O2" s="23" t="s">
        <v>37</v>
      </c>
      <c r="P2" s="23" t="s">
        <v>38</v>
      </c>
      <c r="Q2" s="23" t="s">
        <v>39</v>
      </c>
      <c r="R2" s="27" t="s">
        <v>40</v>
      </c>
      <c r="S2" s="28" t="s">
        <v>34</v>
      </c>
      <c r="T2" s="23" t="s">
        <v>35</v>
      </c>
      <c r="U2" s="23" t="s">
        <v>36</v>
      </c>
      <c r="V2" s="23" t="s">
        <v>37</v>
      </c>
      <c r="W2" s="23" t="s">
        <v>38</v>
      </c>
      <c r="X2" s="23" t="s">
        <v>39</v>
      </c>
      <c r="Y2" s="27" t="s">
        <v>40</v>
      </c>
      <c r="Z2" s="28" t="s">
        <v>34</v>
      </c>
      <c r="AA2" s="23" t="s">
        <v>35</v>
      </c>
      <c r="AB2" s="23" t="s">
        <v>36</v>
      </c>
      <c r="AC2" s="23" t="s">
        <v>37</v>
      </c>
      <c r="AD2" s="23" t="s">
        <v>38</v>
      </c>
      <c r="AE2" s="23" t="s">
        <v>39</v>
      </c>
      <c r="AF2" s="27" t="s">
        <v>40</v>
      </c>
      <c r="AG2" s="28" t="s">
        <v>34</v>
      </c>
      <c r="AH2" s="23" t="s">
        <v>35</v>
      </c>
      <c r="AI2" s="23" t="s">
        <v>36</v>
      </c>
      <c r="AJ2" s="23" t="s">
        <v>37</v>
      </c>
      <c r="AK2" s="23" t="s">
        <v>38</v>
      </c>
      <c r="AL2" s="23" t="s">
        <v>39</v>
      </c>
      <c r="AM2" s="27" t="s">
        <v>40</v>
      </c>
      <c r="AN2" s="28" t="s">
        <v>34</v>
      </c>
      <c r="AO2" s="23" t="s">
        <v>35</v>
      </c>
      <c r="AP2" s="23" t="s">
        <v>36</v>
      </c>
      <c r="AQ2" s="23" t="s">
        <v>37</v>
      </c>
      <c r="AR2" s="23" t="s">
        <v>38</v>
      </c>
      <c r="AS2" s="23" t="s">
        <v>39</v>
      </c>
      <c r="AT2" s="29"/>
      <c r="AU2" s="29"/>
      <c r="AV2" s="29"/>
      <c r="AW2" s="29"/>
      <c r="AX2" s="29"/>
      <c r="AY2" s="29"/>
      <c r="AZ2" s="29"/>
      <c r="BA2" s="29"/>
      <c r="BB2" s="29"/>
      <c r="BC2" s="29"/>
      <c r="BD2" s="29"/>
      <c r="BE2" s="29"/>
      <c r="BF2" s="29"/>
      <c r="BG2" s="29"/>
      <c r="BH2" s="29"/>
      <c r="BI2" s="29"/>
      <c r="BJ2" s="29"/>
      <c r="BK2" s="29"/>
      <c r="BL2" s="29"/>
      <c r="BM2" s="29"/>
      <c r="BN2" s="29"/>
      <c r="BO2" s="29"/>
      <c r="BP2" s="29"/>
    </row>
    <row r="3">
      <c r="A3" s="7">
        <v>5152068.0</v>
      </c>
      <c r="B3" s="23" t="s">
        <v>60</v>
      </c>
      <c r="C3" s="24">
        <v>3.0</v>
      </c>
      <c r="D3" s="25">
        <f t="shared" ref="D3:D90" si="1">SUM(F3:AS3)</f>
        <v>26.5</v>
      </c>
      <c r="E3" s="25" t="s">
        <v>87</v>
      </c>
      <c r="F3" s="30">
        <v>1.0</v>
      </c>
      <c r="G3" s="25">
        <v>1.0</v>
      </c>
      <c r="H3" s="25">
        <v>1.0</v>
      </c>
      <c r="I3" s="25">
        <v>1.0</v>
      </c>
      <c r="J3" s="25">
        <v>1.0</v>
      </c>
      <c r="K3" s="31">
        <v>1.0</v>
      </c>
      <c r="L3" s="32">
        <v>1.0</v>
      </c>
      <c r="M3" s="33">
        <v>1.0</v>
      </c>
      <c r="N3" s="33">
        <v>1.0</v>
      </c>
      <c r="O3" s="33">
        <v>1.0</v>
      </c>
      <c r="P3" s="34">
        <v>0.5</v>
      </c>
      <c r="Q3" s="35">
        <v>0.0</v>
      </c>
      <c r="R3" s="35">
        <v>0.0</v>
      </c>
      <c r="S3" s="36">
        <v>0.0</v>
      </c>
      <c r="T3" s="34">
        <v>0.5</v>
      </c>
      <c r="U3" s="25">
        <v>1.0</v>
      </c>
      <c r="V3" s="25">
        <v>1.0</v>
      </c>
      <c r="W3" s="25">
        <v>1.0</v>
      </c>
      <c r="X3" s="25">
        <v>1.0</v>
      </c>
      <c r="Y3" s="31">
        <v>1.0</v>
      </c>
      <c r="Z3" s="32">
        <v>1.0</v>
      </c>
      <c r="AA3" s="25">
        <v>1.0</v>
      </c>
      <c r="AB3" s="25">
        <v>1.0</v>
      </c>
      <c r="AC3" s="34">
        <v>0.5</v>
      </c>
      <c r="AD3" s="35">
        <v>0.0</v>
      </c>
      <c r="AE3" s="35">
        <v>0.0</v>
      </c>
      <c r="AF3" s="35">
        <v>0.0</v>
      </c>
      <c r="AG3" s="37">
        <v>0.0</v>
      </c>
      <c r="AH3" s="25">
        <v>0.5</v>
      </c>
      <c r="AI3" s="25">
        <v>1.0</v>
      </c>
      <c r="AJ3" s="25">
        <v>1.0</v>
      </c>
      <c r="AK3" s="25">
        <v>1.0</v>
      </c>
      <c r="AL3" s="25">
        <v>1.0</v>
      </c>
      <c r="AM3" s="31">
        <v>1.0</v>
      </c>
      <c r="AN3" s="32">
        <v>1.0</v>
      </c>
      <c r="AO3" s="25">
        <v>0.5</v>
      </c>
      <c r="AP3" s="25">
        <v>0.0</v>
      </c>
      <c r="AQ3" s="25">
        <v>0.0</v>
      </c>
      <c r="AR3" s="25">
        <v>0.0</v>
      </c>
      <c r="AS3" s="25">
        <v>0.0</v>
      </c>
      <c r="AT3" s="29">
        <f t="shared" ref="AT3:AT20" si="2">40-D3</f>
        <v>13.5</v>
      </c>
      <c r="AU3" s="29">
        <f t="array" ref="AU3">MAX(
    FREQUENCY(
      IF(F3:AS3=1, COLUMN(F3:AS3)),
      IF(F3:AS3&lt;&gt;1, COLUMN(F3:AS3))
    )
  )</f>
        <v>10</v>
      </c>
      <c r="AV3" s="23" t="s">
        <v>91</v>
      </c>
      <c r="AW3" s="29">
        <f>40*9/14</f>
        <v>25.71428571</v>
      </c>
      <c r="AX3" s="29"/>
      <c r="AY3" s="29"/>
      <c r="AZ3" s="29"/>
      <c r="BA3" s="29"/>
      <c r="BB3" s="29"/>
      <c r="BC3" s="29"/>
      <c r="BD3" s="29"/>
      <c r="BE3" s="29"/>
      <c r="BF3" s="29"/>
      <c r="BG3" s="29"/>
      <c r="BH3" s="29"/>
      <c r="BI3" s="29"/>
      <c r="BJ3" s="29"/>
      <c r="BK3" s="29"/>
      <c r="BL3" s="29"/>
      <c r="BM3" s="29"/>
      <c r="BN3" s="29"/>
      <c r="BO3" s="29"/>
      <c r="BP3" s="29"/>
    </row>
    <row r="4">
      <c r="A4" s="7">
        <v>5757009.0</v>
      </c>
      <c r="B4" s="23" t="s">
        <v>93</v>
      </c>
      <c r="C4" s="24">
        <v>2.0</v>
      </c>
      <c r="D4" s="25">
        <f t="shared" si="1"/>
        <v>26.5</v>
      </c>
      <c r="E4" s="25" t="s">
        <v>94</v>
      </c>
      <c r="F4" s="45">
        <v>0.5</v>
      </c>
      <c r="G4" s="46">
        <v>0.0</v>
      </c>
      <c r="H4" s="46">
        <v>0.0</v>
      </c>
      <c r="I4" s="47">
        <v>0.5</v>
      </c>
      <c r="J4" s="25">
        <v>1.0</v>
      </c>
      <c r="K4" s="31">
        <v>1.0</v>
      </c>
      <c r="L4" s="32">
        <v>1.0</v>
      </c>
      <c r="M4" s="25">
        <v>1.0</v>
      </c>
      <c r="N4" s="25">
        <v>1.0</v>
      </c>
      <c r="O4" s="25">
        <v>1.0</v>
      </c>
      <c r="P4" s="25">
        <v>1.0</v>
      </c>
      <c r="Q4" s="25">
        <v>1.0</v>
      </c>
      <c r="R4" s="31">
        <v>0.5</v>
      </c>
      <c r="S4" s="32">
        <v>0.0</v>
      </c>
      <c r="T4" s="25">
        <v>0.0</v>
      </c>
      <c r="U4" s="25">
        <v>0.5</v>
      </c>
      <c r="V4" s="25">
        <v>1.0</v>
      </c>
      <c r="W4" s="25">
        <v>1.0</v>
      </c>
      <c r="X4" s="25">
        <v>1.0</v>
      </c>
      <c r="Y4" s="31">
        <v>1.0</v>
      </c>
      <c r="Z4" s="32">
        <v>1.0</v>
      </c>
      <c r="AA4" s="25">
        <v>1.0</v>
      </c>
      <c r="AB4" s="45">
        <v>0.5</v>
      </c>
      <c r="AC4" s="46">
        <v>0.0</v>
      </c>
      <c r="AD4" s="46">
        <v>0.0</v>
      </c>
      <c r="AE4" s="47">
        <v>0.5</v>
      </c>
      <c r="AF4" s="25">
        <v>1.0</v>
      </c>
      <c r="AG4" s="32">
        <v>1.0</v>
      </c>
      <c r="AH4" s="25">
        <v>1.0</v>
      </c>
      <c r="AI4" s="25">
        <v>1.0</v>
      </c>
      <c r="AJ4" s="25">
        <v>0.5</v>
      </c>
      <c r="AK4" s="25">
        <v>0.5</v>
      </c>
      <c r="AL4" s="25">
        <v>1.0</v>
      </c>
      <c r="AM4" s="34">
        <v>0.5</v>
      </c>
      <c r="AN4" s="36">
        <v>0.0</v>
      </c>
      <c r="AO4" s="35">
        <v>0.0</v>
      </c>
      <c r="AP4" s="34">
        <v>0.5</v>
      </c>
      <c r="AQ4" s="25">
        <v>1.0</v>
      </c>
      <c r="AR4" s="25">
        <v>1.0</v>
      </c>
      <c r="AS4" s="25">
        <v>0.5</v>
      </c>
      <c r="AT4" s="29">
        <f t="shared" si="2"/>
        <v>13.5</v>
      </c>
      <c r="AU4" s="29">
        <f t="array" ref="AU4">MAX(
    FREQUENCY(
      IF(F4:AS4=1, COLUMN(F4:AS4)),
      IF(F4:AS4&lt;&gt;1, COLUMN(F4:AS4))
    )
  )</f>
        <v>8</v>
      </c>
      <c r="AV4" s="29"/>
      <c r="AW4" s="29"/>
      <c r="AX4" s="29"/>
      <c r="AY4" s="29"/>
      <c r="AZ4" s="29"/>
      <c r="BA4" s="29"/>
      <c r="BB4" s="29"/>
      <c r="BC4" s="29"/>
      <c r="BD4" s="29"/>
      <c r="BE4" s="29"/>
      <c r="BF4" s="29"/>
      <c r="BG4" s="29"/>
      <c r="BH4" s="29"/>
      <c r="BI4" s="29"/>
      <c r="BJ4" s="29"/>
      <c r="BK4" s="29"/>
      <c r="BL4" s="29"/>
      <c r="BM4" s="29"/>
      <c r="BN4" s="29"/>
      <c r="BO4" s="29"/>
      <c r="BP4" s="29"/>
    </row>
    <row r="5">
      <c r="A5" s="7">
        <v>7444240.0</v>
      </c>
      <c r="B5" s="23" t="s">
        <v>110</v>
      </c>
      <c r="C5" s="24">
        <v>2.0</v>
      </c>
      <c r="D5" s="25">
        <f t="shared" si="1"/>
        <v>27.5</v>
      </c>
      <c r="E5" s="25" t="s">
        <v>94</v>
      </c>
      <c r="F5" s="30">
        <v>1.0</v>
      </c>
      <c r="G5" s="25">
        <v>1.0</v>
      </c>
      <c r="H5" s="25">
        <v>1.0</v>
      </c>
      <c r="I5" s="25">
        <v>1.0</v>
      </c>
      <c r="J5" s="25">
        <v>1.0</v>
      </c>
      <c r="K5" s="25">
        <v>1.0</v>
      </c>
      <c r="L5" s="32">
        <v>1.0</v>
      </c>
      <c r="M5" s="25">
        <v>0.5</v>
      </c>
      <c r="N5" s="31">
        <v>0.0</v>
      </c>
      <c r="O5" s="33">
        <v>0.5</v>
      </c>
      <c r="P5" s="25">
        <v>1.0</v>
      </c>
      <c r="Q5" s="25">
        <v>1.0</v>
      </c>
      <c r="R5" s="31">
        <v>1.0</v>
      </c>
      <c r="S5" s="32">
        <v>1.0</v>
      </c>
      <c r="T5" s="25">
        <v>1.0</v>
      </c>
      <c r="U5" s="25">
        <v>1.0</v>
      </c>
      <c r="V5" s="25">
        <v>1.0</v>
      </c>
      <c r="W5" s="25">
        <v>1.0</v>
      </c>
      <c r="X5" s="25">
        <v>1.0</v>
      </c>
      <c r="Y5" s="25">
        <v>0.5</v>
      </c>
      <c r="Z5" s="32">
        <v>0.0</v>
      </c>
      <c r="AA5" s="25">
        <v>0.0</v>
      </c>
      <c r="AB5" s="31">
        <v>0.0</v>
      </c>
      <c r="AC5" s="31">
        <v>0.0</v>
      </c>
      <c r="AD5" s="25">
        <v>0.5</v>
      </c>
      <c r="AE5" s="25">
        <v>1.0</v>
      </c>
      <c r="AF5" s="31">
        <v>1.0</v>
      </c>
      <c r="AG5" s="32">
        <v>1.0</v>
      </c>
      <c r="AH5" s="25">
        <v>1.0</v>
      </c>
      <c r="AI5" s="25">
        <v>1.0</v>
      </c>
      <c r="AJ5" s="25">
        <v>1.0</v>
      </c>
      <c r="AK5" s="25">
        <v>1.0</v>
      </c>
      <c r="AL5" s="25">
        <v>1.0</v>
      </c>
      <c r="AM5" s="31">
        <v>1.0</v>
      </c>
      <c r="AN5" s="32">
        <v>0.5</v>
      </c>
      <c r="AO5" s="25">
        <v>0.0</v>
      </c>
      <c r="AP5" s="31">
        <v>0.0</v>
      </c>
      <c r="AQ5" s="31">
        <v>0.0</v>
      </c>
      <c r="AR5" s="31">
        <v>0.0</v>
      </c>
      <c r="AS5" s="25">
        <v>0.0</v>
      </c>
      <c r="AT5" s="29">
        <f t="shared" si="2"/>
        <v>12.5</v>
      </c>
      <c r="AU5" s="29">
        <f t="array" ref="AU5">MAX(
    FREQUENCY(
      IF(F5:AS5=1, COLUMN(F5:AS5)),
      IF(F5:AS5&lt;&gt;1, COLUMN(F5:AS5))
    )
  )</f>
        <v>9</v>
      </c>
      <c r="AV5" s="29"/>
      <c r="AW5" s="29"/>
      <c r="AX5" s="29"/>
      <c r="AY5" s="29"/>
      <c r="AZ5" s="29"/>
      <c r="BA5" s="29"/>
      <c r="BB5" s="29"/>
      <c r="BC5" s="29"/>
      <c r="BD5" s="29"/>
      <c r="BE5" s="29"/>
      <c r="BF5" s="29"/>
      <c r="BG5" s="29"/>
      <c r="BH5" s="29"/>
      <c r="BI5" s="29"/>
      <c r="BJ5" s="29"/>
      <c r="BK5" s="29"/>
      <c r="BL5" s="29"/>
      <c r="BM5" s="29"/>
      <c r="BN5" s="29"/>
      <c r="BO5" s="29"/>
      <c r="BP5" s="29"/>
    </row>
    <row r="6">
      <c r="A6" s="7">
        <v>5896011.0</v>
      </c>
      <c r="B6" s="23" t="s">
        <v>74</v>
      </c>
      <c r="C6" s="24">
        <v>1.0</v>
      </c>
      <c r="D6" s="25">
        <f t="shared" si="1"/>
        <v>27.5</v>
      </c>
      <c r="E6" s="25" t="s">
        <v>112</v>
      </c>
      <c r="F6" s="30">
        <v>1.0</v>
      </c>
      <c r="G6" s="25">
        <v>1.0</v>
      </c>
      <c r="H6" s="25">
        <v>1.0</v>
      </c>
      <c r="I6" s="25">
        <v>1.0</v>
      </c>
      <c r="J6" s="25">
        <v>0.5</v>
      </c>
      <c r="K6" s="31">
        <v>0.0</v>
      </c>
      <c r="L6" s="32">
        <v>0.0</v>
      </c>
      <c r="M6" s="33">
        <v>0.5</v>
      </c>
      <c r="N6" s="33">
        <v>1.0</v>
      </c>
      <c r="O6" s="33">
        <v>1.0</v>
      </c>
      <c r="P6" s="33">
        <v>1.0</v>
      </c>
      <c r="Q6" s="33">
        <v>1.0</v>
      </c>
      <c r="R6" s="25">
        <v>1.0</v>
      </c>
      <c r="S6" s="32">
        <v>1.0</v>
      </c>
      <c r="T6" s="25">
        <v>1.0</v>
      </c>
      <c r="U6" s="25">
        <v>1.0</v>
      </c>
      <c r="V6" s="25">
        <v>0.5</v>
      </c>
      <c r="W6" s="31">
        <v>0.0</v>
      </c>
      <c r="X6" s="31">
        <v>0.0</v>
      </c>
      <c r="Y6" s="31">
        <v>0.5</v>
      </c>
      <c r="Z6" s="32">
        <v>1.0</v>
      </c>
      <c r="AA6" s="33">
        <v>1.0</v>
      </c>
      <c r="AB6" s="33">
        <v>1.0</v>
      </c>
      <c r="AC6" s="25">
        <v>1.0</v>
      </c>
      <c r="AD6" s="25">
        <v>1.0</v>
      </c>
      <c r="AE6" s="25">
        <v>1.0</v>
      </c>
      <c r="AF6" s="31">
        <v>0.5</v>
      </c>
      <c r="AG6" s="32">
        <v>0.5</v>
      </c>
      <c r="AH6" s="25">
        <v>1.0</v>
      </c>
      <c r="AI6" s="25">
        <v>1.0</v>
      </c>
      <c r="AJ6" s="25">
        <v>0.5</v>
      </c>
      <c r="AK6" s="25">
        <v>0.0</v>
      </c>
      <c r="AL6" s="25">
        <v>0.0</v>
      </c>
      <c r="AM6" s="25">
        <v>0.0</v>
      </c>
      <c r="AN6" s="32">
        <v>0.0</v>
      </c>
      <c r="AO6" s="25">
        <v>0.5</v>
      </c>
      <c r="AP6" s="25">
        <v>1.0</v>
      </c>
      <c r="AQ6" s="25">
        <v>1.0</v>
      </c>
      <c r="AR6" s="25">
        <v>1.0</v>
      </c>
      <c r="AS6" s="25">
        <v>0.5</v>
      </c>
      <c r="AT6" s="29">
        <f t="shared" si="2"/>
        <v>12.5</v>
      </c>
      <c r="AU6" s="29">
        <f t="array" ref="AU6">MAX(
    FREQUENCY(
      IF(F6:AS6=1, COLUMN(F6:AS6)),
      IF(F6:AS6&lt;&gt;1, COLUMN(F6:AS6))
    )
  )</f>
        <v>8</v>
      </c>
      <c r="AV6" s="29"/>
      <c r="AW6" s="29"/>
      <c r="AX6" s="29"/>
      <c r="AY6" s="29"/>
      <c r="AZ6" s="29"/>
      <c r="BA6" s="29"/>
      <c r="BB6" s="29"/>
      <c r="BC6" s="29"/>
      <c r="BD6" s="29"/>
      <c r="BE6" s="29"/>
      <c r="BF6" s="29"/>
      <c r="BG6" s="29"/>
      <c r="BH6" s="29"/>
      <c r="BI6" s="29"/>
      <c r="BJ6" s="29"/>
      <c r="BK6" s="29"/>
      <c r="BL6" s="29"/>
      <c r="BM6" s="29"/>
      <c r="BN6" s="29"/>
      <c r="BO6" s="29"/>
      <c r="BP6" s="29"/>
    </row>
    <row r="7">
      <c r="A7" s="7">
        <v>4388611.0</v>
      </c>
      <c r="B7" s="23" t="s">
        <v>114</v>
      </c>
      <c r="C7" s="10" t="s">
        <v>115</v>
      </c>
      <c r="D7" s="25">
        <f t="shared" si="1"/>
        <v>27.5</v>
      </c>
      <c r="E7" s="25" t="s">
        <v>116</v>
      </c>
      <c r="F7" s="30">
        <v>1.0</v>
      </c>
      <c r="G7" s="25">
        <v>1.0</v>
      </c>
      <c r="H7" s="25">
        <v>1.0</v>
      </c>
      <c r="I7" s="25">
        <v>1.0</v>
      </c>
      <c r="J7" s="25">
        <v>1.0</v>
      </c>
      <c r="K7" s="48">
        <v>1.0</v>
      </c>
      <c r="L7" s="49">
        <v>0.5</v>
      </c>
      <c r="M7" s="46">
        <v>0.0</v>
      </c>
      <c r="N7" s="46">
        <v>0.5</v>
      </c>
      <c r="O7" s="46">
        <v>1.0</v>
      </c>
      <c r="P7" s="46">
        <v>1.0</v>
      </c>
      <c r="Q7" s="46">
        <v>0.5</v>
      </c>
      <c r="R7" s="46">
        <v>0.0</v>
      </c>
      <c r="S7" s="49">
        <v>0.0</v>
      </c>
      <c r="T7" s="46">
        <v>0.0</v>
      </c>
      <c r="U7" s="46">
        <v>0.5</v>
      </c>
      <c r="V7" s="25">
        <v>1.0</v>
      </c>
      <c r="W7" s="25">
        <v>1.0</v>
      </c>
      <c r="X7" s="25">
        <v>1.0</v>
      </c>
      <c r="Y7" s="31">
        <v>1.0</v>
      </c>
      <c r="Z7" s="49">
        <v>0.5</v>
      </c>
      <c r="AA7" s="46">
        <v>0.0</v>
      </c>
      <c r="AB7" s="46">
        <v>0.5</v>
      </c>
      <c r="AC7" s="25">
        <v>1.0</v>
      </c>
      <c r="AD7" s="25">
        <v>1.0</v>
      </c>
      <c r="AE7" s="25">
        <v>1.0</v>
      </c>
      <c r="AF7" s="31">
        <v>1.0</v>
      </c>
      <c r="AG7" s="49">
        <v>0.5</v>
      </c>
      <c r="AH7" s="46">
        <v>0.0</v>
      </c>
      <c r="AI7" s="46">
        <v>0.5</v>
      </c>
      <c r="AJ7" s="25">
        <v>1.0</v>
      </c>
      <c r="AK7" s="25">
        <v>1.0</v>
      </c>
      <c r="AL7" s="25">
        <v>1.0</v>
      </c>
      <c r="AM7" s="31">
        <v>1.0</v>
      </c>
      <c r="AN7" s="49">
        <v>0.5</v>
      </c>
      <c r="AO7" s="46">
        <v>0.0</v>
      </c>
      <c r="AP7" s="46">
        <v>0.5</v>
      </c>
      <c r="AQ7" s="25">
        <v>1.0</v>
      </c>
      <c r="AR7" s="25">
        <v>1.0</v>
      </c>
      <c r="AS7" s="25">
        <v>0.5</v>
      </c>
      <c r="AT7" s="29">
        <f t="shared" si="2"/>
        <v>12.5</v>
      </c>
      <c r="AU7" s="29">
        <f t="array" ref="AU7">MAX(
    FREQUENCY(
      IF(F7:AS7=1, COLUMN(F7:AS7)),
      IF(F7:AS7&lt;&gt;1, COLUMN(F7:AS7))
    )
  )</f>
        <v>6</v>
      </c>
      <c r="AV7" s="29"/>
      <c r="AW7" s="29"/>
      <c r="AX7" s="29"/>
      <c r="AY7" s="29"/>
      <c r="AZ7" s="29"/>
      <c r="BA7" s="29"/>
      <c r="BB7" s="29"/>
      <c r="BC7" s="29"/>
      <c r="BD7" s="29"/>
      <c r="BE7" s="29"/>
      <c r="BF7" s="29"/>
      <c r="BG7" s="29"/>
      <c r="BH7" s="29"/>
      <c r="BI7" s="29"/>
      <c r="BJ7" s="29"/>
      <c r="BK7" s="29"/>
      <c r="BL7" s="29"/>
      <c r="BM7" s="29"/>
      <c r="BN7" s="29"/>
      <c r="BO7" s="29"/>
      <c r="BP7" s="29"/>
    </row>
    <row r="8">
      <c r="A8" s="7">
        <v>5372450.0</v>
      </c>
      <c r="B8" s="23" t="s">
        <v>117</v>
      </c>
      <c r="C8" s="24">
        <v>1.0</v>
      </c>
      <c r="D8" s="25">
        <f t="shared" si="1"/>
        <v>21.5</v>
      </c>
      <c r="E8" s="25" t="s">
        <v>94</v>
      </c>
      <c r="F8" s="30">
        <v>1.0</v>
      </c>
      <c r="G8" s="25">
        <v>1.0</v>
      </c>
      <c r="H8" s="25">
        <v>1.0</v>
      </c>
      <c r="I8" s="25">
        <v>1.0</v>
      </c>
      <c r="J8" s="25">
        <v>1.0</v>
      </c>
      <c r="K8" s="31">
        <v>1.0</v>
      </c>
      <c r="L8" s="32">
        <v>1.0</v>
      </c>
      <c r="M8" s="50">
        <v>0.5</v>
      </c>
      <c r="N8" s="46">
        <v>0.0</v>
      </c>
      <c r="O8" s="46">
        <v>0.0</v>
      </c>
      <c r="P8" s="47">
        <v>0.5</v>
      </c>
      <c r="Q8" s="25">
        <v>1.0</v>
      </c>
      <c r="R8" s="31">
        <v>1.0</v>
      </c>
      <c r="S8" s="32">
        <v>1.0</v>
      </c>
      <c r="T8" s="46">
        <v>0.5</v>
      </c>
      <c r="U8" s="46">
        <v>0.0</v>
      </c>
      <c r="V8" s="46">
        <v>0.0</v>
      </c>
      <c r="W8" s="46">
        <v>0.0</v>
      </c>
      <c r="X8" s="46">
        <v>0.0</v>
      </c>
      <c r="Y8" s="48">
        <v>0.0</v>
      </c>
      <c r="Z8" s="49">
        <v>0.0</v>
      </c>
      <c r="AA8" s="46">
        <v>0.0</v>
      </c>
      <c r="AB8" s="47">
        <v>0.5</v>
      </c>
      <c r="AC8" s="25">
        <v>1.0</v>
      </c>
      <c r="AD8" s="25">
        <v>1.0</v>
      </c>
      <c r="AE8" s="25">
        <v>1.0</v>
      </c>
      <c r="AF8" s="31">
        <v>1.0</v>
      </c>
      <c r="AG8" s="32">
        <v>1.0</v>
      </c>
      <c r="AH8" s="25">
        <v>1.0</v>
      </c>
      <c r="AI8" s="45">
        <v>0.5</v>
      </c>
      <c r="AJ8" s="46">
        <v>0.0</v>
      </c>
      <c r="AK8" s="46">
        <v>0.0</v>
      </c>
      <c r="AL8" s="46">
        <v>0.0</v>
      </c>
      <c r="AM8" s="48">
        <v>0.0</v>
      </c>
      <c r="AN8" s="49">
        <v>0.0</v>
      </c>
      <c r="AO8" s="46">
        <v>0.0</v>
      </c>
      <c r="AP8" s="47">
        <v>0.5</v>
      </c>
      <c r="AQ8" s="25">
        <v>1.0</v>
      </c>
      <c r="AR8" s="25">
        <v>1.0</v>
      </c>
      <c r="AS8" s="25">
        <v>0.5</v>
      </c>
      <c r="AT8" s="29">
        <f t="shared" si="2"/>
        <v>18.5</v>
      </c>
      <c r="AU8" s="29">
        <f t="array" ref="AU8">MAX(
    FREQUENCY(
      IF(F8:AS8=1, COLUMN(F8:AS8)),
      IF(F8:AS8&lt;&gt;1, COLUMN(F8:AS8))
    )
  )</f>
        <v>7</v>
      </c>
      <c r="AV8" s="29"/>
      <c r="AW8" s="29"/>
      <c r="AX8" s="29"/>
      <c r="AY8" s="29"/>
      <c r="AZ8" s="29"/>
      <c r="BA8" s="29"/>
      <c r="BB8" s="29"/>
      <c r="BC8" s="29"/>
      <c r="BD8" s="29"/>
      <c r="BE8" s="29"/>
      <c r="BF8" s="29"/>
      <c r="BG8" s="29"/>
      <c r="BH8" s="29"/>
      <c r="BI8" s="29"/>
      <c r="BJ8" s="29"/>
      <c r="BK8" s="29"/>
      <c r="BL8" s="29"/>
      <c r="BM8" s="29"/>
      <c r="BN8" s="29"/>
      <c r="BO8" s="29"/>
      <c r="BP8" s="29"/>
    </row>
    <row r="9">
      <c r="A9" s="7">
        <v>7301390.0</v>
      </c>
      <c r="B9" s="23" t="s">
        <v>119</v>
      </c>
      <c r="C9" s="24">
        <v>3.0</v>
      </c>
      <c r="D9" s="25">
        <f t="shared" si="1"/>
        <v>25.5</v>
      </c>
      <c r="E9" s="25" t="s">
        <v>112</v>
      </c>
      <c r="F9" s="30">
        <v>1.0</v>
      </c>
      <c r="G9" s="25">
        <v>1.0</v>
      </c>
      <c r="H9" s="25">
        <v>1.0</v>
      </c>
      <c r="I9" s="25">
        <v>1.0</v>
      </c>
      <c r="J9" s="25">
        <v>1.0</v>
      </c>
      <c r="K9" s="31">
        <v>1.0</v>
      </c>
      <c r="L9" s="32">
        <v>1.0</v>
      </c>
      <c r="M9" s="34">
        <v>0.5</v>
      </c>
      <c r="N9" s="35">
        <v>0.0</v>
      </c>
      <c r="O9" s="34">
        <v>0.5</v>
      </c>
      <c r="P9" s="25">
        <v>1.0</v>
      </c>
      <c r="Q9" s="25">
        <v>1.0</v>
      </c>
      <c r="R9" s="31">
        <v>1.0</v>
      </c>
      <c r="S9" s="32">
        <v>1.0</v>
      </c>
      <c r="T9" s="25">
        <v>1.0</v>
      </c>
      <c r="U9" s="25">
        <v>1.0</v>
      </c>
      <c r="V9" s="25">
        <v>1.0</v>
      </c>
      <c r="W9" s="25">
        <v>1.0</v>
      </c>
      <c r="X9" s="51">
        <v>1.0</v>
      </c>
      <c r="Y9" s="52">
        <v>0.5</v>
      </c>
      <c r="Z9" s="36">
        <v>0.0</v>
      </c>
      <c r="AA9" s="51">
        <v>0.0</v>
      </c>
      <c r="AB9" s="25">
        <v>0.0</v>
      </c>
      <c r="AC9" s="25">
        <v>0.5</v>
      </c>
      <c r="AD9" s="25">
        <v>1.0</v>
      </c>
      <c r="AE9" s="25">
        <v>1.0</v>
      </c>
      <c r="AF9" s="31">
        <v>1.0</v>
      </c>
      <c r="AG9" s="37">
        <v>1.0</v>
      </c>
      <c r="AH9" s="25">
        <v>1.0</v>
      </c>
      <c r="AI9" s="51">
        <v>0.5</v>
      </c>
      <c r="AJ9" s="53">
        <v>0.0</v>
      </c>
      <c r="AK9" s="54">
        <v>0.0</v>
      </c>
      <c r="AL9" s="53">
        <v>0.0</v>
      </c>
      <c r="AM9" s="55">
        <v>0.0</v>
      </c>
      <c r="AN9" s="32">
        <v>0.5</v>
      </c>
      <c r="AO9" s="25">
        <v>1.0</v>
      </c>
      <c r="AP9" s="45">
        <v>0.5</v>
      </c>
      <c r="AQ9" s="46">
        <v>0.0</v>
      </c>
      <c r="AR9" s="46">
        <v>0.0</v>
      </c>
      <c r="AS9" s="47">
        <v>0.0</v>
      </c>
      <c r="AT9" s="29">
        <f t="shared" si="2"/>
        <v>14.5</v>
      </c>
      <c r="AU9" s="29">
        <f t="array" ref="AU9">MAX(
    FREQUENCY(
      IF(F9:AS9=1, COLUMN(F9:AS9)),
      IF(F9:AS9&lt;&gt;1, COLUMN(F9:AS9))
    )
  )</f>
        <v>9</v>
      </c>
      <c r="AV9" s="29"/>
      <c r="AW9" s="29"/>
      <c r="AX9" s="29"/>
      <c r="AY9" s="29"/>
      <c r="AZ9" s="29"/>
      <c r="BA9" s="29"/>
      <c r="BB9" s="29"/>
      <c r="BC9" s="29"/>
      <c r="BD9" s="29"/>
      <c r="BE9" s="29"/>
      <c r="BF9" s="29"/>
      <c r="BG9" s="29"/>
      <c r="BH9" s="29"/>
      <c r="BI9" s="29"/>
      <c r="BJ9" s="29"/>
      <c r="BK9" s="29"/>
      <c r="BL9" s="29"/>
      <c r="BM9" s="29"/>
      <c r="BN9" s="29"/>
      <c r="BO9" s="29"/>
      <c r="BP9" s="29"/>
    </row>
    <row r="10">
      <c r="A10" s="7">
        <v>8125678.0</v>
      </c>
      <c r="B10" s="23" t="s">
        <v>140</v>
      </c>
      <c r="C10" s="24">
        <v>3.0</v>
      </c>
      <c r="D10" s="25">
        <f t="shared" si="1"/>
        <v>14</v>
      </c>
      <c r="E10" s="25" t="s">
        <v>94</v>
      </c>
      <c r="F10" s="30">
        <v>1.0</v>
      </c>
      <c r="G10" s="45">
        <v>0.5</v>
      </c>
      <c r="H10" s="47">
        <v>0.5</v>
      </c>
      <c r="I10" s="25">
        <v>1.0</v>
      </c>
      <c r="J10" s="25">
        <v>1.0</v>
      </c>
      <c r="K10" s="31">
        <v>1.0</v>
      </c>
      <c r="L10" s="32">
        <v>1.0</v>
      </c>
      <c r="M10" s="25">
        <v>1.0</v>
      </c>
      <c r="N10" s="45">
        <v>0.5</v>
      </c>
      <c r="O10" s="46">
        <v>0.0</v>
      </c>
      <c r="P10" s="46">
        <v>0.0</v>
      </c>
      <c r="Q10" s="46">
        <v>0.0</v>
      </c>
      <c r="R10" s="48">
        <v>0.5</v>
      </c>
      <c r="S10" s="49">
        <v>1.0</v>
      </c>
      <c r="T10" s="46">
        <v>0.5</v>
      </c>
      <c r="U10" s="47">
        <v>0.0</v>
      </c>
      <c r="V10" s="25">
        <v>0.0</v>
      </c>
      <c r="W10" s="25">
        <v>0.5</v>
      </c>
      <c r="X10" s="25">
        <v>1.0</v>
      </c>
      <c r="Y10" s="31">
        <v>1.0</v>
      </c>
      <c r="Z10" s="32">
        <v>1.0</v>
      </c>
      <c r="AA10" s="25">
        <v>0.5</v>
      </c>
      <c r="AB10" s="25">
        <v>0.0</v>
      </c>
      <c r="AC10" s="25">
        <v>0.5</v>
      </c>
      <c r="AD10" s="30" t="s">
        <v>142</v>
      </c>
      <c r="AE10" s="30" t="s">
        <v>142</v>
      </c>
      <c r="AF10" s="30" t="s">
        <v>142</v>
      </c>
      <c r="AG10" s="30" t="s">
        <v>142</v>
      </c>
      <c r="AH10" s="30" t="s">
        <v>142</v>
      </c>
      <c r="AI10" s="30" t="s">
        <v>142</v>
      </c>
      <c r="AJ10" s="30" t="s">
        <v>142</v>
      </c>
      <c r="AK10" s="30" t="s">
        <v>142</v>
      </c>
      <c r="AL10" s="30" t="s">
        <v>142</v>
      </c>
      <c r="AM10" s="30" t="s">
        <v>142</v>
      </c>
      <c r="AN10" s="30" t="s">
        <v>142</v>
      </c>
      <c r="AO10" s="30" t="s">
        <v>142</v>
      </c>
      <c r="AP10" s="30" t="s">
        <v>142</v>
      </c>
      <c r="AQ10" s="30" t="s">
        <v>142</v>
      </c>
      <c r="AR10" s="30" t="s">
        <v>142</v>
      </c>
      <c r="AS10" s="30" t="s">
        <v>142</v>
      </c>
      <c r="AT10" s="29">
        <f t="shared" si="2"/>
        <v>26</v>
      </c>
      <c r="AU10" s="29">
        <f t="array" ref="AU10">MAX(
    FREQUENCY(
      IF(F10:AS10=1, COLUMN(F10:AS10)),
      IF(F10:AS10&lt;&gt;1, COLUMN(F10:AS10))
    )
  )</f>
        <v>5</v>
      </c>
      <c r="AV10" s="29"/>
      <c r="AW10" s="29"/>
      <c r="AX10" s="29"/>
      <c r="AY10" s="29"/>
      <c r="AZ10" s="29"/>
      <c r="BA10" s="29"/>
      <c r="BB10" s="29"/>
      <c r="BC10" s="29"/>
      <c r="BD10" s="29"/>
      <c r="BE10" s="29"/>
      <c r="BF10" s="29"/>
      <c r="BG10" s="29"/>
      <c r="BH10" s="29"/>
      <c r="BI10" s="29"/>
      <c r="BJ10" s="29"/>
      <c r="BK10" s="29"/>
      <c r="BL10" s="29"/>
      <c r="BM10" s="29"/>
      <c r="BN10" s="29"/>
      <c r="BO10" s="29"/>
      <c r="BP10" s="29"/>
    </row>
    <row r="11">
      <c r="A11" s="7">
        <v>6068607.0</v>
      </c>
      <c r="B11" s="23" t="s">
        <v>151</v>
      </c>
      <c r="C11" s="24">
        <v>2.0</v>
      </c>
      <c r="D11" s="25">
        <f t="shared" si="1"/>
        <v>25</v>
      </c>
      <c r="E11" s="25" t="s">
        <v>94</v>
      </c>
      <c r="F11" s="30">
        <v>1.0</v>
      </c>
      <c r="G11" s="25">
        <v>1.0</v>
      </c>
      <c r="H11" s="25">
        <v>1.0</v>
      </c>
      <c r="I11" s="25">
        <v>1.0</v>
      </c>
      <c r="J11" s="25">
        <v>1.0</v>
      </c>
      <c r="K11" s="31">
        <v>1.0</v>
      </c>
      <c r="L11" s="32">
        <v>1.0</v>
      </c>
      <c r="M11" s="25">
        <v>1.0</v>
      </c>
      <c r="N11" s="25">
        <v>1.0</v>
      </c>
      <c r="O11" s="45">
        <v>0.5</v>
      </c>
      <c r="P11" s="46">
        <v>0.0</v>
      </c>
      <c r="Q11" s="46">
        <v>0.0</v>
      </c>
      <c r="R11" s="48">
        <v>0.0</v>
      </c>
      <c r="S11" s="49">
        <v>0.0</v>
      </c>
      <c r="T11" s="46">
        <v>0.5</v>
      </c>
      <c r="U11" s="46">
        <v>0.0</v>
      </c>
      <c r="V11" s="46">
        <v>0.0</v>
      </c>
      <c r="W11" s="46">
        <v>0.0</v>
      </c>
      <c r="X11" s="46">
        <v>0.5</v>
      </c>
      <c r="Y11" s="31">
        <v>1.0</v>
      </c>
      <c r="Z11" s="32">
        <v>1.0</v>
      </c>
      <c r="AA11" s="25">
        <v>1.0</v>
      </c>
      <c r="AB11" s="25">
        <v>1.0</v>
      </c>
      <c r="AC11" s="25">
        <v>1.0</v>
      </c>
      <c r="AD11" s="25">
        <v>0.5</v>
      </c>
      <c r="AE11" s="25">
        <v>0.0</v>
      </c>
      <c r="AF11" s="31">
        <v>0.5</v>
      </c>
      <c r="AG11" s="32">
        <v>1.0</v>
      </c>
      <c r="AH11" s="25">
        <v>1.0</v>
      </c>
      <c r="AI11" s="25">
        <v>1.0</v>
      </c>
      <c r="AJ11" s="25">
        <v>1.0</v>
      </c>
      <c r="AK11" s="25">
        <v>1.0</v>
      </c>
      <c r="AL11" s="25">
        <v>1.0</v>
      </c>
      <c r="AM11" s="31">
        <v>1.0</v>
      </c>
      <c r="AN11" s="32">
        <v>1.0</v>
      </c>
      <c r="AO11" s="46">
        <v>0.5</v>
      </c>
      <c r="AP11" s="46">
        <v>0.0</v>
      </c>
      <c r="AQ11" s="46">
        <v>0.0</v>
      </c>
      <c r="AR11" s="46">
        <v>0.0</v>
      </c>
      <c r="AS11" s="47">
        <v>0.0</v>
      </c>
      <c r="AT11" s="29">
        <f t="shared" si="2"/>
        <v>15</v>
      </c>
      <c r="AU11" s="29">
        <f t="array" ref="AU11">MAX(
    FREQUENCY(
      IF(F11:AS11=1, COLUMN(F11:AS11)),
      IF(F11:AS11&lt;&gt;1, COLUMN(F11:AS11))
    )
  )</f>
        <v>9</v>
      </c>
      <c r="AV11" s="29"/>
      <c r="AW11" s="29"/>
      <c r="AX11" s="29"/>
      <c r="AY11" s="29"/>
      <c r="AZ11" s="29"/>
      <c r="BA11" s="29"/>
      <c r="BB11" s="29"/>
      <c r="BC11" s="29"/>
      <c r="BD11" s="29"/>
      <c r="BE11" s="29"/>
      <c r="BF11" s="29"/>
      <c r="BG11" s="29"/>
      <c r="BH11" s="29"/>
      <c r="BI11" s="29"/>
      <c r="BJ11" s="29"/>
      <c r="BK11" s="29"/>
      <c r="BL11" s="29"/>
      <c r="BM11" s="29"/>
      <c r="BN11" s="29"/>
      <c r="BO11" s="29"/>
      <c r="BP11" s="29"/>
    </row>
    <row r="12">
      <c r="A12" s="7">
        <v>4634057.0</v>
      </c>
      <c r="B12" s="23" t="s">
        <v>65</v>
      </c>
      <c r="C12" s="24">
        <v>3.0</v>
      </c>
      <c r="D12" s="25">
        <f t="shared" si="1"/>
        <v>27.5</v>
      </c>
      <c r="E12" s="25" t="s">
        <v>87</v>
      </c>
      <c r="F12" s="30">
        <v>1.0</v>
      </c>
      <c r="G12" s="25">
        <v>1.0</v>
      </c>
      <c r="H12" s="25">
        <v>1.0</v>
      </c>
      <c r="I12" s="25">
        <v>1.0</v>
      </c>
      <c r="J12" s="25">
        <v>1.0</v>
      </c>
      <c r="K12" s="31">
        <v>1.0</v>
      </c>
      <c r="L12" s="32">
        <v>1.0</v>
      </c>
      <c r="M12" s="34">
        <v>0.5</v>
      </c>
      <c r="N12" s="35">
        <v>0.0</v>
      </c>
      <c r="O12" s="35">
        <v>0.0</v>
      </c>
      <c r="P12" s="34">
        <v>0.5</v>
      </c>
      <c r="Q12" s="25">
        <v>1.0</v>
      </c>
      <c r="R12" s="31">
        <v>1.0</v>
      </c>
      <c r="S12" s="32">
        <v>1.0</v>
      </c>
      <c r="T12" s="25">
        <v>1.0</v>
      </c>
      <c r="U12" s="25">
        <v>1.0</v>
      </c>
      <c r="V12" s="25">
        <v>1.0</v>
      </c>
      <c r="W12" s="25">
        <v>1.0</v>
      </c>
      <c r="X12" s="34">
        <v>0.5</v>
      </c>
      <c r="Y12" s="35">
        <v>0.0</v>
      </c>
      <c r="Z12" s="36">
        <v>0.0</v>
      </c>
      <c r="AA12" s="35">
        <v>0.0</v>
      </c>
      <c r="AB12" s="35">
        <v>0.0</v>
      </c>
      <c r="AC12" s="34">
        <v>0.5</v>
      </c>
      <c r="AD12" s="25">
        <v>1.0</v>
      </c>
      <c r="AE12" s="25">
        <v>1.0</v>
      </c>
      <c r="AF12" s="31">
        <v>1.0</v>
      </c>
      <c r="AG12" s="32">
        <v>1.0</v>
      </c>
      <c r="AH12" s="25">
        <v>1.0</v>
      </c>
      <c r="AI12" s="25">
        <v>1.0</v>
      </c>
      <c r="AJ12" s="25">
        <v>1.0</v>
      </c>
      <c r="AK12" s="25">
        <v>1.0</v>
      </c>
      <c r="AL12" s="25">
        <v>0.5</v>
      </c>
      <c r="AM12" s="51">
        <v>0.0</v>
      </c>
      <c r="AN12" s="36">
        <v>0.0</v>
      </c>
      <c r="AO12" s="35">
        <v>0.0</v>
      </c>
      <c r="AP12" s="52">
        <v>0.5</v>
      </c>
      <c r="AQ12" s="51">
        <v>1.0</v>
      </c>
      <c r="AR12" s="25">
        <v>1.0</v>
      </c>
      <c r="AS12" s="25">
        <v>0.5</v>
      </c>
      <c r="AT12" s="29">
        <f t="shared" si="2"/>
        <v>12.5</v>
      </c>
      <c r="AU12" s="29">
        <f t="array" ref="AU12">MAX(
    FREQUENCY(
      IF(F12:AS12=1, COLUMN(F12:AS12)),
      IF(F12:AS12&lt;&gt;1, COLUMN(F12:AS12))
    )
  )</f>
        <v>8</v>
      </c>
      <c r="AV12" s="29"/>
      <c r="AW12" s="29"/>
      <c r="AX12" s="29"/>
      <c r="AY12" s="29"/>
      <c r="AZ12" s="29"/>
      <c r="BA12" s="29"/>
      <c r="BB12" s="29"/>
      <c r="BC12" s="29"/>
      <c r="BD12" s="29"/>
      <c r="BE12" s="29"/>
      <c r="BF12" s="29"/>
      <c r="BG12" s="29"/>
      <c r="BH12" s="29"/>
      <c r="BI12" s="29"/>
      <c r="BJ12" s="29"/>
      <c r="BK12" s="29"/>
      <c r="BL12" s="29"/>
      <c r="BM12" s="29"/>
      <c r="BN12" s="29"/>
      <c r="BO12" s="29"/>
      <c r="BP12" s="29"/>
    </row>
    <row r="13">
      <c r="A13" s="7">
        <v>5103212.0</v>
      </c>
      <c r="B13" s="23" t="s">
        <v>165</v>
      </c>
      <c r="C13" s="24">
        <v>3.0</v>
      </c>
      <c r="D13" s="25">
        <f t="shared" si="1"/>
        <v>25.5</v>
      </c>
      <c r="E13" s="25" t="s">
        <v>94</v>
      </c>
      <c r="F13" s="30">
        <v>1.0</v>
      </c>
      <c r="G13" s="25">
        <v>1.0</v>
      </c>
      <c r="H13" s="25">
        <v>1.0</v>
      </c>
      <c r="I13" s="25">
        <v>1.0</v>
      </c>
      <c r="J13" s="25">
        <v>1.0</v>
      </c>
      <c r="K13" s="31">
        <v>1.0</v>
      </c>
      <c r="L13" s="32">
        <v>0.5</v>
      </c>
      <c r="M13" s="25">
        <v>0.0</v>
      </c>
      <c r="N13" s="31">
        <v>0.0</v>
      </c>
      <c r="O13" s="33">
        <v>0.0</v>
      </c>
      <c r="P13" s="33">
        <v>0.0</v>
      </c>
      <c r="Q13" s="33">
        <v>0.0</v>
      </c>
      <c r="R13" s="25">
        <v>0.5</v>
      </c>
      <c r="S13" s="32">
        <v>1.0</v>
      </c>
      <c r="T13" s="25">
        <v>1.0</v>
      </c>
      <c r="U13" s="25">
        <v>1.0</v>
      </c>
      <c r="V13" s="25">
        <v>1.0</v>
      </c>
      <c r="W13" s="25">
        <v>1.0</v>
      </c>
      <c r="X13" s="25">
        <v>1.0</v>
      </c>
      <c r="Y13" s="31">
        <v>1.0</v>
      </c>
      <c r="Z13" s="32">
        <v>1.0</v>
      </c>
      <c r="AA13" s="25">
        <v>1.0</v>
      </c>
      <c r="AB13" s="25">
        <v>1.0</v>
      </c>
      <c r="AC13" s="45">
        <v>0.5</v>
      </c>
      <c r="AD13" s="73">
        <v>0.0</v>
      </c>
      <c r="AE13" s="74">
        <v>0.0</v>
      </c>
      <c r="AF13" s="75">
        <v>0.0</v>
      </c>
      <c r="AG13" s="76">
        <v>0.0</v>
      </c>
      <c r="AH13" s="46">
        <v>0.0</v>
      </c>
      <c r="AI13" s="46">
        <v>0.0</v>
      </c>
      <c r="AJ13" s="47">
        <v>0.5</v>
      </c>
      <c r="AK13" s="25">
        <v>1.0</v>
      </c>
      <c r="AL13" s="25">
        <v>1.0</v>
      </c>
      <c r="AM13" s="31">
        <v>1.0</v>
      </c>
      <c r="AN13" s="32">
        <v>0.5</v>
      </c>
      <c r="AO13" s="25">
        <v>0.5</v>
      </c>
      <c r="AP13" s="25">
        <v>1.0</v>
      </c>
      <c r="AQ13" s="25">
        <v>1.0</v>
      </c>
      <c r="AR13" s="25">
        <v>1.0</v>
      </c>
      <c r="AS13" s="25">
        <v>0.5</v>
      </c>
      <c r="AT13" s="29">
        <f t="shared" si="2"/>
        <v>14.5</v>
      </c>
      <c r="AU13" s="29">
        <f t="array" ref="AU13">MAX(
    FREQUENCY(
      IF(F13:AS13=1, COLUMN(F13:AS13)),
      IF(F13:AS13&lt;&gt;1, COLUMN(F13:AS13))
    )
  )</f>
        <v>10</v>
      </c>
      <c r="AV13" s="29"/>
      <c r="AW13" s="29"/>
      <c r="AX13" s="29"/>
      <c r="AY13" s="29"/>
      <c r="AZ13" s="29"/>
      <c r="BA13" s="29"/>
      <c r="BB13" s="29"/>
      <c r="BC13" s="29"/>
      <c r="BD13" s="29"/>
      <c r="BE13" s="29"/>
      <c r="BF13" s="29"/>
      <c r="BG13" s="29"/>
      <c r="BH13" s="29"/>
      <c r="BI13" s="29"/>
      <c r="BJ13" s="29"/>
      <c r="BK13" s="29"/>
      <c r="BL13" s="29"/>
      <c r="BM13" s="29"/>
      <c r="BN13" s="29"/>
      <c r="BO13" s="29"/>
      <c r="BP13" s="29"/>
    </row>
    <row r="14">
      <c r="A14" s="7">
        <v>5211617.0</v>
      </c>
      <c r="B14" s="23" t="s">
        <v>166</v>
      </c>
      <c r="C14" s="24">
        <v>1.0</v>
      </c>
      <c r="D14" s="25">
        <f t="shared" si="1"/>
        <v>24.5</v>
      </c>
      <c r="E14" s="25" t="s">
        <v>94</v>
      </c>
      <c r="F14" s="30">
        <v>1.0</v>
      </c>
      <c r="G14" s="25">
        <v>1.0</v>
      </c>
      <c r="H14" s="25">
        <v>1.0</v>
      </c>
      <c r="I14" s="25">
        <v>1.0</v>
      </c>
      <c r="J14" s="25">
        <v>1.0</v>
      </c>
      <c r="K14" s="31">
        <v>1.0</v>
      </c>
      <c r="L14" s="32">
        <v>1.0</v>
      </c>
      <c r="M14" s="25">
        <v>1.0</v>
      </c>
      <c r="N14" s="25">
        <v>1.0</v>
      </c>
      <c r="O14" s="45">
        <v>0.5</v>
      </c>
      <c r="P14" s="46">
        <v>0.0</v>
      </c>
      <c r="Q14" s="46">
        <v>0.0</v>
      </c>
      <c r="R14" s="48">
        <v>0.0</v>
      </c>
      <c r="S14" s="32">
        <v>0.0</v>
      </c>
      <c r="T14" s="25">
        <v>0.5</v>
      </c>
      <c r="U14" s="25">
        <v>1.0</v>
      </c>
      <c r="V14" s="25">
        <v>1.0</v>
      </c>
      <c r="W14" s="25">
        <v>1.0</v>
      </c>
      <c r="X14" s="25">
        <v>1.0</v>
      </c>
      <c r="Y14" s="31">
        <v>1.0</v>
      </c>
      <c r="Z14" s="32">
        <v>1.0</v>
      </c>
      <c r="AA14" s="25">
        <v>1.0</v>
      </c>
      <c r="AB14" s="25">
        <v>1.0</v>
      </c>
      <c r="AC14" s="45">
        <v>0.5</v>
      </c>
      <c r="AD14" s="80">
        <v>0.0</v>
      </c>
      <c r="AE14" s="80">
        <v>0.0</v>
      </c>
      <c r="AF14" s="81">
        <v>0.0</v>
      </c>
      <c r="AG14" s="82">
        <v>0.0</v>
      </c>
      <c r="AH14" s="46">
        <v>0.0</v>
      </c>
      <c r="AI14" s="46">
        <v>0.0</v>
      </c>
      <c r="AJ14" s="47">
        <v>0.5</v>
      </c>
      <c r="AK14" s="25">
        <v>1.0</v>
      </c>
      <c r="AL14" s="25">
        <v>0.5</v>
      </c>
      <c r="AM14" s="31">
        <v>0.0</v>
      </c>
      <c r="AN14" s="32">
        <v>0.5</v>
      </c>
      <c r="AO14" s="25">
        <v>1.0</v>
      </c>
      <c r="AP14" s="25">
        <v>1.0</v>
      </c>
      <c r="AQ14" s="25">
        <v>1.0</v>
      </c>
      <c r="AR14" s="25">
        <v>0.5</v>
      </c>
      <c r="AS14" s="25">
        <v>0.0</v>
      </c>
      <c r="AT14" s="29">
        <f t="shared" si="2"/>
        <v>15.5</v>
      </c>
      <c r="AU14" s="29">
        <f t="array" ref="AU14">MAX(
    FREQUENCY(
      IF(F14:AS14=1, COLUMN(F14:AS14)),
      IF(F14:AS14&lt;&gt;1, COLUMN(F14:AS14))
    )
  )</f>
        <v>9</v>
      </c>
      <c r="AV14" s="29"/>
      <c r="AW14" s="29"/>
      <c r="AX14" s="29"/>
      <c r="AY14" s="29"/>
      <c r="AZ14" s="29"/>
      <c r="BA14" s="29"/>
      <c r="BB14" s="29"/>
      <c r="BC14" s="29"/>
      <c r="BD14" s="29"/>
      <c r="BE14" s="29"/>
      <c r="BF14" s="29"/>
      <c r="BG14" s="29"/>
      <c r="BH14" s="29"/>
      <c r="BI14" s="29"/>
      <c r="BJ14" s="29"/>
      <c r="BK14" s="29"/>
      <c r="BL14" s="29"/>
      <c r="BM14" s="29"/>
      <c r="BN14" s="29"/>
      <c r="BO14" s="29"/>
      <c r="BP14" s="29"/>
    </row>
    <row r="15">
      <c r="A15" s="7">
        <v>5112996.0</v>
      </c>
      <c r="B15" s="23" t="s">
        <v>174</v>
      </c>
      <c r="C15" s="24">
        <v>2.0</v>
      </c>
      <c r="D15" s="25">
        <f t="shared" si="1"/>
        <v>25.5</v>
      </c>
      <c r="E15" s="25" t="s">
        <v>146</v>
      </c>
      <c r="F15" s="45">
        <v>0.5</v>
      </c>
      <c r="G15" s="46">
        <v>0.0</v>
      </c>
      <c r="H15" s="47">
        <v>0.5</v>
      </c>
      <c r="I15" s="25">
        <v>1.0</v>
      </c>
      <c r="J15" s="25">
        <v>1.0</v>
      </c>
      <c r="K15" s="25">
        <v>1.0</v>
      </c>
      <c r="L15" s="32">
        <v>1.0</v>
      </c>
      <c r="M15" s="25">
        <v>1.0</v>
      </c>
      <c r="N15" s="25">
        <v>1.0</v>
      </c>
      <c r="O15" s="25">
        <v>1.0</v>
      </c>
      <c r="P15" s="25">
        <v>1.0</v>
      </c>
      <c r="Q15" s="25">
        <v>1.0</v>
      </c>
      <c r="R15" s="25">
        <v>1.0</v>
      </c>
      <c r="S15" s="32">
        <v>1.0</v>
      </c>
      <c r="T15" s="25">
        <v>0.5</v>
      </c>
      <c r="U15" s="25">
        <v>0.5</v>
      </c>
      <c r="V15" s="25">
        <v>1.0</v>
      </c>
      <c r="W15" s="25">
        <v>1.0</v>
      </c>
      <c r="X15" s="25">
        <v>1.0</v>
      </c>
      <c r="Y15" s="48">
        <v>0.5</v>
      </c>
      <c r="Z15" s="49">
        <v>0.0</v>
      </c>
      <c r="AA15" s="46">
        <v>0.0</v>
      </c>
      <c r="AB15" s="46">
        <v>0.0</v>
      </c>
      <c r="AC15" s="46">
        <v>0.0</v>
      </c>
      <c r="AD15" s="46">
        <v>0.0</v>
      </c>
      <c r="AE15" s="46">
        <v>0.0</v>
      </c>
      <c r="AF15" s="48">
        <v>0.0</v>
      </c>
      <c r="AG15" s="49">
        <v>0.0</v>
      </c>
      <c r="AH15" s="46">
        <v>0.0</v>
      </c>
      <c r="AI15" s="46">
        <v>0.0</v>
      </c>
      <c r="AJ15" s="47">
        <v>0.5</v>
      </c>
      <c r="AK15" s="25">
        <v>1.0</v>
      </c>
      <c r="AL15" s="25">
        <v>1.0</v>
      </c>
      <c r="AM15" s="31">
        <v>1.0</v>
      </c>
      <c r="AN15" s="32">
        <v>1.0</v>
      </c>
      <c r="AO15" s="25">
        <v>1.0</v>
      </c>
      <c r="AP15" s="25">
        <v>1.0</v>
      </c>
      <c r="AQ15" s="25">
        <v>1.0</v>
      </c>
      <c r="AR15" s="25">
        <v>1.0</v>
      </c>
      <c r="AS15" s="25">
        <v>0.5</v>
      </c>
      <c r="AT15" s="29">
        <f t="shared" si="2"/>
        <v>14.5</v>
      </c>
      <c r="AU15" s="29">
        <f t="array" ref="AU15">MAX(
    FREQUENCY(
      IF(F15:AS15=1, COLUMN(F15:AS15)),
      IF(F15:AS15&lt;&gt;1, COLUMN(F15:AS15))
    )
  )</f>
        <v>11</v>
      </c>
      <c r="AV15" s="29"/>
      <c r="AW15" s="29"/>
      <c r="AX15" s="29"/>
      <c r="AY15" s="29"/>
      <c r="AZ15" s="29"/>
      <c r="BA15" s="29"/>
      <c r="BB15" s="29"/>
      <c r="BC15" s="29"/>
      <c r="BD15" s="29"/>
      <c r="BE15" s="29"/>
      <c r="BF15" s="29"/>
      <c r="BG15" s="29"/>
      <c r="BH15" s="29"/>
      <c r="BI15" s="29"/>
      <c r="BJ15" s="29"/>
      <c r="BK15" s="29"/>
      <c r="BL15" s="29"/>
      <c r="BM15" s="29"/>
      <c r="BN15" s="29"/>
      <c r="BO15" s="29"/>
      <c r="BP15" s="29"/>
    </row>
    <row r="16">
      <c r="A16" s="7">
        <v>6153853.0</v>
      </c>
      <c r="B16" s="23" t="s">
        <v>58</v>
      </c>
      <c r="C16" s="24">
        <v>1.0</v>
      </c>
      <c r="D16" s="25">
        <f t="shared" si="1"/>
        <v>20.5</v>
      </c>
      <c r="E16" s="25" t="s">
        <v>87</v>
      </c>
      <c r="F16" s="30">
        <v>1.0</v>
      </c>
      <c r="G16" s="25">
        <v>1.0</v>
      </c>
      <c r="H16" s="25">
        <v>1.0</v>
      </c>
      <c r="I16" s="45">
        <v>0.5</v>
      </c>
      <c r="J16" s="46">
        <v>0.0</v>
      </c>
      <c r="K16" s="48">
        <v>0.0</v>
      </c>
      <c r="L16" s="49">
        <v>0.0</v>
      </c>
      <c r="M16" s="46">
        <v>0.0</v>
      </c>
      <c r="N16" s="47">
        <v>0.5</v>
      </c>
      <c r="O16" s="25">
        <v>1.0</v>
      </c>
      <c r="P16" s="25">
        <v>1.0</v>
      </c>
      <c r="Q16" s="25">
        <v>1.0</v>
      </c>
      <c r="R16" s="31">
        <v>1.0</v>
      </c>
      <c r="S16" s="32">
        <v>1.0</v>
      </c>
      <c r="T16" s="25">
        <v>1.0</v>
      </c>
      <c r="U16" s="45">
        <v>0.5</v>
      </c>
      <c r="V16" s="46">
        <v>0.0</v>
      </c>
      <c r="W16" s="46">
        <v>0.0</v>
      </c>
      <c r="X16" s="46">
        <v>0.0</v>
      </c>
      <c r="Y16" s="48">
        <v>0.0</v>
      </c>
      <c r="Z16" s="49">
        <v>0.0</v>
      </c>
      <c r="AA16" s="46">
        <v>0.0</v>
      </c>
      <c r="AB16" s="47">
        <v>0.5</v>
      </c>
      <c r="AC16" s="25">
        <v>1.0</v>
      </c>
      <c r="AD16" s="25">
        <v>1.0</v>
      </c>
      <c r="AE16" s="25">
        <v>1.0</v>
      </c>
      <c r="AF16" s="31">
        <v>1.0</v>
      </c>
      <c r="AG16" s="32">
        <v>1.0</v>
      </c>
      <c r="AH16" s="25">
        <v>1.0</v>
      </c>
      <c r="AI16" s="45">
        <v>0.5</v>
      </c>
      <c r="AJ16" s="46">
        <v>0.0</v>
      </c>
      <c r="AK16" s="46">
        <v>0.0</v>
      </c>
      <c r="AL16" s="46">
        <v>0.0</v>
      </c>
      <c r="AM16" s="48">
        <v>0.0</v>
      </c>
      <c r="AN16" s="49">
        <v>0.0</v>
      </c>
      <c r="AO16" s="46">
        <v>0.0</v>
      </c>
      <c r="AP16" s="47">
        <v>0.5</v>
      </c>
      <c r="AQ16" s="25">
        <v>1.0</v>
      </c>
      <c r="AR16" s="25">
        <v>1.0</v>
      </c>
      <c r="AS16" s="25">
        <v>0.5</v>
      </c>
      <c r="AT16" s="29">
        <f t="shared" si="2"/>
        <v>19.5</v>
      </c>
      <c r="AU16" s="29">
        <f t="array" ref="AU16">MAX(
    FREQUENCY(
      IF(F16:AS16=1, COLUMN(F16:AS16)),
      IF(F16:AS16&lt;&gt;1, COLUMN(F16:AS16))
    )
  )</f>
        <v>6</v>
      </c>
      <c r="AV16" s="29"/>
      <c r="AW16" s="29"/>
      <c r="AX16" s="29"/>
      <c r="AY16" s="29"/>
      <c r="AZ16" s="29"/>
      <c r="BA16" s="29"/>
      <c r="BB16" s="29"/>
      <c r="BC16" s="29"/>
      <c r="BD16" s="29"/>
      <c r="BE16" s="29"/>
      <c r="BF16" s="29"/>
      <c r="BG16" s="29"/>
      <c r="BH16" s="29"/>
      <c r="BI16" s="29"/>
      <c r="BJ16" s="29"/>
      <c r="BK16" s="29"/>
      <c r="BL16" s="29"/>
      <c r="BM16" s="29"/>
      <c r="BN16" s="29"/>
      <c r="BO16" s="29"/>
      <c r="BP16" s="29"/>
    </row>
    <row r="17">
      <c r="A17" s="7">
        <v>6381240.0</v>
      </c>
      <c r="B17" s="23" t="s">
        <v>184</v>
      </c>
      <c r="C17" s="10" t="s">
        <v>115</v>
      </c>
      <c r="D17" s="25">
        <f t="shared" si="1"/>
        <v>28</v>
      </c>
      <c r="E17" s="25" t="s">
        <v>185</v>
      </c>
      <c r="F17" s="45">
        <v>0.0</v>
      </c>
      <c r="G17" s="46">
        <v>0.0</v>
      </c>
      <c r="H17" s="46">
        <v>0.0</v>
      </c>
      <c r="I17" s="46">
        <v>0.0</v>
      </c>
      <c r="J17" s="46">
        <v>0.5</v>
      </c>
      <c r="K17" s="48">
        <v>1.0</v>
      </c>
      <c r="L17" s="32">
        <v>1.0</v>
      </c>
      <c r="M17" s="25">
        <v>1.0</v>
      </c>
      <c r="N17" s="25">
        <v>1.0</v>
      </c>
      <c r="O17" s="25">
        <v>1.0</v>
      </c>
      <c r="P17" s="25">
        <v>1.0</v>
      </c>
      <c r="Q17" s="25">
        <v>0.5</v>
      </c>
      <c r="R17" s="31">
        <v>0.5</v>
      </c>
      <c r="S17" s="32">
        <v>1.0</v>
      </c>
      <c r="T17" s="25">
        <v>1.0</v>
      </c>
      <c r="U17" s="25">
        <v>1.0</v>
      </c>
      <c r="V17" s="25">
        <v>1.0</v>
      </c>
      <c r="W17" s="25">
        <v>1.0</v>
      </c>
      <c r="X17" s="25">
        <v>1.0</v>
      </c>
      <c r="Y17" s="25">
        <v>1.0</v>
      </c>
      <c r="Z17" s="32">
        <v>0.5</v>
      </c>
      <c r="AA17" s="25">
        <v>0.0</v>
      </c>
      <c r="AB17" s="25">
        <v>0.0</v>
      </c>
      <c r="AC17" s="25">
        <v>0.5</v>
      </c>
      <c r="AD17" s="25">
        <v>1.0</v>
      </c>
      <c r="AE17" s="25">
        <v>1.0</v>
      </c>
      <c r="AF17" s="31">
        <v>1.0</v>
      </c>
      <c r="AG17" s="32">
        <v>1.0</v>
      </c>
      <c r="AH17" s="25">
        <v>1.0</v>
      </c>
      <c r="AI17" s="25">
        <v>1.0</v>
      </c>
      <c r="AJ17" s="25">
        <v>1.0</v>
      </c>
      <c r="AK17" s="25">
        <v>0.5</v>
      </c>
      <c r="AL17" s="25">
        <v>0.0</v>
      </c>
      <c r="AM17" s="31">
        <v>0.0</v>
      </c>
      <c r="AN17" s="32">
        <v>0.5</v>
      </c>
      <c r="AO17" s="25">
        <v>1.0</v>
      </c>
      <c r="AP17" s="25">
        <v>1.0</v>
      </c>
      <c r="AQ17" s="25">
        <v>1.0</v>
      </c>
      <c r="AR17" s="25">
        <v>1.0</v>
      </c>
      <c r="AS17" s="25">
        <v>0.5</v>
      </c>
      <c r="AT17" s="29">
        <f t="shared" si="2"/>
        <v>12</v>
      </c>
      <c r="AU17" s="29">
        <f t="array" ref="AU17">MAX(
    FREQUENCY(
      IF(F17:AS17=1, COLUMN(F17:AS17)),
      IF(F17:AS17&lt;&gt;1, COLUMN(F17:AS17))
    )
  )</f>
        <v>7</v>
      </c>
      <c r="AV17" s="29"/>
      <c r="AW17" s="29"/>
      <c r="AX17" s="29"/>
      <c r="AY17" s="29"/>
      <c r="AZ17" s="29"/>
      <c r="BA17" s="29"/>
      <c r="BB17" s="29"/>
      <c r="BC17" s="29"/>
      <c r="BD17" s="29"/>
      <c r="BE17" s="29"/>
      <c r="BF17" s="29"/>
      <c r="BG17" s="29"/>
      <c r="BH17" s="29"/>
      <c r="BI17" s="29"/>
      <c r="BJ17" s="29"/>
      <c r="BK17" s="29"/>
      <c r="BL17" s="29"/>
      <c r="BM17" s="29"/>
      <c r="BN17" s="29"/>
      <c r="BO17" s="29"/>
      <c r="BP17" s="29"/>
    </row>
    <row r="18">
      <c r="A18" s="7">
        <v>4687808.0</v>
      </c>
      <c r="B18" s="23" t="s">
        <v>187</v>
      </c>
      <c r="C18" s="10" t="s">
        <v>115</v>
      </c>
      <c r="D18" s="25">
        <f t="shared" si="1"/>
        <v>28.5</v>
      </c>
      <c r="E18" s="25" t="s">
        <v>188</v>
      </c>
      <c r="F18" s="30">
        <v>1.0</v>
      </c>
      <c r="G18" s="25">
        <v>1.0</v>
      </c>
      <c r="H18" s="25">
        <v>1.0</v>
      </c>
      <c r="I18" s="25">
        <v>1.0</v>
      </c>
      <c r="J18" s="25">
        <v>1.0</v>
      </c>
      <c r="K18" s="31">
        <v>1.0</v>
      </c>
      <c r="L18" s="32">
        <v>1.0</v>
      </c>
      <c r="M18" s="51">
        <v>0.5</v>
      </c>
      <c r="N18" s="35">
        <v>0.0</v>
      </c>
      <c r="O18" s="35">
        <v>0.0</v>
      </c>
      <c r="P18" s="51">
        <v>0.5</v>
      </c>
      <c r="Q18" s="25">
        <v>1.0</v>
      </c>
      <c r="R18" s="25">
        <v>1.0</v>
      </c>
      <c r="S18" s="32">
        <v>1.0</v>
      </c>
      <c r="T18" s="25">
        <v>1.0</v>
      </c>
      <c r="U18" s="25">
        <v>1.0</v>
      </c>
      <c r="V18" s="25">
        <v>1.0</v>
      </c>
      <c r="W18" s="25">
        <v>1.0</v>
      </c>
      <c r="X18" s="25">
        <v>1.0</v>
      </c>
      <c r="Y18" s="51">
        <v>0.5</v>
      </c>
      <c r="Z18" s="36">
        <v>0.0</v>
      </c>
      <c r="AA18" s="35">
        <v>0.0</v>
      </c>
      <c r="AB18" s="35">
        <v>0.0</v>
      </c>
      <c r="AC18" s="51">
        <v>0.5</v>
      </c>
      <c r="AD18" s="25">
        <v>1.0</v>
      </c>
      <c r="AE18" s="25">
        <v>1.0</v>
      </c>
      <c r="AF18" s="31">
        <v>1.0</v>
      </c>
      <c r="AG18" s="32">
        <v>1.0</v>
      </c>
      <c r="AH18" s="25">
        <v>1.0</v>
      </c>
      <c r="AI18" s="25">
        <v>1.0</v>
      </c>
      <c r="AJ18" s="25">
        <v>1.0</v>
      </c>
      <c r="AK18" s="25">
        <v>1.0</v>
      </c>
      <c r="AL18" s="25">
        <v>1.0</v>
      </c>
      <c r="AM18" s="51">
        <v>0.5</v>
      </c>
      <c r="AN18" s="36">
        <v>0.0</v>
      </c>
      <c r="AO18" s="35">
        <v>0.0</v>
      </c>
      <c r="AP18" s="35">
        <v>0.0</v>
      </c>
      <c r="AQ18" s="51">
        <v>0.5</v>
      </c>
      <c r="AR18" s="25">
        <v>1.0</v>
      </c>
      <c r="AS18" s="25">
        <v>0.5</v>
      </c>
      <c r="AT18" s="29">
        <f t="shared" si="2"/>
        <v>11.5</v>
      </c>
      <c r="AU18" s="29">
        <f t="array" ref="AU18">MAX(
    FREQUENCY(
      IF(F18:AS18=1, COLUMN(F18:AS18)),
      IF(F18:AS18&lt;&gt;1, COLUMN(F18:AS18))
    )
  )</f>
        <v>9</v>
      </c>
      <c r="AV18" s="29"/>
      <c r="AW18" s="29"/>
      <c r="AX18" s="29"/>
      <c r="AY18" s="29"/>
      <c r="AZ18" s="29"/>
      <c r="BA18" s="29"/>
      <c r="BB18" s="29"/>
      <c r="BC18" s="29"/>
      <c r="BD18" s="29"/>
      <c r="BE18" s="29"/>
      <c r="BF18" s="29"/>
      <c r="BG18" s="29"/>
      <c r="BH18" s="29"/>
      <c r="BI18" s="29"/>
      <c r="BJ18" s="29"/>
      <c r="BK18" s="29"/>
      <c r="BL18" s="29"/>
      <c r="BM18" s="29"/>
      <c r="BN18" s="29"/>
      <c r="BO18" s="29"/>
      <c r="BP18" s="29"/>
    </row>
    <row r="19">
      <c r="A19" s="7">
        <v>5999668.0</v>
      </c>
      <c r="B19" s="23" t="s">
        <v>191</v>
      </c>
      <c r="C19" s="24">
        <v>3.0</v>
      </c>
      <c r="D19" s="25">
        <f t="shared" si="1"/>
        <v>10.5</v>
      </c>
      <c r="E19" s="25" t="s">
        <v>94</v>
      </c>
      <c r="F19" s="30">
        <v>1.0</v>
      </c>
      <c r="G19" s="25">
        <v>1.0</v>
      </c>
      <c r="H19" s="25">
        <v>1.0</v>
      </c>
      <c r="I19" s="45">
        <v>0.5</v>
      </c>
      <c r="J19" s="46">
        <v>0.0</v>
      </c>
      <c r="K19" s="48">
        <v>0.0</v>
      </c>
      <c r="L19" s="49">
        <v>0.0</v>
      </c>
      <c r="M19" s="46">
        <v>0.0</v>
      </c>
      <c r="N19" s="46">
        <v>0.0</v>
      </c>
      <c r="O19" s="46">
        <v>0.0</v>
      </c>
      <c r="P19" s="46">
        <v>0.0</v>
      </c>
      <c r="Q19" s="46">
        <v>0.0</v>
      </c>
      <c r="R19" s="48">
        <v>0.0</v>
      </c>
      <c r="S19" s="49">
        <v>0.0</v>
      </c>
      <c r="T19" s="47">
        <v>0.5</v>
      </c>
      <c r="U19" s="25">
        <v>1.0</v>
      </c>
      <c r="V19" s="25">
        <v>1.0</v>
      </c>
      <c r="W19" s="25">
        <v>1.0</v>
      </c>
      <c r="X19" s="25">
        <v>1.0</v>
      </c>
      <c r="Y19" s="31">
        <v>1.0</v>
      </c>
      <c r="Z19" s="49">
        <v>0.5</v>
      </c>
      <c r="AA19" s="46">
        <v>0.0</v>
      </c>
      <c r="AB19" s="46">
        <v>0.0</v>
      </c>
      <c r="AC19" s="46">
        <v>0.0</v>
      </c>
      <c r="AD19" s="46">
        <v>0.0</v>
      </c>
      <c r="AE19" s="46">
        <v>0.0</v>
      </c>
      <c r="AF19" s="48">
        <v>0.0</v>
      </c>
      <c r="AG19" s="49">
        <v>0.0</v>
      </c>
      <c r="AH19" s="46">
        <v>0.0</v>
      </c>
      <c r="AI19" s="46">
        <v>0.0</v>
      </c>
      <c r="AJ19" s="46">
        <v>0.0</v>
      </c>
      <c r="AK19" s="46">
        <v>0.0</v>
      </c>
      <c r="AL19" s="46">
        <v>0.0</v>
      </c>
      <c r="AM19" s="48">
        <v>0.5</v>
      </c>
      <c r="AN19" s="49">
        <v>0.5</v>
      </c>
      <c r="AO19" s="46">
        <v>0.0</v>
      </c>
      <c r="AP19" s="46">
        <v>0.0</v>
      </c>
      <c r="AQ19" s="46">
        <v>0.0</v>
      </c>
      <c r="AR19" s="46">
        <v>0.0</v>
      </c>
      <c r="AS19" s="47">
        <v>0.0</v>
      </c>
      <c r="AT19" s="29">
        <f t="shared" si="2"/>
        <v>29.5</v>
      </c>
      <c r="AU19" s="29">
        <f t="array" ref="AU19">MAX(
    FREQUENCY(
      IF(F19:AS19=1, COLUMN(F19:AS19)),
      IF(F19:AS19&lt;&gt;1, COLUMN(F19:AS19))
    )
  )</f>
        <v>5</v>
      </c>
      <c r="AV19" s="29"/>
      <c r="AW19" s="29"/>
      <c r="AX19" s="29"/>
      <c r="AY19" s="29"/>
      <c r="AZ19" s="29"/>
      <c r="BA19" s="29"/>
      <c r="BB19" s="29"/>
      <c r="BC19" s="29"/>
      <c r="BD19" s="29"/>
      <c r="BE19" s="29"/>
      <c r="BF19" s="29"/>
      <c r="BG19" s="29"/>
      <c r="BH19" s="29"/>
      <c r="BI19" s="29"/>
      <c r="BJ19" s="29"/>
      <c r="BK19" s="29"/>
      <c r="BL19" s="29"/>
      <c r="BM19" s="29"/>
      <c r="BN19" s="29"/>
      <c r="BO19" s="29"/>
      <c r="BP19" s="29"/>
    </row>
    <row r="20">
      <c r="A20" s="7">
        <v>8655973.0</v>
      </c>
      <c r="B20" s="23" t="s">
        <v>71</v>
      </c>
      <c r="C20" s="24">
        <v>3.0</v>
      </c>
      <c r="D20" s="25">
        <f t="shared" si="1"/>
        <v>28.5</v>
      </c>
      <c r="E20" s="25" t="s">
        <v>94</v>
      </c>
      <c r="F20" s="30">
        <v>1.0</v>
      </c>
      <c r="G20" s="25">
        <v>1.0</v>
      </c>
      <c r="H20" s="25">
        <v>1.0</v>
      </c>
      <c r="I20" s="25">
        <v>1.0</v>
      </c>
      <c r="J20" s="25">
        <v>1.0</v>
      </c>
      <c r="K20" s="31">
        <v>1.0</v>
      </c>
      <c r="L20" s="32">
        <v>1.0</v>
      </c>
      <c r="M20" s="25">
        <v>0.5</v>
      </c>
      <c r="N20" s="31">
        <v>0.0</v>
      </c>
      <c r="O20" s="33">
        <v>0.5</v>
      </c>
      <c r="P20" s="33">
        <v>1.0</v>
      </c>
      <c r="Q20" s="33">
        <v>1.0</v>
      </c>
      <c r="R20" s="31">
        <v>1.0</v>
      </c>
      <c r="S20" s="32">
        <v>1.0</v>
      </c>
      <c r="T20" s="25">
        <v>1.0</v>
      </c>
      <c r="U20" s="25">
        <v>1.0</v>
      </c>
      <c r="V20" s="25">
        <v>1.0</v>
      </c>
      <c r="W20" s="25">
        <v>1.0</v>
      </c>
      <c r="X20" s="25">
        <v>1.0</v>
      </c>
      <c r="Y20" s="25">
        <v>0.5</v>
      </c>
      <c r="Z20" s="32">
        <v>0.0</v>
      </c>
      <c r="AA20" s="25">
        <v>0.0</v>
      </c>
      <c r="AB20" s="31">
        <v>0.0</v>
      </c>
      <c r="AC20" s="31">
        <v>0.0</v>
      </c>
      <c r="AD20" s="25">
        <v>0.5</v>
      </c>
      <c r="AE20" s="25">
        <v>1.0</v>
      </c>
      <c r="AF20" s="31">
        <v>1.0</v>
      </c>
      <c r="AG20" s="32">
        <v>1.0</v>
      </c>
      <c r="AH20" s="25">
        <v>1.0</v>
      </c>
      <c r="AI20" s="25">
        <v>1.0</v>
      </c>
      <c r="AJ20" s="25">
        <v>1.0</v>
      </c>
      <c r="AK20" s="25">
        <v>1.0</v>
      </c>
      <c r="AL20" s="25">
        <v>1.0</v>
      </c>
      <c r="AM20" s="31">
        <v>1.0</v>
      </c>
      <c r="AN20" s="32">
        <v>1.0</v>
      </c>
      <c r="AO20" s="25">
        <v>0.5</v>
      </c>
      <c r="AP20" s="45">
        <v>0.0</v>
      </c>
      <c r="AQ20" s="46">
        <v>0.0</v>
      </c>
      <c r="AR20" s="46">
        <v>0.0</v>
      </c>
      <c r="AS20" s="47">
        <v>0.0</v>
      </c>
      <c r="AT20" s="29">
        <f t="shared" si="2"/>
        <v>11.5</v>
      </c>
      <c r="AU20" s="29">
        <f t="array" ref="AU20">MAX(
    FREQUENCY(
      IF(F20:AS20=1, COLUMN(F20:AS20)),
      IF(F20:AS20&lt;&gt;1, COLUMN(F20:AS20))
    )
  )</f>
        <v>10</v>
      </c>
      <c r="AV20" s="29"/>
      <c r="AW20" s="29"/>
      <c r="AX20" s="29"/>
      <c r="AY20" s="29"/>
      <c r="AZ20" s="29"/>
      <c r="BA20" s="29"/>
      <c r="BB20" s="29"/>
      <c r="BC20" s="29"/>
      <c r="BD20" s="29"/>
      <c r="BE20" s="29"/>
      <c r="BF20" s="29"/>
      <c r="BG20" s="29"/>
      <c r="BH20" s="29"/>
      <c r="BI20" s="29"/>
      <c r="BJ20" s="29"/>
      <c r="BK20" s="29"/>
      <c r="BL20" s="29"/>
      <c r="BM20" s="29"/>
      <c r="BN20" s="29"/>
      <c r="BO20" s="29"/>
      <c r="BP20" s="29"/>
    </row>
    <row r="21">
      <c r="A21" s="7">
        <v>4319295.0</v>
      </c>
      <c r="B21" s="23" t="s">
        <v>204</v>
      </c>
      <c r="C21" s="24">
        <v>2.0</v>
      </c>
      <c r="D21" s="25">
        <f t="shared" si="1"/>
        <v>0</v>
      </c>
      <c r="E21" s="25" t="s">
        <v>205</v>
      </c>
      <c r="F21" s="30" t="s">
        <v>142</v>
      </c>
      <c r="G21" s="30" t="s">
        <v>142</v>
      </c>
      <c r="H21" s="30" t="s">
        <v>142</v>
      </c>
      <c r="I21" s="30" t="s">
        <v>142</v>
      </c>
      <c r="J21" s="30" t="s">
        <v>142</v>
      </c>
      <c r="K21" s="30" t="s">
        <v>142</v>
      </c>
      <c r="L21" s="30" t="s">
        <v>142</v>
      </c>
      <c r="M21" s="30" t="s">
        <v>142</v>
      </c>
      <c r="N21" s="30" t="s">
        <v>142</v>
      </c>
      <c r="O21" s="30" t="s">
        <v>142</v>
      </c>
      <c r="P21" s="30" t="s">
        <v>142</v>
      </c>
      <c r="Q21" s="30" t="s">
        <v>142</v>
      </c>
      <c r="R21" s="30" t="s">
        <v>142</v>
      </c>
      <c r="S21" s="30" t="s">
        <v>142</v>
      </c>
      <c r="T21" s="30" t="s">
        <v>142</v>
      </c>
      <c r="U21" s="30" t="s">
        <v>142</v>
      </c>
      <c r="V21" s="30" t="s">
        <v>142</v>
      </c>
      <c r="W21" s="30" t="s">
        <v>142</v>
      </c>
      <c r="X21" s="30" t="s">
        <v>142</v>
      </c>
      <c r="Y21" s="30" t="s">
        <v>142</v>
      </c>
      <c r="Z21" s="30" t="s">
        <v>142</v>
      </c>
      <c r="AA21" s="30" t="s">
        <v>142</v>
      </c>
      <c r="AB21" s="30" t="s">
        <v>142</v>
      </c>
      <c r="AC21" s="30" t="s">
        <v>142</v>
      </c>
      <c r="AD21" s="30" t="s">
        <v>142</v>
      </c>
      <c r="AE21" s="30" t="s">
        <v>142</v>
      </c>
      <c r="AF21" s="30" t="s">
        <v>142</v>
      </c>
      <c r="AG21" s="30" t="s">
        <v>142</v>
      </c>
      <c r="AH21" s="30" t="s">
        <v>142</v>
      </c>
      <c r="AI21" s="30" t="s">
        <v>142</v>
      </c>
      <c r="AJ21" s="30" t="s">
        <v>142</v>
      </c>
      <c r="AK21" s="30" t="s">
        <v>142</v>
      </c>
      <c r="AL21" s="30" t="s">
        <v>142</v>
      </c>
      <c r="AM21" s="30" t="s">
        <v>142</v>
      </c>
      <c r="AN21" s="30" t="s">
        <v>142</v>
      </c>
      <c r="AO21" s="30" t="s">
        <v>142</v>
      </c>
      <c r="AP21" s="30" t="s">
        <v>142</v>
      </c>
      <c r="AQ21" s="30" t="s">
        <v>142</v>
      </c>
      <c r="AR21" s="30" t="s">
        <v>142</v>
      </c>
      <c r="AS21" s="30" t="s">
        <v>142</v>
      </c>
      <c r="AT21" s="25">
        <v>0.0</v>
      </c>
      <c r="AU21" s="29">
        <f t="array" ref="AU21">MAX(
    FREQUENCY(
      IF(F21:AS21=1, COLUMN(F21:AS21)),
      IF(F21:AS21&lt;&gt;1, COLUMN(F21:AS21))
    )
  )</f>
        <v>0</v>
      </c>
      <c r="AV21" s="29"/>
      <c r="AW21" s="29"/>
      <c r="AX21" s="29"/>
      <c r="AY21" s="29"/>
      <c r="AZ21" s="29"/>
      <c r="BA21" s="29"/>
      <c r="BB21" s="29"/>
      <c r="BC21" s="29"/>
      <c r="BD21" s="29"/>
      <c r="BE21" s="29"/>
      <c r="BF21" s="29"/>
      <c r="BG21" s="29"/>
      <c r="BH21" s="29"/>
      <c r="BI21" s="29"/>
      <c r="BJ21" s="29"/>
      <c r="BK21" s="29"/>
      <c r="BL21" s="29"/>
      <c r="BM21" s="29"/>
      <c r="BN21" s="29"/>
      <c r="BO21" s="29"/>
      <c r="BP21" s="29"/>
    </row>
    <row r="22">
      <c r="A22" s="7">
        <v>7024334.0</v>
      </c>
      <c r="B22" s="23" t="s">
        <v>179</v>
      </c>
      <c r="C22" s="24">
        <v>2.0</v>
      </c>
      <c r="D22" s="25">
        <f t="shared" si="1"/>
        <v>24.5</v>
      </c>
      <c r="E22" s="25" t="s">
        <v>94</v>
      </c>
      <c r="F22" s="30">
        <v>1.0</v>
      </c>
      <c r="G22" s="25">
        <v>1.0</v>
      </c>
      <c r="H22" s="25">
        <v>1.0</v>
      </c>
      <c r="I22" s="25">
        <v>1.0</v>
      </c>
      <c r="J22" s="25">
        <v>1.0</v>
      </c>
      <c r="K22" s="48">
        <v>0.5</v>
      </c>
      <c r="L22" s="49">
        <v>0.0</v>
      </c>
      <c r="M22" s="46">
        <v>0.0</v>
      </c>
      <c r="N22" s="46">
        <v>0.0</v>
      </c>
      <c r="O22" s="46">
        <v>0.0</v>
      </c>
      <c r="P22" s="46">
        <v>0.0</v>
      </c>
      <c r="Q22" s="46">
        <v>0.0</v>
      </c>
      <c r="R22" s="48">
        <v>0.0</v>
      </c>
      <c r="S22" s="49">
        <v>0.0</v>
      </c>
      <c r="T22" s="46">
        <v>0.0</v>
      </c>
      <c r="U22" s="46">
        <v>0.0</v>
      </c>
      <c r="V22" s="46">
        <v>0.0</v>
      </c>
      <c r="W22" s="46">
        <v>0.0</v>
      </c>
      <c r="X22" s="46">
        <v>0.5</v>
      </c>
      <c r="Y22" s="31">
        <v>1.0</v>
      </c>
      <c r="Z22" s="32">
        <v>1.0</v>
      </c>
      <c r="AA22" s="25">
        <v>1.0</v>
      </c>
      <c r="AB22" s="25">
        <v>1.0</v>
      </c>
      <c r="AC22" s="25">
        <v>1.0</v>
      </c>
      <c r="AD22" s="25">
        <v>1.0</v>
      </c>
      <c r="AE22" s="25">
        <v>1.0</v>
      </c>
      <c r="AF22" s="31">
        <v>1.0</v>
      </c>
      <c r="AG22" s="32">
        <v>1.0</v>
      </c>
      <c r="AH22" s="25">
        <v>0.5</v>
      </c>
      <c r="AI22" s="25">
        <v>0.0</v>
      </c>
      <c r="AJ22" s="25">
        <v>0.5</v>
      </c>
      <c r="AK22" s="25">
        <v>1.0</v>
      </c>
      <c r="AL22" s="25">
        <v>1.0</v>
      </c>
      <c r="AM22" s="31">
        <v>1.0</v>
      </c>
      <c r="AN22" s="32">
        <v>1.0</v>
      </c>
      <c r="AO22" s="25">
        <v>1.0</v>
      </c>
      <c r="AP22" s="25">
        <v>1.0</v>
      </c>
      <c r="AQ22" s="25">
        <v>1.0</v>
      </c>
      <c r="AR22" s="25">
        <v>1.0</v>
      </c>
      <c r="AS22" s="25">
        <v>0.5</v>
      </c>
      <c r="AT22" s="29">
        <f t="shared" ref="AT22:AT23" si="3">40-D22</f>
        <v>15.5</v>
      </c>
      <c r="AU22" s="29">
        <f t="array" ref="AU22">MAX(
    FREQUENCY(
      IF(F22:AS22=1, COLUMN(F22:AS22)),
      IF(F22:AS22&lt;&gt;1, COLUMN(F22:AS22))
    )
  )</f>
        <v>9</v>
      </c>
      <c r="AV22" s="29"/>
      <c r="AW22" s="29"/>
      <c r="AX22" s="29"/>
      <c r="AY22" s="29"/>
      <c r="AZ22" s="29"/>
      <c r="BA22" s="29"/>
      <c r="BB22" s="29"/>
      <c r="BC22" s="29"/>
      <c r="BD22" s="29"/>
      <c r="BE22" s="29"/>
      <c r="BF22" s="29"/>
      <c r="BG22" s="29"/>
      <c r="BH22" s="29"/>
      <c r="BI22" s="29"/>
      <c r="BJ22" s="29"/>
      <c r="BK22" s="29"/>
      <c r="BL22" s="29"/>
      <c r="BM22" s="29"/>
      <c r="BN22" s="29"/>
      <c r="BO22" s="29"/>
      <c r="BP22" s="29"/>
    </row>
    <row r="23">
      <c r="A23" s="7">
        <v>5126913.0</v>
      </c>
      <c r="B23" s="23" t="s">
        <v>68</v>
      </c>
      <c r="C23" s="24">
        <v>3.0</v>
      </c>
      <c r="D23" s="25">
        <f t="shared" si="1"/>
        <v>17.5</v>
      </c>
      <c r="E23" s="25" t="s">
        <v>94</v>
      </c>
      <c r="F23" s="30">
        <v>1.0</v>
      </c>
      <c r="G23" s="25">
        <v>1.0</v>
      </c>
      <c r="H23" s="25">
        <v>1.0</v>
      </c>
      <c r="I23" s="25">
        <v>1.0</v>
      </c>
      <c r="J23" s="25">
        <v>1.0</v>
      </c>
      <c r="K23" s="31">
        <v>1.0</v>
      </c>
      <c r="L23" s="32">
        <v>1.0</v>
      </c>
      <c r="M23" s="46">
        <v>0.5</v>
      </c>
      <c r="N23" s="46">
        <v>0.0</v>
      </c>
      <c r="O23" s="46">
        <v>0.0</v>
      </c>
      <c r="P23" s="46">
        <v>0.0</v>
      </c>
      <c r="Q23" s="46">
        <v>0.0</v>
      </c>
      <c r="R23" s="48">
        <v>0.0</v>
      </c>
      <c r="S23" s="49">
        <v>0.0</v>
      </c>
      <c r="T23" s="46">
        <v>0.0</v>
      </c>
      <c r="U23" s="47">
        <v>0.5</v>
      </c>
      <c r="V23" s="25">
        <v>1.0</v>
      </c>
      <c r="W23" s="25">
        <v>1.0</v>
      </c>
      <c r="X23" s="25">
        <v>1.0</v>
      </c>
      <c r="Y23" s="31">
        <v>1.0</v>
      </c>
      <c r="Z23" s="32">
        <v>1.0</v>
      </c>
      <c r="AA23" s="25">
        <v>1.0</v>
      </c>
      <c r="AB23" s="25">
        <v>1.0</v>
      </c>
      <c r="AC23" s="45">
        <v>0.5</v>
      </c>
      <c r="AD23" s="46">
        <v>0.0</v>
      </c>
      <c r="AE23" s="46">
        <v>0.0</v>
      </c>
      <c r="AF23" s="48">
        <v>0.0</v>
      </c>
      <c r="AG23" s="49">
        <v>0.0</v>
      </c>
      <c r="AH23" s="46">
        <v>0.0</v>
      </c>
      <c r="AI23" s="46">
        <v>0.0</v>
      </c>
      <c r="AJ23" s="46">
        <v>0.5</v>
      </c>
      <c r="AK23" s="46">
        <v>0.5</v>
      </c>
      <c r="AL23" s="46">
        <v>0.0</v>
      </c>
      <c r="AM23" s="48">
        <v>0.0</v>
      </c>
      <c r="AN23" s="49">
        <v>0.0</v>
      </c>
      <c r="AO23" s="46">
        <v>0.0</v>
      </c>
      <c r="AP23" s="46">
        <v>0.0</v>
      </c>
      <c r="AQ23" s="46">
        <v>0.0</v>
      </c>
      <c r="AR23" s="47">
        <v>0.5</v>
      </c>
      <c r="AS23" s="25">
        <v>0.5</v>
      </c>
      <c r="AT23" s="29">
        <f t="shared" si="3"/>
        <v>22.5</v>
      </c>
      <c r="AU23" s="29">
        <f t="array" ref="AU23">MAX(
    FREQUENCY(
      IF(F23:AS23=1, COLUMN(F23:AS23)),
      IF(F23:AS23&lt;&gt;1, COLUMN(F23:AS23))
    )
  )</f>
        <v>7</v>
      </c>
      <c r="AV23" s="29"/>
      <c r="AW23" s="29"/>
      <c r="AX23" s="29"/>
      <c r="AY23" s="29"/>
      <c r="AZ23" s="29"/>
      <c r="BA23" s="29"/>
      <c r="BB23" s="29"/>
      <c r="BC23" s="29"/>
      <c r="BD23" s="29"/>
      <c r="BE23" s="29"/>
      <c r="BF23" s="29"/>
      <c r="BG23" s="29"/>
      <c r="BH23" s="29"/>
      <c r="BI23" s="29"/>
      <c r="BJ23" s="29"/>
      <c r="BK23" s="29"/>
      <c r="BL23" s="29"/>
      <c r="BM23" s="29"/>
      <c r="BN23" s="29"/>
      <c r="BO23" s="29"/>
      <c r="BP23" s="29"/>
    </row>
    <row r="24">
      <c r="A24" s="7">
        <v>5821173.0</v>
      </c>
      <c r="B24" s="23" t="s">
        <v>221</v>
      </c>
      <c r="C24" s="24">
        <v>1.0</v>
      </c>
      <c r="D24" s="25">
        <f t="shared" si="1"/>
        <v>0</v>
      </c>
      <c r="E24" s="25" t="s">
        <v>205</v>
      </c>
      <c r="F24" s="30" t="s">
        <v>142</v>
      </c>
      <c r="G24" s="30" t="s">
        <v>142</v>
      </c>
      <c r="H24" s="30" t="s">
        <v>142</v>
      </c>
      <c r="I24" s="30" t="s">
        <v>142</v>
      </c>
      <c r="J24" s="30" t="s">
        <v>142</v>
      </c>
      <c r="K24" s="30" t="s">
        <v>142</v>
      </c>
      <c r="L24" s="30" t="s">
        <v>142</v>
      </c>
      <c r="M24" s="30" t="s">
        <v>142</v>
      </c>
      <c r="N24" s="30" t="s">
        <v>142</v>
      </c>
      <c r="O24" s="30" t="s">
        <v>142</v>
      </c>
      <c r="P24" s="30" t="s">
        <v>142</v>
      </c>
      <c r="Q24" s="30" t="s">
        <v>142</v>
      </c>
      <c r="R24" s="30" t="s">
        <v>142</v>
      </c>
      <c r="S24" s="30" t="s">
        <v>142</v>
      </c>
      <c r="T24" s="30" t="s">
        <v>142</v>
      </c>
      <c r="U24" s="30" t="s">
        <v>142</v>
      </c>
      <c r="V24" s="30" t="s">
        <v>142</v>
      </c>
      <c r="W24" s="30" t="s">
        <v>142</v>
      </c>
      <c r="X24" s="30" t="s">
        <v>142</v>
      </c>
      <c r="Y24" s="30" t="s">
        <v>142</v>
      </c>
      <c r="Z24" s="30" t="s">
        <v>142</v>
      </c>
      <c r="AA24" s="30" t="s">
        <v>142</v>
      </c>
      <c r="AB24" s="30" t="s">
        <v>142</v>
      </c>
      <c r="AC24" s="30" t="s">
        <v>142</v>
      </c>
      <c r="AD24" s="30" t="s">
        <v>142</v>
      </c>
      <c r="AE24" s="30" t="s">
        <v>142</v>
      </c>
      <c r="AF24" s="30" t="s">
        <v>142</v>
      </c>
      <c r="AG24" s="30" t="s">
        <v>142</v>
      </c>
      <c r="AH24" s="30" t="s">
        <v>142</v>
      </c>
      <c r="AI24" s="30" t="s">
        <v>142</v>
      </c>
      <c r="AJ24" s="30" t="s">
        <v>142</v>
      </c>
      <c r="AK24" s="30" t="s">
        <v>142</v>
      </c>
      <c r="AL24" s="30" t="s">
        <v>142</v>
      </c>
      <c r="AM24" s="30" t="s">
        <v>142</v>
      </c>
      <c r="AN24" s="30" t="s">
        <v>142</v>
      </c>
      <c r="AO24" s="30" t="s">
        <v>142</v>
      </c>
      <c r="AP24" s="30" t="s">
        <v>142</v>
      </c>
      <c r="AQ24" s="30" t="s">
        <v>142</v>
      </c>
      <c r="AR24" s="30" t="s">
        <v>142</v>
      </c>
      <c r="AS24" s="30" t="s">
        <v>142</v>
      </c>
      <c r="AT24" s="25">
        <v>0.0</v>
      </c>
      <c r="AU24" s="29">
        <f t="array" ref="AU24">MAX(
    FREQUENCY(
      IF(F24:AS24=1, COLUMN(F24:AS24)),
      IF(F24:AS24&lt;&gt;1, COLUMN(F24:AS24))
    )
  )</f>
        <v>0</v>
      </c>
      <c r="AV24" s="29"/>
      <c r="AW24" s="29"/>
      <c r="AX24" s="29"/>
      <c r="AY24" s="29"/>
      <c r="AZ24" s="29"/>
      <c r="BA24" s="29"/>
      <c r="BB24" s="29"/>
      <c r="BC24" s="29"/>
      <c r="BD24" s="29"/>
      <c r="BE24" s="29"/>
      <c r="BF24" s="29"/>
      <c r="BG24" s="29"/>
      <c r="BH24" s="29"/>
      <c r="BI24" s="29"/>
      <c r="BJ24" s="29"/>
      <c r="BK24" s="29"/>
      <c r="BL24" s="29"/>
      <c r="BM24" s="29"/>
      <c r="BN24" s="29"/>
      <c r="BO24" s="29"/>
      <c r="BP24" s="29"/>
    </row>
    <row r="25">
      <c r="A25" s="7">
        <v>6392386.0</v>
      </c>
      <c r="B25" s="23" t="s">
        <v>229</v>
      </c>
      <c r="C25" s="24">
        <v>3.0</v>
      </c>
      <c r="D25" s="25">
        <f t="shared" si="1"/>
        <v>27.5</v>
      </c>
      <c r="E25" s="25" t="s">
        <v>94</v>
      </c>
      <c r="F25" s="30">
        <v>1.0</v>
      </c>
      <c r="G25" s="25">
        <v>1.0</v>
      </c>
      <c r="H25" s="25">
        <v>1.0</v>
      </c>
      <c r="I25" s="25">
        <v>1.0</v>
      </c>
      <c r="J25" s="25">
        <v>1.0</v>
      </c>
      <c r="K25" s="31">
        <v>1.0</v>
      </c>
      <c r="L25" s="32">
        <v>1.0</v>
      </c>
      <c r="M25" s="50">
        <v>0.5</v>
      </c>
      <c r="N25" s="46">
        <v>0.0</v>
      </c>
      <c r="O25" s="46">
        <v>0.0</v>
      </c>
      <c r="P25" s="46">
        <v>0.0</v>
      </c>
      <c r="Q25" s="46">
        <v>0.5</v>
      </c>
      <c r="R25" s="31">
        <v>1.0</v>
      </c>
      <c r="S25" s="32">
        <v>1.0</v>
      </c>
      <c r="T25" s="25">
        <v>1.0</v>
      </c>
      <c r="U25" s="25">
        <v>1.0</v>
      </c>
      <c r="V25" s="25">
        <v>1.0</v>
      </c>
      <c r="W25" s="25">
        <v>1.0</v>
      </c>
      <c r="X25" s="25">
        <v>1.0</v>
      </c>
      <c r="Y25" s="31">
        <v>1.0</v>
      </c>
      <c r="Z25" s="32">
        <v>1.0</v>
      </c>
      <c r="AA25" s="25">
        <v>0.5</v>
      </c>
      <c r="AB25" s="31">
        <v>0.0</v>
      </c>
      <c r="AC25" s="31">
        <v>0.0</v>
      </c>
      <c r="AD25" s="31">
        <v>0.0</v>
      </c>
      <c r="AE25" s="31">
        <v>0.0</v>
      </c>
      <c r="AF25" s="25">
        <v>0.5</v>
      </c>
      <c r="AG25" s="32">
        <v>1.0</v>
      </c>
      <c r="AH25" s="25">
        <v>1.0</v>
      </c>
      <c r="AI25" s="25">
        <v>1.0</v>
      </c>
      <c r="AJ25" s="25">
        <v>1.0</v>
      </c>
      <c r="AK25" s="25">
        <v>1.0</v>
      </c>
      <c r="AL25" s="25">
        <v>1.0</v>
      </c>
      <c r="AM25" s="31">
        <v>1.0</v>
      </c>
      <c r="AN25" s="32">
        <v>1.0</v>
      </c>
      <c r="AO25" s="46">
        <v>0.5</v>
      </c>
      <c r="AP25" s="45">
        <v>0.0</v>
      </c>
      <c r="AQ25" s="25">
        <v>0.0</v>
      </c>
      <c r="AR25" s="25">
        <v>0.5</v>
      </c>
      <c r="AS25" s="25">
        <v>0.5</v>
      </c>
      <c r="AT25" s="29">
        <f t="shared" ref="AT25:AT41" si="4">40-D25</f>
        <v>12.5</v>
      </c>
      <c r="AU25" s="29">
        <f t="array" ref="AU25">MAX(
    FREQUENCY(
      IF(F25:AS25=1, COLUMN(F25:AS25)),
      IF(F25:AS25&lt;&gt;1, COLUMN(F25:AS25))
    )
  )</f>
        <v>9</v>
      </c>
      <c r="AV25" s="29"/>
      <c r="AW25" s="29"/>
      <c r="AX25" s="29"/>
      <c r="AY25" s="29"/>
      <c r="AZ25" s="29"/>
      <c r="BA25" s="29"/>
      <c r="BB25" s="29"/>
      <c r="BC25" s="29"/>
      <c r="BD25" s="29"/>
      <c r="BE25" s="29"/>
      <c r="BF25" s="29"/>
      <c r="BG25" s="29"/>
      <c r="BH25" s="29"/>
      <c r="BI25" s="29"/>
      <c r="BJ25" s="29"/>
      <c r="BK25" s="29"/>
      <c r="BL25" s="29"/>
      <c r="BM25" s="29"/>
      <c r="BN25" s="29"/>
      <c r="BO25" s="29"/>
      <c r="BP25" s="29"/>
    </row>
    <row r="26">
      <c r="A26" s="7">
        <v>6977337.0</v>
      </c>
      <c r="B26" s="23" t="s">
        <v>203</v>
      </c>
      <c r="C26" s="24">
        <v>2.0</v>
      </c>
      <c r="D26" s="25">
        <f t="shared" si="1"/>
        <v>23.5</v>
      </c>
      <c r="E26" s="25" t="s">
        <v>94</v>
      </c>
      <c r="F26" s="30">
        <v>1.0</v>
      </c>
      <c r="G26" s="25">
        <v>1.0</v>
      </c>
      <c r="H26" s="25">
        <v>1.0</v>
      </c>
      <c r="I26" s="25">
        <v>1.0</v>
      </c>
      <c r="J26" s="25">
        <v>1.0</v>
      </c>
      <c r="K26" s="25">
        <v>1.0</v>
      </c>
      <c r="L26" s="32">
        <v>1.0</v>
      </c>
      <c r="M26" s="25">
        <v>0.5</v>
      </c>
      <c r="N26" s="31">
        <v>0.0</v>
      </c>
      <c r="O26" s="33">
        <v>0.5</v>
      </c>
      <c r="P26" s="25">
        <v>1.0</v>
      </c>
      <c r="Q26" s="25">
        <v>1.0</v>
      </c>
      <c r="R26" s="31">
        <v>1.0</v>
      </c>
      <c r="S26" s="32">
        <v>1.0</v>
      </c>
      <c r="T26" s="25">
        <v>1.0</v>
      </c>
      <c r="U26" s="25">
        <v>1.0</v>
      </c>
      <c r="V26" s="25">
        <v>1.0</v>
      </c>
      <c r="W26" s="25">
        <v>0.5</v>
      </c>
      <c r="X26" s="31">
        <v>0.0</v>
      </c>
      <c r="Y26" s="25">
        <v>0.5</v>
      </c>
      <c r="Z26" s="32">
        <v>1.0</v>
      </c>
      <c r="AA26" s="25">
        <v>1.0</v>
      </c>
      <c r="AB26" s="25">
        <v>1.0</v>
      </c>
      <c r="AC26" s="25">
        <v>1.0</v>
      </c>
      <c r="AD26" s="25">
        <v>1.0</v>
      </c>
      <c r="AE26" s="25">
        <v>1.0</v>
      </c>
      <c r="AF26" s="31">
        <v>1.0</v>
      </c>
      <c r="AG26" s="49">
        <v>0.5</v>
      </c>
      <c r="AH26" s="46">
        <v>0.0</v>
      </c>
      <c r="AI26" s="46">
        <v>0.0</v>
      </c>
      <c r="AJ26" s="46">
        <v>0.0</v>
      </c>
      <c r="AK26" s="46">
        <v>0.0</v>
      </c>
      <c r="AL26" s="46">
        <v>0.0</v>
      </c>
      <c r="AM26" s="48">
        <v>0.0</v>
      </c>
      <c r="AN26" s="49">
        <v>0.0</v>
      </c>
      <c r="AO26" s="46">
        <v>0.0</v>
      </c>
      <c r="AP26" s="46">
        <v>0.0</v>
      </c>
      <c r="AQ26" s="46">
        <v>0.0</v>
      </c>
      <c r="AR26" s="46">
        <v>0.0</v>
      </c>
      <c r="AS26" s="47">
        <v>0.0</v>
      </c>
      <c r="AT26" s="29">
        <f t="shared" si="4"/>
        <v>16.5</v>
      </c>
      <c r="AU26" s="29">
        <f t="array" ref="AU26">MAX(
    FREQUENCY(
      IF(F26:AS26=1, COLUMN(F26:AS26)),
      IF(F26:AS26&lt;&gt;1, COLUMN(F26:AS26))
    )
  )</f>
        <v>7</v>
      </c>
      <c r="AV26" s="29"/>
      <c r="AW26" s="29"/>
      <c r="AX26" s="29"/>
      <c r="AY26" s="29"/>
      <c r="AZ26" s="29"/>
      <c r="BA26" s="29"/>
      <c r="BB26" s="29"/>
      <c r="BC26" s="29"/>
      <c r="BD26" s="29"/>
      <c r="BE26" s="29"/>
      <c r="BF26" s="29"/>
      <c r="BG26" s="29"/>
      <c r="BH26" s="29"/>
      <c r="BI26" s="29"/>
      <c r="BJ26" s="29"/>
      <c r="BK26" s="29"/>
      <c r="BL26" s="29"/>
      <c r="BM26" s="29"/>
      <c r="BN26" s="29"/>
      <c r="BO26" s="29"/>
      <c r="BP26" s="29"/>
    </row>
    <row r="27">
      <c r="A27" s="7">
        <v>7236705.0</v>
      </c>
      <c r="B27" s="23" t="s">
        <v>243</v>
      </c>
      <c r="C27" s="10" t="s">
        <v>115</v>
      </c>
      <c r="D27" s="25">
        <f t="shared" si="1"/>
        <v>27.5</v>
      </c>
      <c r="E27" s="25" t="s">
        <v>112</v>
      </c>
      <c r="F27" s="30">
        <v>1.0</v>
      </c>
      <c r="G27" s="25">
        <v>1.0</v>
      </c>
      <c r="H27" s="25">
        <v>1.0</v>
      </c>
      <c r="I27" s="25">
        <v>1.0</v>
      </c>
      <c r="J27" s="25">
        <v>1.0</v>
      </c>
      <c r="K27" s="31">
        <v>1.0</v>
      </c>
      <c r="L27" s="32">
        <v>1.0</v>
      </c>
      <c r="M27" s="25">
        <v>1.0</v>
      </c>
      <c r="N27" s="25">
        <v>1.0</v>
      </c>
      <c r="O27" s="25">
        <v>1.0</v>
      </c>
      <c r="P27" s="34">
        <v>0.5</v>
      </c>
      <c r="Q27" s="35">
        <v>0.0</v>
      </c>
      <c r="R27" s="52">
        <v>0.5</v>
      </c>
      <c r="S27" s="89">
        <v>1.0</v>
      </c>
      <c r="T27" s="51">
        <v>0.5</v>
      </c>
      <c r="U27" s="25">
        <v>0.0</v>
      </c>
      <c r="V27" s="25">
        <v>0.5</v>
      </c>
      <c r="W27" s="25">
        <v>1.0</v>
      </c>
      <c r="X27" s="25">
        <v>1.0</v>
      </c>
      <c r="Y27" s="31">
        <v>1.0</v>
      </c>
      <c r="Z27" s="32">
        <v>1.0</v>
      </c>
      <c r="AA27" s="33">
        <v>1.0</v>
      </c>
      <c r="AB27" s="34">
        <v>0.5</v>
      </c>
      <c r="AC27" s="35">
        <v>0.0</v>
      </c>
      <c r="AD27" s="35">
        <v>0.0</v>
      </c>
      <c r="AE27" s="51">
        <v>0.0</v>
      </c>
      <c r="AF27" s="25">
        <v>0.5</v>
      </c>
      <c r="AG27" s="32">
        <v>1.0</v>
      </c>
      <c r="AH27" s="25">
        <v>1.0</v>
      </c>
      <c r="AI27" s="25">
        <v>1.0</v>
      </c>
      <c r="AJ27" s="25">
        <v>1.0</v>
      </c>
      <c r="AK27" s="25">
        <v>1.0</v>
      </c>
      <c r="AL27" s="34">
        <v>0.5</v>
      </c>
      <c r="AM27" s="35">
        <v>0.0</v>
      </c>
      <c r="AN27" s="36">
        <v>0.0</v>
      </c>
      <c r="AO27" s="51">
        <v>0.0</v>
      </c>
      <c r="AP27" s="25">
        <v>0.5</v>
      </c>
      <c r="AQ27" s="25">
        <v>1.0</v>
      </c>
      <c r="AR27" s="25">
        <v>1.0</v>
      </c>
      <c r="AS27" s="25">
        <v>0.5</v>
      </c>
      <c r="AT27" s="29">
        <f t="shared" si="4"/>
        <v>12.5</v>
      </c>
      <c r="AU27" s="29">
        <f t="array" ref="AU27">MAX(
    FREQUENCY(
      IF(F27:AS27=1, COLUMN(F27:AS27)),
      IF(F27:AS27&lt;&gt;1, COLUMN(F27:AS27))
    )
  )</f>
        <v>10</v>
      </c>
      <c r="AV27" s="29"/>
      <c r="AW27" s="29"/>
      <c r="AX27" s="29"/>
      <c r="AY27" s="29"/>
      <c r="AZ27" s="29"/>
      <c r="BA27" s="29"/>
      <c r="BB27" s="29"/>
      <c r="BC27" s="29"/>
      <c r="BD27" s="29"/>
      <c r="BE27" s="29"/>
      <c r="BF27" s="29"/>
      <c r="BG27" s="29"/>
      <c r="BH27" s="29"/>
      <c r="BI27" s="29"/>
      <c r="BJ27" s="29"/>
      <c r="BK27" s="29"/>
      <c r="BL27" s="29"/>
      <c r="BM27" s="29"/>
      <c r="BN27" s="29"/>
      <c r="BO27" s="29"/>
      <c r="BP27" s="29"/>
    </row>
    <row r="28">
      <c r="A28" s="7">
        <v>5785566.0</v>
      </c>
      <c r="B28" s="23" t="s">
        <v>59</v>
      </c>
      <c r="C28" s="24">
        <v>3.0</v>
      </c>
      <c r="D28" s="25">
        <f t="shared" si="1"/>
        <v>27.5</v>
      </c>
      <c r="E28" s="25" t="s">
        <v>87</v>
      </c>
      <c r="F28" s="30">
        <v>1.0</v>
      </c>
      <c r="G28" s="25">
        <v>1.0</v>
      </c>
      <c r="H28" s="25">
        <v>1.0</v>
      </c>
      <c r="I28" s="25">
        <v>1.0</v>
      </c>
      <c r="J28" s="25">
        <v>1.0</v>
      </c>
      <c r="K28" s="31">
        <v>1.0</v>
      </c>
      <c r="L28" s="32">
        <v>1.0</v>
      </c>
      <c r="M28" s="34">
        <v>0.5</v>
      </c>
      <c r="N28" s="35">
        <v>0.0</v>
      </c>
      <c r="O28" s="35">
        <v>0.0</v>
      </c>
      <c r="P28" s="35">
        <v>0.0</v>
      </c>
      <c r="Q28" s="34">
        <v>0.5</v>
      </c>
      <c r="R28" s="31">
        <v>1.0</v>
      </c>
      <c r="S28" s="32">
        <v>1.0</v>
      </c>
      <c r="T28" s="25">
        <v>1.0</v>
      </c>
      <c r="U28" s="25">
        <v>1.0</v>
      </c>
      <c r="V28" s="25">
        <v>1.0</v>
      </c>
      <c r="W28" s="25">
        <v>1.0</v>
      </c>
      <c r="X28" s="25">
        <v>1.0</v>
      </c>
      <c r="Y28" s="31">
        <v>0.5</v>
      </c>
      <c r="Z28" s="37">
        <v>0.0</v>
      </c>
      <c r="AA28" s="35">
        <v>0.0</v>
      </c>
      <c r="AB28" s="35">
        <v>0.0</v>
      </c>
      <c r="AC28" s="35">
        <v>0.0</v>
      </c>
      <c r="AD28" s="34">
        <v>0.5</v>
      </c>
      <c r="AE28" s="25">
        <v>1.0</v>
      </c>
      <c r="AF28" s="31">
        <v>1.0</v>
      </c>
      <c r="AG28" s="32">
        <v>1.0</v>
      </c>
      <c r="AH28" s="25">
        <v>1.0</v>
      </c>
      <c r="AI28" s="25">
        <v>1.0</v>
      </c>
      <c r="AJ28" s="25">
        <v>1.0</v>
      </c>
      <c r="AK28" s="25">
        <v>1.0</v>
      </c>
      <c r="AL28" s="25">
        <v>1.0</v>
      </c>
      <c r="AM28" s="25">
        <v>1.0</v>
      </c>
      <c r="AN28" s="37">
        <v>1.0</v>
      </c>
      <c r="AO28" s="52">
        <v>0.5</v>
      </c>
      <c r="AP28" s="35">
        <v>0.0</v>
      </c>
      <c r="AQ28" s="25">
        <v>0.5</v>
      </c>
      <c r="AR28" s="25">
        <v>0.5</v>
      </c>
      <c r="AS28" s="51">
        <v>0.0</v>
      </c>
      <c r="AT28" s="29">
        <f t="shared" si="4"/>
        <v>12.5</v>
      </c>
      <c r="AU28" s="29">
        <f t="array" ref="AU28">MAX(
    FREQUENCY(
      IF(F28:AS28=1, COLUMN(F28:AS28)),
      IF(F28:AS28&lt;&gt;1, COLUMN(F28:AS28))
    )
  )</f>
        <v>10</v>
      </c>
      <c r="AV28" s="29"/>
      <c r="AW28" s="29"/>
      <c r="AX28" s="29"/>
      <c r="AY28" s="29"/>
      <c r="AZ28" s="29"/>
      <c r="BA28" s="29"/>
      <c r="BB28" s="29"/>
      <c r="BC28" s="29"/>
      <c r="BD28" s="29"/>
      <c r="BE28" s="29"/>
      <c r="BF28" s="29"/>
      <c r="BG28" s="29"/>
      <c r="BH28" s="29"/>
      <c r="BI28" s="29"/>
      <c r="BJ28" s="29"/>
      <c r="BK28" s="29"/>
      <c r="BL28" s="29"/>
      <c r="BM28" s="29"/>
      <c r="BN28" s="29"/>
      <c r="BO28" s="29"/>
      <c r="BP28" s="29"/>
    </row>
    <row r="29">
      <c r="A29" s="7">
        <v>3782633.0</v>
      </c>
      <c r="B29" s="23" t="s">
        <v>207</v>
      </c>
      <c r="C29" s="24">
        <v>3.0</v>
      </c>
      <c r="D29" s="25">
        <f t="shared" si="1"/>
        <v>27.5</v>
      </c>
      <c r="E29" s="25" t="s">
        <v>94</v>
      </c>
      <c r="F29" s="30">
        <v>1.0</v>
      </c>
      <c r="G29" s="25">
        <v>1.0</v>
      </c>
      <c r="H29" s="25">
        <v>1.0</v>
      </c>
      <c r="I29" s="25">
        <v>1.0</v>
      </c>
      <c r="J29" s="25">
        <v>1.0</v>
      </c>
      <c r="K29" s="31">
        <v>1.0</v>
      </c>
      <c r="L29" s="32">
        <v>1.0</v>
      </c>
      <c r="M29" s="25">
        <v>1.0</v>
      </c>
      <c r="N29" s="45">
        <v>0.5</v>
      </c>
      <c r="O29" s="46">
        <v>0.0</v>
      </c>
      <c r="P29" s="46">
        <v>0.0</v>
      </c>
      <c r="Q29" s="46">
        <v>0.0</v>
      </c>
      <c r="R29" s="48">
        <v>0.0</v>
      </c>
      <c r="S29" s="49">
        <v>0.0</v>
      </c>
      <c r="T29" s="46">
        <v>0.0</v>
      </c>
      <c r="U29" s="47">
        <v>0.5</v>
      </c>
      <c r="V29" s="25">
        <v>1.0</v>
      </c>
      <c r="W29" s="25">
        <v>1.0</v>
      </c>
      <c r="X29" s="25">
        <v>1.0</v>
      </c>
      <c r="Y29" s="31">
        <v>1.0</v>
      </c>
      <c r="Z29" s="32">
        <v>1.0</v>
      </c>
      <c r="AA29" s="25">
        <v>1.0</v>
      </c>
      <c r="AB29" s="25">
        <v>1.0</v>
      </c>
      <c r="AC29" s="25">
        <v>1.0</v>
      </c>
      <c r="AD29" s="25">
        <v>1.0</v>
      </c>
      <c r="AE29" s="25">
        <v>0.5</v>
      </c>
      <c r="AF29" s="31">
        <v>0.0</v>
      </c>
      <c r="AG29" s="32">
        <v>0.0</v>
      </c>
      <c r="AH29" s="33">
        <v>0.0</v>
      </c>
      <c r="AI29" s="25">
        <v>0.0</v>
      </c>
      <c r="AJ29" s="31">
        <v>0.5</v>
      </c>
      <c r="AK29" s="25">
        <v>1.0</v>
      </c>
      <c r="AL29" s="25">
        <v>1.0</v>
      </c>
      <c r="AM29" s="31">
        <v>1.0</v>
      </c>
      <c r="AN29" s="32">
        <v>1.0</v>
      </c>
      <c r="AO29" s="25">
        <v>1.0</v>
      </c>
      <c r="AP29" s="25">
        <v>1.0</v>
      </c>
      <c r="AQ29" s="25">
        <v>1.0</v>
      </c>
      <c r="AR29" s="25">
        <v>1.0</v>
      </c>
      <c r="AS29" s="25">
        <v>0.5</v>
      </c>
      <c r="AT29" s="29">
        <f t="shared" si="4"/>
        <v>12.5</v>
      </c>
      <c r="AU29" s="29">
        <f t="array" ref="AU29">MAX(
    FREQUENCY(
      IF(F29:AS29=1, COLUMN(F29:AS29)),
      IF(F29:AS29&lt;&gt;1, COLUMN(F29:AS29))
    )
  )</f>
        <v>9</v>
      </c>
      <c r="AV29" s="29"/>
      <c r="AW29" s="29"/>
      <c r="AX29" s="29"/>
      <c r="AY29" s="29"/>
      <c r="AZ29" s="29"/>
      <c r="BA29" s="29"/>
      <c r="BB29" s="29"/>
      <c r="BC29" s="29"/>
      <c r="BD29" s="29"/>
      <c r="BE29" s="29"/>
      <c r="BF29" s="29"/>
      <c r="BG29" s="29"/>
      <c r="BH29" s="29"/>
      <c r="BI29" s="29"/>
      <c r="BJ29" s="29"/>
      <c r="BK29" s="29"/>
      <c r="BL29" s="29"/>
      <c r="BM29" s="29"/>
      <c r="BN29" s="29"/>
      <c r="BO29" s="29"/>
      <c r="BP29" s="29"/>
    </row>
    <row r="30">
      <c r="A30" s="7">
        <v>5895057.0</v>
      </c>
      <c r="B30" s="23" t="s">
        <v>263</v>
      </c>
      <c r="C30" s="24">
        <v>2.0</v>
      </c>
      <c r="D30" s="25">
        <f t="shared" si="1"/>
        <v>18.5</v>
      </c>
      <c r="E30" s="25" t="s">
        <v>94</v>
      </c>
      <c r="F30" s="30">
        <v>1.0</v>
      </c>
      <c r="G30" s="25">
        <v>1.0</v>
      </c>
      <c r="H30" s="25">
        <v>1.0</v>
      </c>
      <c r="I30" s="25">
        <v>1.0</v>
      </c>
      <c r="J30" s="25">
        <v>1.0</v>
      </c>
      <c r="K30" s="25">
        <v>1.0</v>
      </c>
      <c r="L30" s="32">
        <v>1.0</v>
      </c>
      <c r="M30" s="25">
        <v>0.5</v>
      </c>
      <c r="N30" s="31">
        <v>0.0</v>
      </c>
      <c r="O30" s="33">
        <v>0.0</v>
      </c>
      <c r="P30" s="33">
        <v>0.0</v>
      </c>
      <c r="Q30" s="25">
        <v>0.0</v>
      </c>
      <c r="R30" s="31">
        <v>0.0</v>
      </c>
      <c r="S30" s="32">
        <v>0.0</v>
      </c>
      <c r="T30" s="25">
        <v>0.5</v>
      </c>
      <c r="U30" s="25">
        <v>1.0</v>
      </c>
      <c r="V30" s="25">
        <v>1.0</v>
      </c>
      <c r="W30" s="25">
        <v>1.0</v>
      </c>
      <c r="X30" s="25">
        <v>1.0</v>
      </c>
      <c r="Y30" s="31">
        <v>1.0</v>
      </c>
      <c r="Z30" s="32">
        <v>1.0</v>
      </c>
      <c r="AA30" s="25">
        <v>0.5</v>
      </c>
      <c r="AB30" s="31">
        <v>0.0</v>
      </c>
      <c r="AC30" s="33">
        <v>0.0</v>
      </c>
      <c r="AD30" s="33">
        <v>0.0</v>
      </c>
      <c r="AE30" s="25">
        <v>0.0</v>
      </c>
      <c r="AF30" s="31">
        <v>0.5</v>
      </c>
      <c r="AG30" s="32">
        <v>1.0</v>
      </c>
      <c r="AH30" s="25">
        <v>1.0</v>
      </c>
      <c r="AI30" s="25">
        <v>1.0</v>
      </c>
      <c r="AJ30" s="25">
        <v>0.5</v>
      </c>
      <c r="AK30" s="30" t="s">
        <v>142</v>
      </c>
      <c r="AL30" s="30" t="s">
        <v>142</v>
      </c>
      <c r="AM30" s="30" t="s">
        <v>142</v>
      </c>
      <c r="AN30" s="30" t="s">
        <v>142</v>
      </c>
      <c r="AO30" s="30" t="s">
        <v>142</v>
      </c>
      <c r="AP30" s="30" t="s">
        <v>142</v>
      </c>
      <c r="AQ30" s="30" t="s">
        <v>142</v>
      </c>
      <c r="AR30" s="30" t="s">
        <v>142</v>
      </c>
      <c r="AS30" s="30" t="s">
        <v>142</v>
      </c>
      <c r="AT30" s="29">
        <f t="shared" si="4"/>
        <v>21.5</v>
      </c>
      <c r="AU30" s="29">
        <f t="array" ref="AU30">MAX(
    FREQUENCY(
      IF(F30:AS30=1, COLUMN(F30:AS30)),
      IF(F30:AS30&lt;&gt;1, COLUMN(F30:AS30))
    )
  )</f>
        <v>7</v>
      </c>
      <c r="AV30" s="29"/>
      <c r="AW30" s="29"/>
      <c r="AX30" s="29"/>
      <c r="AY30" s="29"/>
      <c r="AZ30" s="29"/>
      <c r="BA30" s="29"/>
      <c r="BB30" s="29"/>
      <c r="BC30" s="29"/>
      <c r="BD30" s="29"/>
      <c r="BE30" s="29"/>
      <c r="BF30" s="29"/>
      <c r="BG30" s="29"/>
      <c r="BH30" s="29"/>
      <c r="BI30" s="29"/>
      <c r="BJ30" s="29"/>
      <c r="BK30" s="29"/>
      <c r="BL30" s="29"/>
      <c r="BM30" s="29"/>
      <c r="BN30" s="29"/>
      <c r="BO30" s="29"/>
      <c r="BP30" s="29"/>
    </row>
    <row r="31">
      <c r="A31" s="7">
        <v>5821097.0</v>
      </c>
      <c r="B31" s="23" t="s">
        <v>270</v>
      </c>
      <c r="C31" s="24">
        <v>1.0</v>
      </c>
      <c r="D31" s="25">
        <f t="shared" si="1"/>
        <v>27.5</v>
      </c>
      <c r="E31" s="25" t="s">
        <v>94</v>
      </c>
      <c r="F31" s="30">
        <v>1.0</v>
      </c>
      <c r="G31" s="25">
        <v>1.0</v>
      </c>
      <c r="H31" s="25">
        <v>1.0</v>
      </c>
      <c r="I31" s="25">
        <v>1.0</v>
      </c>
      <c r="J31" s="25">
        <v>0.5</v>
      </c>
      <c r="K31" s="31">
        <v>0.0</v>
      </c>
      <c r="L31" s="32">
        <v>0.0</v>
      </c>
      <c r="M31" s="33">
        <v>0.5</v>
      </c>
      <c r="N31" s="33">
        <v>1.0</v>
      </c>
      <c r="O31" s="33">
        <v>1.0</v>
      </c>
      <c r="P31" s="33">
        <v>1.0</v>
      </c>
      <c r="Q31" s="33">
        <v>1.0</v>
      </c>
      <c r="R31" s="31">
        <v>1.0</v>
      </c>
      <c r="S31" s="32">
        <v>1.0</v>
      </c>
      <c r="T31" s="25">
        <v>1.0</v>
      </c>
      <c r="U31" s="25">
        <v>1.0</v>
      </c>
      <c r="V31" s="25">
        <v>0.5</v>
      </c>
      <c r="W31" s="31">
        <v>0.0</v>
      </c>
      <c r="X31" s="31">
        <v>0.0</v>
      </c>
      <c r="Y31" s="25">
        <v>0.0</v>
      </c>
      <c r="Z31" s="32">
        <v>0.5</v>
      </c>
      <c r="AA31" s="33">
        <v>1.0</v>
      </c>
      <c r="AB31" s="33">
        <v>1.0</v>
      </c>
      <c r="AC31" s="25">
        <v>1.0</v>
      </c>
      <c r="AD31" s="25">
        <v>1.0</v>
      </c>
      <c r="AE31" s="25">
        <v>1.0</v>
      </c>
      <c r="AF31" s="31">
        <v>1.0</v>
      </c>
      <c r="AG31" s="32">
        <v>1.0</v>
      </c>
      <c r="AH31" s="25">
        <v>1.0</v>
      </c>
      <c r="AI31" s="25">
        <v>1.0</v>
      </c>
      <c r="AJ31" s="46">
        <v>0.5</v>
      </c>
      <c r="AK31" s="25">
        <v>0.0</v>
      </c>
      <c r="AL31" s="25">
        <v>0.0</v>
      </c>
      <c r="AM31" s="25">
        <v>0.0</v>
      </c>
      <c r="AN31" s="32">
        <v>0.0</v>
      </c>
      <c r="AO31" s="46">
        <v>0.5</v>
      </c>
      <c r="AP31" s="25">
        <v>1.0</v>
      </c>
      <c r="AQ31" s="25">
        <v>1.0</v>
      </c>
      <c r="AR31" s="25">
        <v>1.0</v>
      </c>
      <c r="AS31" s="25">
        <v>0.5</v>
      </c>
      <c r="AT31" s="29">
        <f t="shared" si="4"/>
        <v>12.5</v>
      </c>
      <c r="AU31" s="29">
        <f t="array" ref="AU31">MAX(
    FREQUENCY(
      IF(F31:AS31=1, COLUMN(F31:AS31)),
      IF(F31:AS31&lt;&gt;1, COLUMN(F31:AS31))
    )
  )</f>
        <v>9</v>
      </c>
      <c r="AV31" s="29"/>
      <c r="AW31" s="29"/>
      <c r="AX31" s="29"/>
      <c r="AY31" s="29"/>
      <c r="AZ31" s="29"/>
      <c r="BA31" s="29"/>
      <c r="BB31" s="29"/>
      <c r="BC31" s="29"/>
      <c r="BD31" s="29"/>
      <c r="BE31" s="29"/>
      <c r="BF31" s="29"/>
      <c r="BG31" s="29"/>
      <c r="BH31" s="29"/>
      <c r="BI31" s="29"/>
      <c r="BJ31" s="29"/>
      <c r="BK31" s="29"/>
      <c r="BL31" s="29"/>
      <c r="BM31" s="29"/>
      <c r="BN31" s="29"/>
      <c r="BO31" s="29"/>
      <c r="BP31" s="29"/>
    </row>
    <row r="32">
      <c r="A32" s="7">
        <v>8140590.0</v>
      </c>
      <c r="B32" s="23" t="s">
        <v>160</v>
      </c>
      <c r="C32" s="24">
        <v>1.0</v>
      </c>
      <c r="D32" s="25">
        <f t="shared" si="1"/>
        <v>26.5</v>
      </c>
      <c r="E32" s="25" t="s">
        <v>94</v>
      </c>
      <c r="F32" s="30">
        <v>1.0</v>
      </c>
      <c r="G32" s="25">
        <v>1.0</v>
      </c>
      <c r="H32" s="45">
        <v>0.5</v>
      </c>
      <c r="I32" s="46">
        <v>0.0</v>
      </c>
      <c r="J32" s="46">
        <v>0.0</v>
      </c>
      <c r="K32" s="48">
        <v>0.0</v>
      </c>
      <c r="L32" s="49">
        <v>0.0</v>
      </c>
      <c r="M32" s="47">
        <v>0.5</v>
      </c>
      <c r="N32" s="25">
        <v>1.0</v>
      </c>
      <c r="O32" s="25">
        <v>1.0</v>
      </c>
      <c r="P32" s="25">
        <v>1.0</v>
      </c>
      <c r="Q32" s="25">
        <v>1.0</v>
      </c>
      <c r="R32" s="31">
        <v>1.0</v>
      </c>
      <c r="S32" s="32">
        <v>1.0</v>
      </c>
      <c r="T32" s="25">
        <v>1.0</v>
      </c>
      <c r="U32" s="25">
        <v>1.0</v>
      </c>
      <c r="V32" s="25">
        <v>0.5</v>
      </c>
      <c r="W32" s="31">
        <v>0.0</v>
      </c>
      <c r="X32" s="31">
        <v>0.0</v>
      </c>
      <c r="Y32" s="25">
        <v>0.5</v>
      </c>
      <c r="Z32" s="32">
        <v>1.0</v>
      </c>
      <c r="AA32" s="33">
        <v>1.0</v>
      </c>
      <c r="AB32" s="33">
        <v>1.0</v>
      </c>
      <c r="AC32" s="25">
        <v>1.0</v>
      </c>
      <c r="AD32" s="25">
        <v>1.0</v>
      </c>
      <c r="AE32" s="25">
        <v>1.0</v>
      </c>
      <c r="AF32" s="31">
        <v>1.0</v>
      </c>
      <c r="AG32" s="32">
        <v>1.0</v>
      </c>
      <c r="AH32" s="25">
        <v>1.0</v>
      </c>
      <c r="AI32" s="45">
        <v>0.5</v>
      </c>
      <c r="AJ32" s="46">
        <v>0.0</v>
      </c>
      <c r="AK32" s="46">
        <v>0.0</v>
      </c>
      <c r="AL32" s="46">
        <v>0.5</v>
      </c>
      <c r="AM32" s="31">
        <v>1.0</v>
      </c>
      <c r="AN32" s="32">
        <v>1.0</v>
      </c>
      <c r="AO32" s="25">
        <v>1.0</v>
      </c>
      <c r="AP32" s="25">
        <v>1.0</v>
      </c>
      <c r="AQ32" s="45">
        <v>0.5</v>
      </c>
      <c r="AR32" s="46">
        <v>0.0</v>
      </c>
      <c r="AS32" s="47">
        <v>0.0</v>
      </c>
      <c r="AT32" s="29">
        <f t="shared" si="4"/>
        <v>13.5</v>
      </c>
      <c r="AU32" s="29">
        <f t="array" ref="AU32">MAX(
    FREQUENCY(
      IF(F32:AS32=1, COLUMN(F32:AS32)),
      IF(F32:AS32&lt;&gt;1, COLUMN(F32:AS32))
    )
  )</f>
        <v>9</v>
      </c>
      <c r="AV32" s="29"/>
      <c r="AW32" s="29"/>
      <c r="AX32" s="29"/>
      <c r="AY32" s="29"/>
      <c r="AZ32" s="29"/>
      <c r="BA32" s="29"/>
      <c r="BB32" s="29"/>
      <c r="BC32" s="29"/>
      <c r="BD32" s="29"/>
      <c r="BE32" s="29"/>
      <c r="BF32" s="29"/>
      <c r="BG32" s="29"/>
      <c r="BH32" s="29"/>
      <c r="BI32" s="29"/>
      <c r="BJ32" s="29"/>
      <c r="BK32" s="29"/>
      <c r="BL32" s="29"/>
      <c r="BM32" s="29"/>
      <c r="BN32" s="29"/>
      <c r="BO32" s="29"/>
      <c r="BP32" s="29"/>
    </row>
    <row r="33">
      <c r="A33" s="7">
        <v>7023922.0</v>
      </c>
      <c r="B33" s="23" t="s">
        <v>182</v>
      </c>
      <c r="C33" s="24">
        <v>2.0</v>
      </c>
      <c r="D33" s="25">
        <f t="shared" si="1"/>
        <v>25.5</v>
      </c>
      <c r="E33" s="25" t="s">
        <v>146</v>
      </c>
      <c r="F33" s="25">
        <v>1.0</v>
      </c>
      <c r="G33" s="25">
        <v>1.0</v>
      </c>
      <c r="H33" s="25">
        <v>1.0</v>
      </c>
      <c r="I33" s="25">
        <v>1.0</v>
      </c>
      <c r="J33" s="25">
        <v>1.0</v>
      </c>
      <c r="K33" s="31">
        <v>1.0</v>
      </c>
      <c r="L33" s="32">
        <v>1.0</v>
      </c>
      <c r="M33" s="25">
        <v>1.0</v>
      </c>
      <c r="N33" s="25">
        <v>1.0</v>
      </c>
      <c r="O33" s="90">
        <v>0.5</v>
      </c>
      <c r="P33" s="91">
        <v>0.5</v>
      </c>
      <c r="Q33" s="25">
        <v>1.0</v>
      </c>
      <c r="R33" s="45">
        <v>0.5</v>
      </c>
      <c r="S33" s="49">
        <v>0.0</v>
      </c>
      <c r="T33" s="47">
        <v>0.5</v>
      </c>
      <c r="U33" s="25">
        <v>1.0</v>
      </c>
      <c r="V33" s="45">
        <v>0.5</v>
      </c>
      <c r="W33" s="46">
        <v>0.0</v>
      </c>
      <c r="X33" s="46">
        <v>0.0</v>
      </c>
      <c r="Y33" s="46">
        <v>0.5</v>
      </c>
      <c r="Z33" s="32">
        <v>1.0</v>
      </c>
      <c r="AA33" s="25">
        <v>1.0</v>
      </c>
      <c r="AB33" s="25">
        <v>1.0</v>
      </c>
      <c r="AC33" s="45">
        <v>0.5</v>
      </c>
      <c r="AD33" s="47">
        <v>0.5</v>
      </c>
      <c r="AE33" s="25">
        <v>1.0</v>
      </c>
      <c r="AF33" s="45">
        <v>0.5</v>
      </c>
      <c r="AG33" s="49">
        <v>0.0</v>
      </c>
      <c r="AH33" s="47">
        <v>0.5</v>
      </c>
      <c r="AI33" s="25">
        <v>1.0</v>
      </c>
      <c r="AJ33" s="45">
        <v>0.5</v>
      </c>
      <c r="AK33" s="46">
        <v>0.0</v>
      </c>
      <c r="AL33" s="46">
        <v>0.0</v>
      </c>
      <c r="AM33" s="46">
        <v>0.5</v>
      </c>
      <c r="AN33" s="32">
        <v>1.0</v>
      </c>
      <c r="AO33" s="25">
        <v>1.0</v>
      </c>
      <c r="AP33" s="25">
        <v>1.0</v>
      </c>
      <c r="AQ33" s="45">
        <v>0.5</v>
      </c>
      <c r="AR33" s="46">
        <v>0.0</v>
      </c>
      <c r="AS33" s="92">
        <v>0.0</v>
      </c>
      <c r="AT33" s="29">
        <f t="shared" si="4"/>
        <v>14.5</v>
      </c>
      <c r="AU33" s="29">
        <f t="array" ref="AU33">MAX(
    FREQUENCY(
      IF(F33:AS33=1, COLUMN(F33:AS33)),
      IF(F33:AS33&lt;&gt;1, COLUMN(F33:AS33))
    )
  )</f>
        <v>9</v>
      </c>
      <c r="AV33" s="29"/>
      <c r="AW33" s="29"/>
      <c r="AX33" s="29"/>
      <c r="AY33" s="29"/>
      <c r="AZ33" s="29"/>
      <c r="BA33" s="29"/>
      <c r="BB33" s="29"/>
      <c r="BC33" s="29"/>
      <c r="BD33" s="29"/>
      <c r="BE33" s="29"/>
      <c r="BF33" s="29"/>
      <c r="BG33" s="29"/>
      <c r="BH33" s="29"/>
      <c r="BI33" s="29"/>
      <c r="BJ33" s="29"/>
      <c r="BK33" s="29"/>
      <c r="BL33" s="29"/>
      <c r="BM33" s="29"/>
      <c r="BN33" s="29"/>
      <c r="BO33" s="29"/>
      <c r="BP33" s="29"/>
    </row>
    <row r="34">
      <c r="A34" s="7">
        <v>6977049.0</v>
      </c>
      <c r="B34" s="23" t="s">
        <v>284</v>
      </c>
      <c r="C34" s="24">
        <v>3.0</v>
      </c>
      <c r="D34" s="25">
        <f t="shared" si="1"/>
        <v>24.5</v>
      </c>
      <c r="E34" s="25" t="s">
        <v>94</v>
      </c>
      <c r="F34" s="30">
        <v>1.0</v>
      </c>
      <c r="G34" s="25">
        <v>1.0</v>
      </c>
      <c r="H34" s="25">
        <v>1.0</v>
      </c>
      <c r="I34" s="25">
        <v>1.0</v>
      </c>
      <c r="J34" s="25">
        <v>1.0</v>
      </c>
      <c r="K34" s="31">
        <v>1.0</v>
      </c>
      <c r="L34" s="32">
        <v>1.0</v>
      </c>
      <c r="M34" s="25">
        <v>0.5</v>
      </c>
      <c r="N34" s="31">
        <v>0.0</v>
      </c>
      <c r="O34" s="33">
        <v>0.5</v>
      </c>
      <c r="P34" s="33">
        <v>1.0</v>
      </c>
      <c r="Q34" s="33">
        <v>1.0</v>
      </c>
      <c r="R34" s="31">
        <v>1.0</v>
      </c>
      <c r="S34" s="32">
        <v>1.0</v>
      </c>
      <c r="T34" s="25">
        <v>1.0</v>
      </c>
      <c r="U34" s="25">
        <v>1.0</v>
      </c>
      <c r="V34" s="45">
        <v>0.5</v>
      </c>
      <c r="W34" s="46">
        <v>0.0</v>
      </c>
      <c r="X34" s="46">
        <v>0.0</v>
      </c>
      <c r="Y34" s="48">
        <v>0.0</v>
      </c>
      <c r="Z34" s="49">
        <v>0.0</v>
      </c>
      <c r="AA34" s="47">
        <v>0.5</v>
      </c>
      <c r="AB34" s="25">
        <v>0.5</v>
      </c>
      <c r="AC34" s="25">
        <v>0.0</v>
      </c>
      <c r="AD34" s="25">
        <v>0.5</v>
      </c>
      <c r="AE34" s="45">
        <v>0.5</v>
      </c>
      <c r="AF34" s="48">
        <v>0.0</v>
      </c>
      <c r="AG34" s="49">
        <v>0.0</v>
      </c>
      <c r="AH34" s="46">
        <v>0.0</v>
      </c>
      <c r="AI34" s="46">
        <v>0.0</v>
      </c>
      <c r="AJ34" s="46">
        <v>0.0</v>
      </c>
      <c r="AK34" s="47">
        <v>0.5</v>
      </c>
      <c r="AL34" s="25">
        <v>1.0</v>
      </c>
      <c r="AM34" s="31">
        <v>1.0</v>
      </c>
      <c r="AN34" s="32">
        <v>1.0</v>
      </c>
      <c r="AO34" s="25">
        <v>1.0</v>
      </c>
      <c r="AP34" s="25">
        <v>1.0</v>
      </c>
      <c r="AQ34" s="45">
        <v>1.0</v>
      </c>
      <c r="AR34" s="46">
        <v>1.0</v>
      </c>
      <c r="AS34" s="47">
        <v>0.5</v>
      </c>
      <c r="AT34" s="29">
        <f t="shared" si="4"/>
        <v>15.5</v>
      </c>
      <c r="AU34" s="29">
        <f t="array" ref="AU34">MAX(
    FREQUENCY(
      IF(F34:AS34=1, COLUMN(F34:AS34)),
      IF(F34:AS34&lt;&gt;1, COLUMN(F34:AS34))
    )
  )</f>
        <v>7</v>
      </c>
      <c r="AV34" s="29"/>
      <c r="AW34" s="29"/>
      <c r="AX34" s="29"/>
      <c r="AY34" s="29"/>
      <c r="AZ34" s="29"/>
      <c r="BA34" s="29"/>
      <c r="BB34" s="29"/>
      <c r="BC34" s="29"/>
      <c r="BD34" s="29"/>
      <c r="BE34" s="29"/>
      <c r="BF34" s="29"/>
      <c r="BG34" s="29"/>
      <c r="BH34" s="29"/>
      <c r="BI34" s="29"/>
      <c r="BJ34" s="29"/>
      <c r="BK34" s="29"/>
      <c r="BL34" s="29"/>
      <c r="BM34" s="29"/>
      <c r="BN34" s="29"/>
      <c r="BO34" s="29"/>
      <c r="BP34" s="29"/>
    </row>
    <row r="35">
      <c r="A35" s="7">
        <v>8202000.0</v>
      </c>
      <c r="B35" s="23" t="s">
        <v>236</v>
      </c>
      <c r="C35" s="24">
        <v>2.0</v>
      </c>
      <c r="D35" s="25">
        <f t="shared" si="1"/>
        <v>28.5</v>
      </c>
      <c r="E35" s="25" t="s">
        <v>94</v>
      </c>
      <c r="F35" s="30">
        <v>1.0</v>
      </c>
      <c r="G35" s="25">
        <v>1.0</v>
      </c>
      <c r="H35" s="25">
        <v>1.0</v>
      </c>
      <c r="I35" s="25">
        <v>1.0</v>
      </c>
      <c r="J35" s="25">
        <v>1.0</v>
      </c>
      <c r="K35" s="25">
        <v>1.0</v>
      </c>
      <c r="L35" s="32">
        <v>1.0</v>
      </c>
      <c r="M35" s="25">
        <v>0.5</v>
      </c>
      <c r="N35" s="31">
        <v>0.0</v>
      </c>
      <c r="O35" s="33">
        <v>0.0</v>
      </c>
      <c r="P35" s="33">
        <v>0.5</v>
      </c>
      <c r="Q35" s="25">
        <v>1.0</v>
      </c>
      <c r="R35" s="31">
        <v>1.0</v>
      </c>
      <c r="S35" s="32">
        <v>1.0</v>
      </c>
      <c r="T35" s="25">
        <v>1.0</v>
      </c>
      <c r="U35" s="25">
        <v>1.0</v>
      </c>
      <c r="V35" s="25">
        <v>1.0</v>
      </c>
      <c r="W35" s="25">
        <v>1.0</v>
      </c>
      <c r="X35" s="25">
        <v>0.5</v>
      </c>
      <c r="Y35" s="31">
        <v>0.0</v>
      </c>
      <c r="Z35" s="32">
        <v>0.0</v>
      </c>
      <c r="AA35" s="33">
        <v>0.0</v>
      </c>
      <c r="AB35" s="25">
        <v>0.5</v>
      </c>
      <c r="AC35" s="25">
        <v>1.0</v>
      </c>
      <c r="AD35" s="25">
        <v>1.0</v>
      </c>
      <c r="AE35" s="25">
        <v>1.0</v>
      </c>
      <c r="AF35" s="31">
        <v>1.0</v>
      </c>
      <c r="AG35" s="49">
        <v>0.5</v>
      </c>
      <c r="AH35" s="46">
        <v>0.0</v>
      </c>
      <c r="AI35" s="47">
        <v>0.0</v>
      </c>
      <c r="AJ35" s="25">
        <v>0.5</v>
      </c>
      <c r="AK35" s="25">
        <v>1.0</v>
      </c>
      <c r="AL35" s="25">
        <v>1.0</v>
      </c>
      <c r="AM35" s="31">
        <v>1.0</v>
      </c>
      <c r="AN35" s="32">
        <v>1.0</v>
      </c>
      <c r="AO35" s="25">
        <v>1.0</v>
      </c>
      <c r="AP35" s="25">
        <v>1.0</v>
      </c>
      <c r="AQ35" s="25">
        <v>1.0</v>
      </c>
      <c r="AR35" s="25">
        <v>0.5</v>
      </c>
      <c r="AS35" s="25">
        <v>0.0</v>
      </c>
      <c r="AT35" s="29">
        <f t="shared" si="4"/>
        <v>11.5</v>
      </c>
      <c r="AU35" s="29">
        <f t="array" ref="AU35">MAX(
    FREQUENCY(
      IF(F35:AS35=1, COLUMN(F35:AS35)),
      IF(F35:AS35&lt;&gt;1, COLUMN(F35:AS35))
    )
  )</f>
        <v>7</v>
      </c>
      <c r="AV35" s="29"/>
      <c r="AW35" s="29"/>
      <c r="AX35" s="29"/>
      <c r="AY35" s="29"/>
      <c r="AZ35" s="29"/>
      <c r="BA35" s="29"/>
      <c r="BB35" s="29"/>
      <c r="BC35" s="29"/>
      <c r="BD35" s="29"/>
      <c r="BE35" s="29"/>
      <c r="BF35" s="29"/>
      <c r="BG35" s="29"/>
      <c r="BH35" s="29"/>
      <c r="BI35" s="29"/>
      <c r="BJ35" s="29"/>
      <c r="BK35" s="29"/>
      <c r="BL35" s="29"/>
      <c r="BM35" s="29"/>
      <c r="BN35" s="29"/>
      <c r="BO35" s="29"/>
      <c r="BP35" s="29"/>
    </row>
    <row r="36">
      <c r="A36" s="7">
        <v>5053743.0</v>
      </c>
      <c r="B36" s="23" t="s">
        <v>290</v>
      </c>
      <c r="C36" s="10" t="s">
        <v>115</v>
      </c>
      <c r="D36" s="25">
        <f t="shared" si="1"/>
        <v>26.5</v>
      </c>
      <c r="E36" s="25" t="s">
        <v>146</v>
      </c>
      <c r="F36" s="30">
        <v>1.0</v>
      </c>
      <c r="G36" s="25">
        <v>1.0</v>
      </c>
      <c r="H36" s="25">
        <v>1.0</v>
      </c>
      <c r="I36" s="25">
        <v>1.0</v>
      </c>
      <c r="J36" s="25">
        <v>1.0</v>
      </c>
      <c r="K36" s="25">
        <v>1.0</v>
      </c>
      <c r="L36" s="32">
        <v>1.0</v>
      </c>
      <c r="M36" s="25">
        <v>0.5</v>
      </c>
      <c r="N36" s="25">
        <v>0.0</v>
      </c>
      <c r="O36" s="25">
        <v>0.0</v>
      </c>
      <c r="P36" s="25">
        <v>0.0</v>
      </c>
      <c r="Q36" s="25">
        <v>0.5</v>
      </c>
      <c r="R36" s="31">
        <v>1.0</v>
      </c>
      <c r="S36" s="32">
        <v>1.0</v>
      </c>
      <c r="T36" s="25">
        <v>1.0</v>
      </c>
      <c r="U36" s="25">
        <v>0.5</v>
      </c>
      <c r="V36" s="25">
        <v>0.5</v>
      </c>
      <c r="W36" s="25">
        <v>1.0</v>
      </c>
      <c r="X36" s="25">
        <v>1.0</v>
      </c>
      <c r="Y36" s="31">
        <v>0.5</v>
      </c>
      <c r="Z36" s="32">
        <v>0.5</v>
      </c>
      <c r="AA36" s="25">
        <v>1.0</v>
      </c>
      <c r="AB36" s="25">
        <v>1.0</v>
      </c>
      <c r="AC36" s="25">
        <v>1.0</v>
      </c>
      <c r="AD36" s="25">
        <v>1.0</v>
      </c>
      <c r="AE36" s="25">
        <v>0.5</v>
      </c>
      <c r="AF36" s="31">
        <v>0.0</v>
      </c>
      <c r="AG36" s="32">
        <v>0.5</v>
      </c>
      <c r="AH36" s="25">
        <v>1.0</v>
      </c>
      <c r="AI36" s="25">
        <v>1.0</v>
      </c>
      <c r="AJ36" s="25">
        <v>1.0</v>
      </c>
      <c r="AK36" s="25">
        <v>1.0</v>
      </c>
      <c r="AL36" s="25">
        <v>0.5</v>
      </c>
      <c r="AM36" s="25">
        <v>0.0</v>
      </c>
      <c r="AN36" s="32">
        <v>0.0</v>
      </c>
      <c r="AO36" s="25">
        <v>0.0</v>
      </c>
      <c r="AP36" s="25">
        <v>0.0</v>
      </c>
      <c r="AQ36" s="25">
        <v>0.5</v>
      </c>
      <c r="AR36" s="25">
        <v>1.0</v>
      </c>
      <c r="AS36" s="25">
        <v>0.5</v>
      </c>
      <c r="AT36" s="29">
        <f t="shared" si="4"/>
        <v>13.5</v>
      </c>
      <c r="AU36" s="29">
        <f t="array" ref="AU36">MAX(
    FREQUENCY(
      IF(F36:AS36=1, COLUMN(F36:AS36)),
      IF(F36:AS36&lt;&gt;1, COLUMN(F36:AS36))
    )
  )</f>
        <v>7</v>
      </c>
      <c r="AV36" s="29"/>
      <c r="AW36" s="29"/>
      <c r="AX36" s="29"/>
      <c r="AY36" s="29"/>
      <c r="AZ36" s="29"/>
      <c r="BA36" s="29"/>
      <c r="BB36" s="29"/>
      <c r="BC36" s="29"/>
      <c r="BD36" s="29"/>
      <c r="BE36" s="29"/>
      <c r="BF36" s="29"/>
      <c r="BG36" s="29"/>
      <c r="BH36" s="29"/>
      <c r="BI36" s="29"/>
      <c r="BJ36" s="29"/>
      <c r="BK36" s="29"/>
      <c r="BL36" s="29"/>
      <c r="BM36" s="29"/>
      <c r="BN36" s="29"/>
      <c r="BO36" s="29"/>
      <c r="BP36" s="29"/>
    </row>
    <row r="37">
      <c r="A37" s="7">
        <v>7144025.0</v>
      </c>
      <c r="B37" s="23" t="s">
        <v>291</v>
      </c>
      <c r="C37" s="24">
        <v>3.0</v>
      </c>
      <c r="D37" s="25">
        <f t="shared" si="1"/>
        <v>27.5</v>
      </c>
      <c r="E37" s="25" t="s">
        <v>94</v>
      </c>
      <c r="F37" s="30">
        <v>1.0</v>
      </c>
      <c r="G37" s="25">
        <v>1.0</v>
      </c>
      <c r="H37" s="25">
        <v>1.0</v>
      </c>
      <c r="I37" s="25">
        <v>1.0</v>
      </c>
      <c r="J37" s="25">
        <v>1.0</v>
      </c>
      <c r="K37" s="31">
        <v>1.0</v>
      </c>
      <c r="L37" s="32">
        <v>1.0</v>
      </c>
      <c r="M37" s="25">
        <v>0.5</v>
      </c>
      <c r="N37" s="31">
        <v>0.0</v>
      </c>
      <c r="O37" s="33">
        <v>0.0</v>
      </c>
      <c r="P37" s="33">
        <v>0.5</v>
      </c>
      <c r="Q37" s="25">
        <v>1.0</v>
      </c>
      <c r="R37" s="31">
        <v>1.0</v>
      </c>
      <c r="S37" s="32">
        <v>1.0</v>
      </c>
      <c r="T37" s="25">
        <v>1.0</v>
      </c>
      <c r="U37" s="25">
        <v>0.5</v>
      </c>
      <c r="V37" s="25">
        <v>0.0</v>
      </c>
      <c r="W37" s="25">
        <v>0.0</v>
      </c>
      <c r="X37" s="31">
        <v>0.0</v>
      </c>
      <c r="Y37" s="25">
        <v>0.5</v>
      </c>
      <c r="Z37" s="32">
        <v>1.0</v>
      </c>
      <c r="AA37" s="25">
        <v>1.0</v>
      </c>
      <c r="AB37" s="25">
        <v>1.0</v>
      </c>
      <c r="AC37" s="25">
        <v>1.0</v>
      </c>
      <c r="AD37" s="25">
        <v>1.0</v>
      </c>
      <c r="AE37" s="25">
        <v>1.0</v>
      </c>
      <c r="AF37" s="31">
        <v>1.0</v>
      </c>
      <c r="AG37" s="32">
        <v>1.0</v>
      </c>
      <c r="AH37" s="25">
        <v>0.5</v>
      </c>
      <c r="AI37" s="25">
        <v>0.0</v>
      </c>
      <c r="AJ37" s="25">
        <v>0.0</v>
      </c>
      <c r="AK37" s="25">
        <v>0.0</v>
      </c>
      <c r="AL37" s="25">
        <v>0.0</v>
      </c>
      <c r="AM37" s="31">
        <v>0.5</v>
      </c>
      <c r="AN37" s="32">
        <v>1.0</v>
      </c>
      <c r="AO37" s="25">
        <v>1.0</v>
      </c>
      <c r="AP37" s="25">
        <v>1.0</v>
      </c>
      <c r="AQ37" s="25">
        <v>1.0</v>
      </c>
      <c r="AR37" s="25">
        <v>1.0</v>
      </c>
      <c r="AS37" s="25">
        <v>0.5</v>
      </c>
      <c r="AT37" s="29">
        <f t="shared" si="4"/>
        <v>12.5</v>
      </c>
      <c r="AU37" s="29">
        <f t="array" ref="AU37">MAX(
    FREQUENCY(
      IF(F37:AS37=1, COLUMN(F37:AS37)),
      IF(F37:AS37&lt;&gt;1, COLUMN(F37:AS37))
    )
  )</f>
        <v>8</v>
      </c>
      <c r="AV37" s="29"/>
      <c r="AW37" s="29"/>
      <c r="AX37" s="29"/>
      <c r="AY37" s="29"/>
      <c r="AZ37" s="29"/>
      <c r="BA37" s="29"/>
      <c r="BB37" s="29"/>
      <c r="BC37" s="29"/>
      <c r="BD37" s="29"/>
      <c r="BE37" s="29"/>
      <c r="BF37" s="29"/>
      <c r="BG37" s="29"/>
      <c r="BH37" s="29"/>
      <c r="BI37" s="29"/>
      <c r="BJ37" s="29"/>
      <c r="BK37" s="29"/>
      <c r="BL37" s="29"/>
      <c r="BM37" s="29"/>
      <c r="BN37" s="29"/>
      <c r="BO37" s="29"/>
      <c r="BP37" s="29"/>
    </row>
    <row r="38">
      <c r="A38" s="7">
        <v>7081804.0</v>
      </c>
      <c r="B38" s="23" t="s">
        <v>75</v>
      </c>
      <c r="C38" s="24">
        <v>3.0</v>
      </c>
      <c r="D38" s="25">
        <f t="shared" si="1"/>
        <v>27.5</v>
      </c>
      <c r="E38" s="25" t="s">
        <v>146</v>
      </c>
      <c r="F38" s="30">
        <v>1.0</v>
      </c>
      <c r="G38" s="25">
        <v>1.0</v>
      </c>
      <c r="H38" s="25">
        <v>1.0</v>
      </c>
      <c r="I38" s="25">
        <v>1.0</v>
      </c>
      <c r="J38" s="45">
        <v>0.5</v>
      </c>
      <c r="K38" s="48">
        <v>0.0</v>
      </c>
      <c r="L38" s="49">
        <v>0.0</v>
      </c>
      <c r="M38" s="47">
        <v>0.5</v>
      </c>
      <c r="N38" s="25">
        <v>1.0</v>
      </c>
      <c r="O38" s="25">
        <v>1.0</v>
      </c>
      <c r="P38" s="25">
        <v>1.0</v>
      </c>
      <c r="Q38" s="45">
        <v>0.5</v>
      </c>
      <c r="R38" s="48">
        <v>0.0</v>
      </c>
      <c r="S38" s="49">
        <v>0.0</v>
      </c>
      <c r="T38" s="47">
        <v>0.5</v>
      </c>
      <c r="U38" s="25">
        <v>1.0</v>
      </c>
      <c r="V38" s="25">
        <v>1.0</v>
      </c>
      <c r="W38" s="25">
        <v>1.0</v>
      </c>
      <c r="X38" s="25">
        <v>1.0</v>
      </c>
      <c r="Y38" s="31">
        <v>1.0</v>
      </c>
      <c r="Z38" s="32">
        <v>1.0</v>
      </c>
      <c r="AA38" s="25">
        <v>1.0</v>
      </c>
      <c r="AB38" s="25">
        <v>1.0</v>
      </c>
      <c r="AC38" s="25">
        <v>1.0</v>
      </c>
      <c r="AD38" s="45">
        <v>0.5</v>
      </c>
      <c r="AE38" s="46">
        <v>0.0</v>
      </c>
      <c r="AF38" s="48">
        <v>0.0</v>
      </c>
      <c r="AG38" s="49">
        <v>0.0</v>
      </c>
      <c r="AH38" s="47">
        <v>0.5</v>
      </c>
      <c r="AI38" s="25">
        <v>1.0</v>
      </c>
      <c r="AJ38" s="25">
        <v>1.0</v>
      </c>
      <c r="AK38" s="25">
        <v>1.0</v>
      </c>
      <c r="AL38" s="25">
        <v>1.0</v>
      </c>
      <c r="AM38" s="31">
        <v>1.0</v>
      </c>
      <c r="AN38" s="32">
        <v>1.0</v>
      </c>
      <c r="AO38" s="25">
        <v>1.0</v>
      </c>
      <c r="AP38" s="25">
        <v>1.0</v>
      </c>
      <c r="AQ38" s="45">
        <v>0.5</v>
      </c>
      <c r="AR38" s="46">
        <v>0.0</v>
      </c>
      <c r="AS38" s="47">
        <v>0.0</v>
      </c>
      <c r="AT38" s="29">
        <f t="shared" si="4"/>
        <v>12.5</v>
      </c>
      <c r="AU38" s="29">
        <f t="array" ref="AU38">MAX(
    FREQUENCY(
      IF(F38:AS38=1, COLUMN(F38:AS38)),
      IF(F38:AS38&lt;&gt;1, COLUMN(F38:AS38))
    )
  )</f>
        <v>9</v>
      </c>
      <c r="AV38" s="29"/>
      <c r="AW38" s="29"/>
      <c r="AX38" s="29"/>
      <c r="AY38" s="29"/>
      <c r="AZ38" s="29"/>
      <c r="BA38" s="29"/>
      <c r="BB38" s="29"/>
      <c r="BC38" s="29"/>
      <c r="BD38" s="29"/>
      <c r="BE38" s="29"/>
      <c r="BF38" s="29"/>
      <c r="BG38" s="29"/>
      <c r="BH38" s="29"/>
      <c r="BI38" s="29"/>
      <c r="BJ38" s="29"/>
      <c r="BK38" s="29"/>
      <c r="BL38" s="29"/>
      <c r="BM38" s="29"/>
      <c r="BN38" s="29"/>
      <c r="BO38" s="29"/>
      <c r="BP38" s="29"/>
    </row>
    <row r="39">
      <c r="A39" s="7">
        <v>8115729.0</v>
      </c>
      <c r="B39" s="23" t="s">
        <v>209</v>
      </c>
      <c r="C39" s="24">
        <v>3.0</v>
      </c>
      <c r="D39" s="25">
        <f t="shared" si="1"/>
        <v>27</v>
      </c>
      <c r="E39" s="25" t="s">
        <v>94</v>
      </c>
      <c r="F39" s="45">
        <v>0.0</v>
      </c>
      <c r="G39" s="47">
        <v>0.5</v>
      </c>
      <c r="H39" s="25">
        <v>1.0</v>
      </c>
      <c r="I39" s="25">
        <v>1.0</v>
      </c>
      <c r="J39" s="25">
        <v>1.0</v>
      </c>
      <c r="K39" s="31">
        <v>1.0</v>
      </c>
      <c r="L39" s="32">
        <v>1.0</v>
      </c>
      <c r="M39" s="25">
        <v>1.0</v>
      </c>
      <c r="N39" s="25">
        <v>1.0</v>
      </c>
      <c r="O39" s="45">
        <v>0.5</v>
      </c>
      <c r="P39" s="46">
        <v>0.0</v>
      </c>
      <c r="Q39" s="46">
        <v>0.0</v>
      </c>
      <c r="R39" s="48">
        <v>0.0</v>
      </c>
      <c r="S39" s="49">
        <v>0.0</v>
      </c>
      <c r="T39" s="46">
        <v>0.0</v>
      </c>
      <c r="U39" s="47">
        <v>0.5</v>
      </c>
      <c r="V39" s="25">
        <v>1.0</v>
      </c>
      <c r="W39" s="25">
        <v>1.0</v>
      </c>
      <c r="X39" s="25">
        <v>1.0</v>
      </c>
      <c r="Y39" s="31">
        <v>1.0</v>
      </c>
      <c r="Z39" s="32">
        <v>1.0</v>
      </c>
      <c r="AA39" s="25">
        <v>1.0</v>
      </c>
      <c r="AB39" s="25">
        <v>1.0</v>
      </c>
      <c r="AC39" s="25">
        <v>1.0</v>
      </c>
      <c r="AD39" s="25">
        <v>0.5</v>
      </c>
      <c r="AE39" s="31">
        <v>0.0</v>
      </c>
      <c r="AF39" s="25">
        <v>0.0</v>
      </c>
      <c r="AG39" s="32">
        <v>0.0</v>
      </c>
      <c r="AH39" s="25">
        <v>0.5</v>
      </c>
      <c r="AI39" s="25">
        <v>1.0</v>
      </c>
      <c r="AJ39" s="25">
        <v>1.0</v>
      </c>
      <c r="AK39" s="25">
        <v>1.0</v>
      </c>
      <c r="AL39" s="25">
        <v>1.0</v>
      </c>
      <c r="AM39" s="31">
        <v>1.0</v>
      </c>
      <c r="AN39" s="32">
        <v>1.0</v>
      </c>
      <c r="AO39" s="25">
        <v>1.0</v>
      </c>
      <c r="AP39" s="25">
        <v>1.0</v>
      </c>
      <c r="AQ39" s="25">
        <v>1.0</v>
      </c>
      <c r="AR39" s="25">
        <v>0.5</v>
      </c>
      <c r="AS39" s="25">
        <v>0.0</v>
      </c>
      <c r="AT39" s="29">
        <f t="shared" si="4"/>
        <v>13</v>
      </c>
      <c r="AU39" s="29">
        <f t="array" ref="AU39">MAX(
    FREQUENCY(
      IF(F39:AS39=1, COLUMN(F39:AS39)),
      IF(F39:AS39&lt;&gt;1, COLUMN(F39:AS39))
    )
  )</f>
        <v>9</v>
      </c>
      <c r="AV39" s="29"/>
      <c r="AW39" s="29"/>
      <c r="AX39" s="29"/>
      <c r="AY39" s="29"/>
      <c r="AZ39" s="29"/>
      <c r="BA39" s="29"/>
      <c r="BB39" s="29"/>
      <c r="BC39" s="29"/>
      <c r="BD39" s="29"/>
      <c r="BE39" s="29"/>
      <c r="BF39" s="29"/>
      <c r="BG39" s="29"/>
      <c r="BH39" s="29"/>
      <c r="BI39" s="29"/>
      <c r="BJ39" s="29"/>
      <c r="BK39" s="29"/>
      <c r="BL39" s="29"/>
      <c r="BM39" s="29"/>
      <c r="BN39" s="29"/>
      <c r="BO39" s="29"/>
      <c r="BP39" s="29"/>
    </row>
    <row r="40">
      <c r="A40" s="7">
        <v>5146385.0</v>
      </c>
      <c r="B40" s="23" t="s">
        <v>238</v>
      </c>
      <c r="C40" s="24">
        <v>2.0</v>
      </c>
      <c r="D40" s="25">
        <f t="shared" si="1"/>
        <v>26.5</v>
      </c>
      <c r="E40" s="25" t="s">
        <v>87</v>
      </c>
      <c r="F40" s="30">
        <v>1.0</v>
      </c>
      <c r="G40" s="25">
        <v>1.0</v>
      </c>
      <c r="H40" s="25">
        <v>1.0</v>
      </c>
      <c r="I40" s="25">
        <v>1.0</v>
      </c>
      <c r="J40" s="52">
        <v>0.5</v>
      </c>
      <c r="K40" s="99">
        <v>0.0</v>
      </c>
      <c r="L40" s="36">
        <v>0.0</v>
      </c>
      <c r="M40" s="34">
        <v>0.5</v>
      </c>
      <c r="N40" s="25">
        <v>1.0</v>
      </c>
      <c r="O40" s="25">
        <v>1.0</v>
      </c>
      <c r="P40" s="25">
        <v>1.0</v>
      </c>
      <c r="Q40" s="25">
        <v>1.0</v>
      </c>
      <c r="R40" s="31">
        <v>1.0</v>
      </c>
      <c r="S40" s="32">
        <v>1.0</v>
      </c>
      <c r="T40" s="25">
        <v>1.0</v>
      </c>
      <c r="U40" s="25">
        <v>1.0</v>
      </c>
      <c r="V40" s="25">
        <v>1.0</v>
      </c>
      <c r="W40" s="52">
        <v>0.5</v>
      </c>
      <c r="X40" s="99">
        <v>0.0</v>
      </c>
      <c r="Y40" s="35">
        <v>0.0</v>
      </c>
      <c r="Z40" s="37">
        <v>0.0</v>
      </c>
      <c r="AA40" s="25">
        <v>0.5</v>
      </c>
      <c r="AB40" s="25">
        <v>1.0</v>
      </c>
      <c r="AC40" s="25">
        <v>1.0</v>
      </c>
      <c r="AD40" s="25">
        <v>1.0</v>
      </c>
      <c r="AE40" s="25">
        <v>1.0</v>
      </c>
      <c r="AF40" s="31">
        <v>1.0</v>
      </c>
      <c r="AG40" s="32">
        <v>1.0</v>
      </c>
      <c r="AH40" s="25">
        <v>1.0</v>
      </c>
      <c r="AI40" s="34">
        <v>0.5</v>
      </c>
      <c r="AJ40" s="35">
        <v>0.0</v>
      </c>
      <c r="AK40" s="35">
        <v>0.0</v>
      </c>
      <c r="AL40" s="35">
        <v>0.0</v>
      </c>
      <c r="AM40" s="35">
        <v>0.0</v>
      </c>
      <c r="AN40" s="37">
        <v>0.0</v>
      </c>
      <c r="AO40" s="25">
        <v>0.5</v>
      </c>
      <c r="AP40" s="25">
        <v>1.0</v>
      </c>
      <c r="AQ40" s="25">
        <v>1.0</v>
      </c>
      <c r="AR40" s="25">
        <v>1.0</v>
      </c>
      <c r="AS40" s="25">
        <v>0.5</v>
      </c>
      <c r="AT40" s="29">
        <f t="shared" si="4"/>
        <v>13.5</v>
      </c>
      <c r="AU40" s="29">
        <f t="array" ref="AU40">MAX(
    FREQUENCY(
      IF(F40:AS40=1, COLUMN(F40:AS40)),
      IF(F40:AS40&lt;&gt;1, COLUMN(F40:AS40))
    )
  )</f>
        <v>9</v>
      </c>
      <c r="AV40" s="29"/>
      <c r="AW40" s="29"/>
      <c r="AX40" s="29"/>
      <c r="AY40" s="29"/>
      <c r="AZ40" s="29"/>
      <c r="BA40" s="29"/>
      <c r="BB40" s="29"/>
      <c r="BC40" s="29"/>
      <c r="BD40" s="29"/>
      <c r="BE40" s="29"/>
      <c r="BF40" s="29"/>
      <c r="BG40" s="29"/>
      <c r="BH40" s="29"/>
      <c r="BI40" s="29"/>
      <c r="BJ40" s="29"/>
      <c r="BK40" s="29"/>
      <c r="BL40" s="29"/>
      <c r="BM40" s="29"/>
      <c r="BN40" s="29"/>
      <c r="BO40" s="29"/>
      <c r="BP40" s="29"/>
    </row>
    <row r="41">
      <c r="A41" s="7">
        <v>8357953.0</v>
      </c>
      <c r="B41" s="23" t="s">
        <v>83</v>
      </c>
      <c r="C41" s="24">
        <v>2.0</v>
      </c>
      <c r="D41" s="25">
        <f t="shared" si="1"/>
        <v>27.5</v>
      </c>
      <c r="E41" s="25" t="s">
        <v>87</v>
      </c>
      <c r="F41" s="30">
        <v>1.0</v>
      </c>
      <c r="G41" s="25">
        <v>1.0</v>
      </c>
      <c r="H41" s="25">
        <v>1.0</v>
      </c>
      <c r="I41" s="25">
        <v>1.0</v>
      </c>
      <c r="J41" s="52">
        <v>0.5</v>
      </c>
      <c r="K41" s="99">
        <v>0.0</v>
      </c>
      <c r="L41" s="36">
        <v>0.0</v>
      </c>
      <c r="M41" s="34">
        <v>0.5</v>
      </c>
      <c r="N41" s="25">
        <v>1.0</v>
      </c>
      <c r="O41" s="25">
        <v>1.0</v>
      </c>
      <c r="P41" s="25">
        <v>1.0</v>
      </c>
      <c r="Q41" s="25">
        <v>1.0</v>
      </c>
      <c r="R41" s="31">
        <v>1.0</v>
      </c>
      <c r="S41" s="32">
        <v>1.0</v>
      </c>
      <c r="T41" s="25">
        <v>1.0</v>
      </c>
      <c r="U41" s="52">
        <v>0.5</v>
      </c>
      <c r="V41" s="99">
        <v>0.0</v>
      </c>
      <c r="W41" s="100">
        <v>0.0</v>
      </c>
      <c r="X41" s="100">
        <v>0.0</v>
      </c>
      <c r="Y41" s="31">
        <v>0.5</v>
      </c>
      <c r="Z41" s="32">
        <v>1.0</v>
      </c>
      <c r="AA41" s="25">
        <v>1.0</v>
      </c>
      <c r="AB41" s="25">
        <v>1.0</v>
      </c>
      <c r="AC41" s="25">
        <v>1.0</v>
      </c>
      <c r="AD41" s="25">
        <v>1.0</v>
      </c>
      <c r="AE41" s="25">
        <v>1.0</v>
      </c>
      <c r="AF41" s="31">
        <v>1.0</v>
      </c>
      <c r="AG41" s="32">
        <v>1.0</v>
      </c>
      <c r="AH41" s="25">
        <v>1.0</v>
      </c>
      <c r="AI41" s="25">
        <v>1.0</v>
      </c>
      <c r="AJ41" s="34">
        <v>0.5</v>
      </c>
      <c r="AK41" s="35">
        <v>0.0</v>
      </c>
      <c r="AL41" s="35">
        <v>0.0</v>
      </c>
      <c r="AM41" s="35">
        <v>0.0</v>
      </c>
      <c r="AN41" s="36">
        <v>0.0</v>
      </c>
      <c r="AO41" s="34">
        <v>0.5</v>
      </c>
      <c r="AP41" s="25">
        <v>1.0</v>
      </c>
      <c r="AQ41" s="25">
        <v>1.0</v>
      </c>
      <c r="AR41" s="25">
        <v>1.0</v>
      </c>
      <c r="AS41" s="25">
        <v>0.5</v>
      </c>
      <c r="AT41" s="29">
        <f t="shared" si="4"/>
        <v>12.5</v>
      </c>
      <c r="AU41" s="29">
        <f t="array" ref="AU41">MAX(
    FREQUENCY(
      IF(F41:AS41=1, COLUMN(F41:AS41)),
      IF(F41:AS41&lt;&gt;1, COLUMN(F41:AS41))
    )
  )</f>
        <v>10</v>
      </c>
    </row>
    <row r="42">
      <c r="A42" s="7">
        <v>7157051.0</v>
      </c>
      <c r="B42" s="3" t="s">
        <v>225</v>
      </c>
      <c r="C42" s="24">
        <v>3.0</v>
      </c>
      <c r="D42" s="25">
        <f t="shared" si="1"/>
        <v>0</v>
      </c>
      <c r="E42" s="25" t="s">
        <v>205</v>
      </c>
      <c r="F42" s="30" t="s">
        <v>142</v>
      </c>
      <c r="G42" s="30" t="s">
        <v>142</v>
      </c>
      <c r="H42" s="30" t="s">
        <v>142</v>
      </c>
      <c r="I42" s="30" t="s">
        <v>142</v>
      </c>
      <c r="J42" s="30" t="s">
        <v>142</v>
      </c>
      <c r="K42" s="30" t="s">
        <v>142</v>
      </c>
      <c r="L42" s="30" t="s">
        <v>142</v>
      </c>
      <c r="M42" s="30" t="s">
        <v>142</v>
      </c>
      <c r="N42" s="30" t="s">
        <v>142</v>
      </c>
      <c r="O42" s="30" t="s">
        <v>142</v>
      </c>
      <c r="P42" s="30" t="s">
        <v>142</v>
      </c>
      <c r="Q42" s="30" t="s">
        <v>142</v>
      </c>
      <c r="R42" s="30" t="s">
        <v>142</v>
      </c>
      <c r="S42" s="30" t="s">
        <v>142</v>
      </c>
      <c r="T42" s="30" t="s">
        <v>142</v>
      </c>
      <c r="U42" s="30" t="s">
        <v>142</v>
      </c>
      <c r="V42" s="30" t="s">
        <v>142</v>
      </c>
      <c r="W42" s="30" t="s">
        <v>142</v>
      </c>
      <c r="X42" s="30" t="s">
        <v>142</v>
      </c>
      <c r="Y42" s="30" t="s">
        <v>142</v>
      </c>
      <c r="Z42" s="30" t="s">
        <v>142</v>
      </c>
      <c r="AA42" s="30" t="s">
        <v>142</v>
      </c>
      <c r="AB42" s="30" t="s">
        <v>142</v>
      </c>
      <c r="AC42" s="30" t="s">
        <v>142</v>
      </c>
      <c r="AD42" s="30" t="s">
        <v>142</v>
      </c>
      <c r="AE42" s="30" t="s">
        <v>142</v>
      </c>
      <c r="AF42" s="30" t="s">
        <v>142</v>
      </c>
      <c r="AG42" s="30" t="s">
        <v>142</v>
      </c>
      <c r="AH42" s="30" t="s">
        <v>142</v>
      </c>
      <c r="AI42" s="30" t="s">
        <v>142</v>
      </c>
      <c r="AJ42" s="30" t="s">
        <v>142</v>
      </c>
      <c r="AK42" s="30" t="s">
        <v>142</v>
      </c>
      <c r="AL42" s="30" t="s">
        <v>142</v>
      </c>
      <c r="AM42" s="30" t="s">
        <v>142</v>
      </c>
      <c r="AN42" s="30" t="s">
        <v>142</v>
      </c>
      <c r="AO42" s="30" t="s">
        <v>142</v>
      </c>
      <c r="AP42" s="30" t="s">
        <v>142</v>
      </c>
      <c r="AQ42" s="30" t="s">
        <v>142</v>
      </c>
      <c r="AR42" s="30" t="s">
        <v>142</v>
      </c>
      <c r="AS42" s="30" t="s">
        <v>142</v>
      </c>
      <c r="AT42" s="25">
        <v>0.0</v>
      </c>
      <c r="AU42" s="29">
        <f t="array" ref="AU42">MAX(
    FREQUENCY(
      IF(F42:AS42=1, COLUMN(F42:AS42)),
      IF(F42:AS42&lt;&gt;1, COLUMN(F42:AS42))
    )
  )</f>
        <v>0</v>
      </c>
    </row>
    <row r="43">
      <c r="A43" s="7">
        <v>4383619.0</v>
      </c>
      <c r="B43" s="3" t="s">
        <v>302</v>
      </c>
      <c r="C43" s="10" t="s">
        <v>115</v>
      </c>
      <c r="D43" s="25">
        <f t="shared" si="1"/>
        <v>28.5</v>
      </c>
      <c r="E43" s="25" t="s">
        <v>188</v>
      </c>
      <c r="F43" s="30">
        <v>1.0</v>
      </c>
      <c r="G43" s="25">
        <v>1.0</v>
      </c>
      <c r="H43" s="25">
        <v>1.0</v>
      </c>
      <c r="I43" s="25">
        <v>1.0</v>
      </c>
      <c r="J43" s="51">
        <v>0.5</v>
      </c>
      <c r="K43" s="35">
        <v>0.0</v>
      </c>
      <c r="L43" s="36">
        <v>0.0</v>
      </c>
      <c r="M43" s="51">
        <v>0.5</v>
      </c>
      <c r="N43" s="25">
        <v>1.0</v>
      </c>
      <c r="O43" s="25">
        <v>1.0</v>
      </c>
      <c r="P43" s="25">
        <v>1.0</v>
      </c>
      <c r="Q43" s="25">
        <v>1.0</v>
      </c>
      <c r="R43" s="31">
        <v>1.0</v>
      </c>
      <c r="S43" s="32">
        <v>1.0</v>
      </c>
      <c r="T43" s="51">
        <v>0.5</v>
      </c>
      <c r="U43" s="35">
        <v>0.0</v>
      </c>
      <c r="V43" s="35">
        <v>0.0</v>
      </c>
      <c r="W43" s="35">
        <v>0.0</v>
      </c>
      <c r="X43" s="51">
        <v>0.5</v>
      </c>
      <c r="Y43" s="31">
        <v>1.0</v>
      </c>
      <c r="Z43" s="32">
        <v>1.0</v>
      </c>
      <c r="AA43" s="25">
        <v>1.0</v>
      </c>
      <c r="AB43" s="25">
        <v>1.0</v>
      </c>
      <c r="AC43" s="25">
        <v>1.0</v>
      </c>
      <c r="AD43" s="25">
        <v>1.0</v>
      </c>
      <c r="AE43" s="25">
        <v>1.0</v>
      </c>
      <c r="AF43" s="31">
        <v>1.0</v>
      </c>
      <c r="AG43" s="32">
        <v>1.0</v>
      </c>
      <c r="AH43" s="51">
        <v>0.5</v>
      </c>
      <c r="AI43" s="35">
        <v>0.0</v>
      </c>
      <c r="AJ43" s="35">
        <v>0.0</v>
      </c>
      <c r="AK43" s="35">
        <v>0.0</v>
      </c>
      <c r="AL43" s="51">
        <v>0.5</v>
      </c>
      <c r="AM43" s="31">
        <v>1.0</v>
      </c>
      <c r="AN43" s="32">
        <v>1.0</v>
      </c>
      <c r="AO43" s="25">
        <v>1.0</v>
      </c>
      <c r="AP43" s="25">
        <v>1.0</v>
      </c>
      <c r="AQ43" s="25">
        <v>1.0</v>
      </c>
      <c r="AR43" s="25">
        <v>1.0</v>
      </c>
      <c r="AS43" s="25">
        <v>0.5</v>
      </c>
      <c r="AT43" s="29">
        <f t="shared" ref="AT43:AT54" si="5">40-D43</f>
        <v>11.5</v>
      </c>
      <c r="AU43" s="29">
        <f t="array" ref="AU43">MAX(
    FREQUENCY(
      IF(F43:AS43=1, COLUMN(F43:AS43)),
      IF(F43:AS43&lt;&gt;1, COLUMN(F43:AS43))
    )
  )</f>
        <v>9</v>
      </c>
    </row>
    <row r="44">
      <c r="A44" s="7">
        <v>5064080.0</v>
      </c>
      <c r="B44" s="3" t="s">
        <v>305</v>
      </c>
      <c r="C44" s="24">
        <v>2.0</v>
      </c>
      <c r="D44" s="25">
        <f t="shared" si="1"/>
        <v>27.5</v>
      </c>
      <c r="E44" s="25" t="s">
        <v>214</v>
      </c>
      <c r="F44" s="30">
        <v>1.0</v>
      </c>
      <c r="G44" s="25">
        <v>1.0</v>
      </c>
      <c r="H44" s="25">
        <v>1.0</v>
      </c>
      <c r="I44" s="25">
        <v>1.0</v>
      </c>
      <c r="J44" s="52">
        <v>0.5</v>
      </c>
      <c r="K44" s="99">
        <v>0.0</v>
      </c>
      <c r="L44" s="36">
        <v>0.0</v>
      </c>
      <c r="M44" s="34">
        <v>0.5</v>
      </c>
      <c r="N44" s="25">
        <v>1.0</v>
      </c>
      <c r="O44" s="25">
        <v>1.0</v>
      </c>
      <c r="P44" s="25">
        <v>1.0</v>
      </c>
      <c r="Q44" s="25">
        <v>1.0</v>
      </c>
      <c r="R44" s="31">
        <v>1.0</v>
      </c>
      <c r="S44" s="32">
        <v>1.0</v>
      </c>
      <c r="T44" s="25">
        <v>0.5</v>
      </c>
      <c r="U44" s="52">
        <v>0.0</v>
      </c>
      <c r="V44" s="99">
        <v>0.0</v>
      </c>
      <c r="W44" s="100">
        <v>0.0</v>
      </c>
      <c r="X44" s="34">
        <v>0.5</v>
      </c>
      <c r="Y44" s="31">
        <v>1.0</v>
      </c>
      <c r="Z44" s="32">
        <v>1.0</v>
      </c>
      <c r="AA44" s="25">
        <v>1.0</v>
      </c>
      <c r="AB44" s="25">
        <v>1.0</v>
      </c>
      <c r="AC44" s="25">
        <v>1.0</v>
      </c>
      <c r="AD44" s="25">
        <v>1.0</v>
      </c>
      <c r="AE44" s="25">
        <v>1.0</v>
      </c>
      <c r="AF44" s="31">
        <v>1.0</v>
      </c>
      <c r="AG44" s="32">
        <v>1.0</v>
      </c>
      <c r="AH44" s="34">
        <v>0.5</v>
      </c>
      <c r="AI44" s="35">
        <v>0.0</v>
      </c>
      <c r="AJ44" s="35">
        <v>0.0</v>
      </c>
      <c r="AK44" s="35">
        <v>0.0</v>
      </c>
      <c r="AL44" s="35">
        <v>0.0</v>
      </c>
      <c r="AM44" s="34">
        <v>0.5</v>
      </c>
      <c r="AN44" s="32">
        <v>1.0</v>
      </c>
      <c r="AO44" s="25">
        <v>1.0</v>
      </c>
      <c r="AP44" s="25">
        <v>1.0</v>
      </c>
      <c r="AQ44" s="25">
        <v>1.0</v>
      </c>
      <c r="AR44" s="25">
        <v>1.0</v>
      </c>
      <c r="AS44" s="25">
        <v>0.5</v>
      </c>
      <c r="AT44" s="29">
        <f t="shared" si="5"/>
        <v>12.5</v>
      </c>
      <c r="AU44" s="29">
        <f t="array" ref="AU44">MAX(
    FREQUENCY(
      IF(F44:AS44=1, COLUMN(F44:AS44)),
      IF(F44:AS44&lt;&gt;1, COLUMN(F44:AS44))
    )
  )</f>
        <v>9</v>
      </c>
    </row>
    <row r="45">
      <c r="A45" s="7">
        <v>5203697.0</v>
      </c>
      <c r="B45" s="23" t="s">
        <v>307</v>
      </c>
      <c r="C45" s="24">
        <v>1.0</v>
      </c>
      <c r="D45" s="25">
        <f t="shared" si="1"/>
        <v>28.5</v>
      </c>
      <c r="E45" s="25" t="s">
        <v>94</v>
      </c>
      <c r="F45" s="30">
        <v>1.0</v>
      </c>
      <c r="G45" s="25">
        <v>1.0</v>
      </c>
      <c r="H45" s="25">
        <v>1.0</v>
      </c>
      <c r="I45" s="25">
        <v>1.0</v>
      </c>
      <c r="J45" s="25">
        <v>0.5</v>
      </c>
      <c r="K45" s="31">
        <v>0.0</v>
      </c>
      <c r="L45" s="32">
        <v>0.0</v>
      </c>
      <c r="M45" s="33">
        <v>0.5</v>
      </c>
      <c r="N45" s="25">
        <v>1.0</v>
      </c>
      <c r="O45" s="25">
        <v>1.0</v>
      </c>
      <c r="P45" s="25">
        <v>1.0</v>
      </c>
      <c r="Q45" s="25">
        <v>1.0</v>
      </c>
      <c r="R45" s="31">
        <v>1.0</v>
      </c>
      <c r="S45" s="32">
        <v>1.0</v>
      </c>
      <c r="T45" s="25">
        <v>1.0</v>
      </c>
      <c r="U45" s="25">
        <v>1.0</v>
      </c>
      <c r="V45" s="25">
        <v>1.0</v>
      </c>
      <c r="W45" s="25">
        <v>0.5</v>
      </c>
      <c r="X45" s="31">
        <v>0.0</v>
      </c>
      <c r="Y45" s="31">
        <v>0.0</v>
      </c>
      <c r="Z45" s="32">
        <v>0.0</v>
      </c>
      <c r="AA45" s="25">
        <v>0.0</v>
      </c>
      <c r="AB45" s="25">
        <v>0.5</v>
      </c>
      <c r="AC45" s="25">
        <v>1.0</v>
      </c>
      <c r="AD45" s="25">
        <v>1.0</v>
      </c>
      <c r="AE45" s="25">
        <v>1.0</v>
      </c>
      <c r="AF45" s="31">
        <v>1.0</v>
      </c>
      <c r="AG45" s="32">
        <v>1.0</v>
      </c>
      <c r="AH45" s="25">
        <v>1.0</v>
      </c>
      <c r="AI45" s="25">
        <v>1.0</v>
      </c>
      <c r="AJ45" s="25">
        <v>0.5</v>
      </c>
      <c r="AK45" s="25">
        <v>0.0</v>
      </c>
      <c r="AL45" s="25">
        <v>0.0</v>
      </c>
      <c r="AM45" s="31">
        <v>0.5</v>
      </c>
      <c r="AN45" s="32">
        <v>1.0</v>
      </c>
      <c r="AO45" s="25">
        <v>1.0</v>
      </c>
      <c r="AP45" s="25">
        <v>1.0</v>
      </c>
      <c r="AQ45" s="25">
        <v>1.0</v>
      </c>
      <c r="AR45" s="25">
        <v>1.0</v>
      </c>
      <c r="AS45" s="25">
        <v>0.5</v>
      </c>
      <c r="AT45" s="29">
        <f t="shared" si="5"/>
        <v>11.5</v>
      </c>
      <c r="AU45" s="29">
        <f t="array" ref="AU45">MAX(
    FREQUENCY(
      IF(F45:AS45=1, COLUMN(F45:AS45)),
      IF(F45:AS45&lt;&gt;1, COLUMN(F45:AS45))
    )
  )</f>
        <v>9</v>
      </c>
      <c r="AV45" s="29"/>
      <c r="AW45" s="29"/>
      <c r="AX45" s="29"/>
      <c r="AY45" s="29"/>
      <c r="AZ45" s="29"/>
      <c r="BA45" s="29"/>
      <c r="BB45" s="29"/>
      <c r="BC45" s="29"/>
      <c r="BD45" s="29"/>
      <c r="BE45" s="29"/>
      <c r="BF45" s="29"/>
      <c r="BG45" s="29"/>
      <c r="BH45" s="29"/>
      <c r="BI45" s="29"/>
      <c r="BJ45" s="29"/>
      <c r="BK45" s="29"/>
      <c r="BL45" s="29"/>
      <c r="BM45" s="29"/>
      <c r="BN45" s="29"/>
      <c r="BO45" s="29"/>
      <c r="BP45" s="29"/>
    </row>
    <row r="46">
      <c r="A46" s="7">
        <v>5249134.0</v>
      </c>
      <c r="B46" s="23" t="s">
        <v>64</v>
      </c>
      <c r="C46" s="24">
        <v>2.0</v>
      </c>
      <c r="D46" s="25">
        <f t="shared" si="1"/>
        <v>22.5</v>
      </c>
      <c r="E46" s="25" t="s">
        <v>94</v>
      </c>
      <c r="F46" s="30">
        <v>1.0</v>
      </c>
      <c r="G46" s="25">
        <v>1.0</v>
      </c>
      <c r="H46" s="25">
        <v>1.0</v>
      </c>
      <c r="I46" s="25">
        <v>1.0</v>
      </c>
      <c r="J46" s="25">
        <v>1.0</v>
      </c>
      <c r="K46" s="25">
        <v>1.0</v>
      </c>
      <c r="L46" s="32">
        <v>1.0</v>
      </c>
      <c r="M46" s="25">
        <v>0.5</v>
      </c>
      <c r="N46" s="31">
        <v>0.0</v>
      </c>
      <c r="O46" s="33">
        <v>0.0</v>
      </c>
      <c r="P46" s="33">
        <v>0.5</v>
      </c>
      <c r="Q46" s="25">
        <v>1.0</v>
      </c>
      <c r="R46" s="31">
        <v>1.0</v>
      </c>
      <c r="S46" s="32">
        <v>1.0</v>
      </c>
      <c r="T46" s="25">
        <v>1.0</v>
      </c>
      <c r="U46" s="25">
        <v>1.0</v>
      </c>
      <c r="V46" s="25">
        <v>1.0</v>
      </c>
      <c r="W46" s="25">
        <v>1.0</v>
      </c>
      <c r="X46" s="25">
        <v>1.0</v>
      </c>
      <c r="Y46" s="31">
        <v>1.0</v>
      </c>
      <c r="Z46" s="49">
        <v>0.5</v>
      </c>
      <c r="AA46" s="46">
        <v>0.0</v>
      </c>
      <c r="AB46" s="46">
        <v>0.5</v>
      </c>
      <c r="AC46" s="46">
        <v>0.5</v>
      </c>
      <c r="AD46" s="46">
        <v>0.0</v>
      </c>
      <c r="AE46" s="46">
        <v>0.0</v>
      </c>
      <c r="AF46" s="48">
        <v>0.0</v>
      </c>
      <c r="AG46" s="49">
        <v>0.0</v>
      </c>
      <c r="AH46" s="46">
        <v>0.0</v>
      </c>
      <c r="AI46" s="46">
        <v>0.0</v>
      </c>
      <c r="AJ46" s="47">
        <v>0.5</v>
      </c>
      <c r="AK46" s="25">
        <v>1.0</v>
      </c>
      <c r="AL46" s="25">
        <v>1.0</v>
      </c>
      <c r="AM46" s="31">
        <v>1.0</v>
      </c>
      <c r="AN46" s="49">
        <v>0.5</v>
      </c>
      <c r="AO46" s="46">
        <v>0.0</v>
      </c>
      <c r="AP46" s="46">
        <v>0.0</v>
      </c>
      <c r="AQ46" s="46">
        <v>0.0</v>
      </c>
      <c r="AR46" s="46">
        <v>0.0</v>
      </c>
      <c r="AS46" s="47">
        <v>0.0</v>
      </c>
      <c r="AT46" s="29">
        <f t="shared" si="5"/>
        <v>17.5</v>
      </c>
      <c r="AU46" s="29">
        <f t="array" ref="AU46">MAX(
    FREQUENCY(
      IF(F46:AS46=1, COLUMN(F46:AS46)),
      IF(F46:AS46&lt;&gt;1, COLUMN(F46:AS46))
    )
  )</f>
        <v>9</v>
      </c>
      <c r="AV46" s="29"/>
      <c r="AW46" s="29"/>
      <c r="AX46" s="29"/>
      <c r="AY46" s="29"/>
      <c r="AZ46" s="29"/>
      <c r="BA46" s="29"/>
      <c r="BB46" s="29"/>
      <c r="BC46" s="29"/>
      <c r="BD46" s="29"/>
      <c r="BE46" s="29"/>
      <c r="BF46" s="29"/>
      <c r="BG46" s="29"/>
      <c r="BH46" s="29"/>
      <c r="BI46" s="29"/>
      <c r="BJ46" s="29"/>
      <c r="BK46" s="29"/>
      <c r="BL46" s="29"/>
      <c r="BM46" s="29"/>
      <c r="BN46" s="29"/>
      <c r="BO46" s="29"/>
      <c r="BP46" s="29"/>
    </row>
    <row r="47">
      <c r="A47" s="7">
        <v>4683682.0</v>
      </c>
      <c r="B47" s="23" t="s">
        <v>310</v>
      </c>
      <c r="C47" s="10" t="s">
        <v>115</v>
      </c>
      <c r="D47" s="25">
        <f t="shared" si="1"/>
        <v>26.5</v>
      </c>
      <c r="E47" s="25" t="s">
        <v>188</v>
      </c>
      <c r="F47" s="30">
        <v>1.0</v>
      </c>
      <c r="G47" s="25">
        <v>1.0</v>
      </c>
      <c r="H47" s="25">
        <v>1.0</v>
      </c>
      <c r="I47" s="25">
        <v>1.0</v>
      </c>
      <c r="J47" s="25">
        <v>0.5</v>
      </c>
      <c r="K47" s="31">
        <v>0.0</v>
      </c>
      <c r="L47" s="32">
        <v>0.0</v>
      </c>
      <c r="M47" s="25">
        <v>0.5</v>
      </c>
      <c r="N47" s="25">
        <v>1.0</v>
      </c>
      <c r="O47" s="25">
        <v>0.5</v>
      </c>
      <c r="P47" s="25">
        <v>0.0</v>
      </c>
      <c r="Q47" s="25">
        <v>0.0</v>
      </c>
      <c r="R47" s="31">
        <v>0.0</v>
      </c>
      <c r="S47" s="32">
        <v>0.0</v>
      </c>
      <c r="T47" s="25">
        <v>0.5</v>
      </c>
      <c r="U47" s="25">
        <v>1.0</v>
      </c>
      <c r="V47" s="25">
        <v>1.0</v>
      </c>
      <c r="W47" s="25">
        <v>1.0</v>
      </c>
      <c r="X47" s="25">
        <v>1.0</v>
      </c>
      <c r="Y47" s="31">
        <v>1.0</v>
      </c>
      <c r="Z47" s="32">
        <v>1.0</v>
      </c>
      <c r="AA47" s="25">
        <v>1.0</v>
      </c>
      <c r="AB47" s="25">
        <v>1.0</v>
      </c>
      <c r="AC47" s="25">
        <v>1.0</v>
      </c>
      <c r="AD47" s="25">
        <v>1.0</v>
      </c>
      <c r="AE47" s="25">
        <v>0.5</v>
      </c>
      <c r="AF47" s="25">
        <v>0.0</v>
      </c>
      <c r="AG47" s="31">
        <v>0.0</v>
      </c>
      <c r="AH47" s="32">
        <v>0.0</v>
      </c>
      <c r="AI47" s="25">
        <v>0.0</v>
      </c>
      <c r="AJ47" s="25">
        <v>0.5</v>
      </c>
      <c r="AK47" s="25">
        <v>1.0</v>
      </c>
      <c r="AL47" s="25">
        <v>1.0</v>
      </c>
      <c r="AM47" s="31">
        <v>1.0</v>
      </c>
      <c r="AN47" s="32">
        <v>1.0</v>
      </c>
      <c r="AO47" s="25">
        <v>1.0</v>
      </c>
      <c r="AP47" s="25">
        <v>1.0</v>
      </c>
      <c r="AQ47" s="25">
        <v>1.0</v>
      </c>
      <c r="AR47" s="25">
        <v>1.0</v>
      </c>
      <c r="AS47" s="25">
        <v>0.5</v>
      </c>
      <c r="AT47" s="29">
        <f t="shared" si="5"/>
        <v>13.5</v>
      </c>
      <c r="AU47" s="29">
        <f t="array" ref="AU47">MAX(
    FREQUENCY(
      IF(F47:AS47=1, COLUMN(F47:AS47)),
      IF(F47:AS47&lt;&gt;1, COLUMN(F47:AS47))
    )
  )</f>
        <v>10</v>
      </c>
      <c r="AV47" s="29"/>
      <c r="AW47" s="29"/>
      <c r="AX47" s="29"/>
      <c r="AY47" s="29"/>
      <c r="AZ47" s="29"/>
      <c r="BA47" s="29"/>
      <c r="BB47" s="29"/>
      <c r="BC47" s="29"/>
      <c r="BD47" s="29"/>
      <c r="BE47" s="29"/>
      <c r="BF47" s="29"/>
      <c r="BG47" s="29"/>
      <c r="BH47" s="29"/>
      <c r="BI47" s="29"/>
      <c r="BJ47" s="29"/>
      <c r="BK47" s="29"/>
      <c r="BL47" s="29"/>
      <c r="BM47" s="29"/>
      <c r="BN47" s="29"/>
      <c r="BO47" s="29"/>
      <c r="BP47" s="29"/>
    </row>
    <row r="48">
      <c r="A48" s="7">
        <v>5003391.0</v>
      </c>
      <c r="B48" s="3" t="s">
        <v>78</v>
      </c>
      <c r="C48" s="24">
        <v>1.0</v>
      </c>
      <c r="D48" s="25">
        <f t="shared" si="1"/>
        <v>27.5</v>
      </c>
      <c r="E48" s="25" t="s">
        <v>94</v>
      </c>
      <c r="F48" s="30">
        <v>1.0</v>
      </c>
      <c r="G48" s="25">
        <v>1.0</v>
      </c>
      <c r="H48" s="25">
        <v>1.0</v>
      </c>
      <c r="I48" s="25">
        <v>1.0</v>
      </c>
      <c r="J48" s="25">
        <v>1.0</v>
      </c>
      <c r="K48" s="25">
        <v>1.0</v>
      </c>
      <c r="L48" s="32">
        <v>1.0</v>
      </c>
      <c r="M48" s="34">
        <v>0.5</v>
      </c>
      <c r="N48" s="35">
        <v>0.0</v>
      </c>
      <c r="O48" s="33">
        <v>0.0</v>
      </c>
      <c r="P48" s="25">
        <v>0.5</v>
      </c>
      <c r="Q48" s="25">
        <v>1.0</v>
      </c>
      <c r="R48" s="31">
        <v>1.0</v>
      </c>
      <c r="S48" s="32">
        <v>1.0</v>
      </c>
      <c r="T48" s="25">
        <v>1.0</v>
      </c>
      <c r="U48" s="25">
        <v>1.0</v>
      </c>
      <c r="V48" s="25">
        <v>0.5</v>
      </c>
      <c r="W48" s="25">
        <v>0.0</v>
      </c>
      <c r="X48" s="51">
        <v>0.0</v>
      </c>
      <c r="Y48" s="52">
        <v>0.5</v>
      </c>
      <c r="Z48" s="89">
        <v>1.0</v>
      </c>
      <c r="AA48" s="51">
        <v>1.0</v>
      </c>
      <c r="AB48" s="25">
        <v>1.0</v>
      </c>
      <c r="AC48" s="25">
        <v>1.0</v>
      </c>
      <c r="AD48" s="25">
        <v>1.0</v>
      </c>
      <c r="AE48" s="25">
        <v>1.0</v>
      </c>
      <c r="AF48" s="31">
        <v>0.5</v>
      </c>
      <c r="AG48" s="32">
        <v>0.0</v>
      </c>
      <c r="AH48" s="25">
        <v>0.0</v>
      </c>
      <c r="AI48" s="45">
        <v>0.0</v>
      </c>
      <c r="AJ48" s="46">
        <v>0.0</v>
      </c>
      <c r="AK48" s="47">
        <v>0.5</v>
      </c>
      <c r="AL48" s="25">
        <v>1.0</v>
      </c>
      <c r="AM48" s="31">
        <v>1.0</v>
      </c>
      <c r="AN48" s="32">
        <v>1.0</v>
      </c>
      <c r="AO48" s="25">
        <v>1.0</v>
      </c>
      <c r="AP48" s="25">
        <v>1.0</v>
      </c>
      <c r="AQ48" s="25">
        <v>1.0</v>
      </c>
      <c r="AR48" s="25">
        <v>0.5</v>
      </c>
      <c r="AS48" s="25">
        <v>0.0</v>
      </c>
      <c r="AT48" s="29">
        <f t="shared" si="5"/>
        <v>12.5</v>
      </c>
      <c r="AU48" s="29">
        <f t="array" ref="AU48">MAX(
    FREQUENCY(
      IF(F48:AS48=1, COLUMN(F48:AS48)),
      IF(F48:AS48&lt;&gt;1, COLUMN(F48:AS48))
    )
  )</f>
        <v>7</v>
      </c>
    </row>
    <row r="49">
      <c r="A49" s="7">
        <v>6910712.0</v>
      </c>
      <c r="B49" s="3" t="s">
        <v>301</v>
      </c>
      <c r="C49" s="24">
        <v>2.0</v>
      </c>
      <c r="D49" s="25">
        <f t="shared" si="1"/>
        <v>18.5</v>
      </c>
      <c r="E49" s="7" t="s">
        <v>116</v>
      </c>
      <c r="F49" s="30">
        <v>1.0</v>
      </c>
      <c r="G49" s="25">
        <v>1.0</v>
      </c>
      <c r="H49" s="25">
        <v>1.0</v>
      </c>
      <c r="I49" s="25">
        <v>1.0</v>
      </c>
      <c r="J49" s="25">
        <v>0.5</v>
      </c>
      <c r="K49" s="31">
        <v>0.0</v>
      </c>
      <c r="L49" s="32">
        <v>0.0</v>
      </c>
      <c r="M49" s="25">
        <v>0.5</v>
      </c>
      <c r="N49" s="25">
        <v>1.0</v>
      </c>
      <c r="O49" s="25">
        <v>1.0</v>
      </c>
      <c r="P49" s="25">
        <v>1.0</v>
      </c>
      <c r="Q49" s="25">
        <v>1.0</v>
      </c>
      <c r="R49" s="48">
        <v>0.5</v>
      </c>
      <c r="S49" s="130">
        <v>0.0</v>
      </c>
      <c r="T49" s="131">
        <v>0.0</v>
      </c>
      <c r="U49" s="131">
        <v>0.0</v>
      </c>
      <c r="V49" s="131">
        <v>0.0</v>
      </c>
      <c r="W49" s="46">
        <v>0.0</v>
      </c>
      <c r="X49" s="46">
        <v>0.0</v>
      </c>
      <c r="Y49" s="48">
        <v>0.0</v>
      </c>
      <c r="Z49" s="49">
        <v>0.0</v>
      </c>
      <c r="AA49" s="46">
        <v>0.0</v>
      </c>
      <c r="AB49" s="46">
        <v>0.0</v>
      </c>
      <c r="AC49" s="46">
        <v>0.0</v>
      </c>
      <c r="AD49" s="46">
        <v>0.0</v>
      </c>
      <c r="AE49" s="46">
        <v>0.0</v>
      </c>
      <c r="AF49" s="48">
        <v>0.0</v>
      </c>
      <c r="AG49" s="49">
        <v>0.0</v>
      </c>
      <c r="AH49" s="46">
        <v>0.0</v>
      </c>
      <c r="AI49" s="46">
        <v>0.0</v>
      </c>
      <c r="AJ49" s="47">
        <v>0.5</v>
      </c>
      <c r="AK49" s="25">
        <v>1.0</v>
      </c>
      <c r="AL49" s="25">
        <v>1.0</v>
      </c>
      <c r="AM49" s="31">
        <v>1.0</v>
      </c>
      <c r="AN49" s="32">
        <v>1.0</v>
      </c>
      <c r="AO49" s="25">
        <v>1.0</v>
      </c>
      <c r="AP49" s="25">
        <v>1.0</v>
      </c>
      <c r="AQ49" s="25">
        <v>1.0</v>
      </c>
      <c r="AR49" s="25">
        <v>1.0</v>
      </c>
      <c r="AS49" s="25">
        <v>0.5</v>
      </c>
      <c r="AT49" s="29">
        <f t="shared" si="5"/>
        <v>21.5</v>
      </c>
      <c r="AU49" s="29">
        <f t="array" ref="AU49">MAX(
    FREQUENCY(
      IF(F49:AS49=1, COLUMN(F49:AS49)),
      IF(F49:AS49&lt;&gt;1, COLUMN(F49:AS49))
    )
  )</f>
        <v>8</v>
      </c>
    </row>
    <row r="50">
      <c r="A50" s="7">
        <v>6428995.0</v>
      </c>
      <c r="B50" s="3" t="s">
        <v>262</v>
      </c>
      <c r="C50" s="24">
        <v>1.0</v>
      </c>
      <c r="D50" s="25">
        <f t="shared" si="1"/>
        <v>22</v>
      </c>
      <c r="E50" s="7" t="s">
        <v>94</v>
      </c>
      <c r="F50" s="45" t="s">
        <v>511</v>
      </c>
      <c r="G50" s="45" t="s">
        <v>511</v>
      </c>
      <c r="H50" s="45" t="s">
        <v>511</v>
      </c>
      <c r="I50" s="45" t="s">
        <v>511</v>
      </c>
      <c r="J50" s="45" t="s">
        <v>511</v>
      </c>
      <c r="K50" s="45" t="s">
        <v>511</v>
      </c>
      <c r="L50" s="45" t="s">
        <v>511</v>
      </c>
      <c r="M50" s="45">
        <v>0.0</v>
      </c>
      <c r="N50" s="25">
        <v>0.5</v>
      </c>
      <c r="O50" s="25">
        <v>1.0</v>
      </c>
      <c r="P50" s="25">
        <v>1.0</v>
      </c>
      <c r="Q50" s="25">
        <v>1.0</v>
      </c>
      <c r="R50" s="31">
        <v>1.0</v>
      </c>
      <c r="S50" s="49">
        <v>0.5</v>
      </c>
      <c r="T50" s="46">
        <v>0.0</v>
      </c>
      <c r="U50" s="46">
        <v>0.0</v>
      </c>
      <c r="V50" s="47">
        <v>0.5</v>
      </c>
      <c r="W50" s="25">
        <v>1.0</v>
      </c>
      <c r="X50" s="25">
        <v>1.0</v>
      </c>
      <c r="Y50" s="31">
        <v>1.0</v>
      </c>
      <c r="Z50" s="32">
        <v>1.0</v>
      </c>
      <c r="AA50" s="25">
        <v>1.0</v>
      </c>
      <c r="AB50" s="25">
        <v>1.0</v>
      </c>
      <c r="AC50" s="25">
        <v>1.0</v>
      </c>
      <c r="AD50" s="25">
        <v>1.0</v>
      </c>
      <c r="AE50" s="25">
        <v>0.5</v>
      </c>
      <c r="AF50" s="25">
        <v>0.0</v>
      </c>
      <c r="AG50" s="32">
        <v>0.0</v>
      </c>
      <c r="AH50" s="25">
        <v>0.0</v>
      </c>
      <c r="AI50" s="25">
        <v>0.0</v>
      </c>
      <c r="AJ50" s="25">
        <v>0.0</v>
      </c>
      <c r="AK50" s="25">
        <v>0.5</v>
      </c>
      <c r="AL50" s="25">
        <v>1.0</v>
      </c>
      <c r="AM50" s="31">
        <v>1.0</v>
      </c>
      <c r="AN50" s="32">
        <v>1.0</v>
      </c>
      <c r="AO50" s="25">
        <v>1.0</v>
      </c>
      <c r="AP50" s="25">
        <v>1.0</v>
      </c>
      <c r="AQ50" s="25">
        <v>1.0</v>
      </c>
      <c r="AR50" s="25">
        <v>1.0</v>
      </c>
      <c r="AS50" s="25">
        <v>0.5</v>
      </c>
      <c r="AT50" s="29">
        <f t="shared" si="5"/>
        <v>18</v>
      </c>
      <c r="AU50" s="29">
        <f t="array" ref="AU50">MAX(
    FREQUENCY(
      IF(F50:AS50=1, COLUMN(F50:AS50)),
      IF(F50:AS50&lt;&gt;1, COLUMN(F50:AS50))
    )
  )</f>
        <v>8</v>
      </c>
    </row>
    <row r="51">
      <c r="A51" s="7">
        <v>4604692.0</v>
      </c>
      <c r="B51" s="3" t="s">
        <v>318</v>
      </c>
      <c r="C51" s="24">
        <v>3.0</v>
      </c>
      <c r="D51" s="25">
        <f t="shared" si="1"/>
        <v>26.5</v>
      </c>
      <c r="E51" s="7" t="s">
        <v>214</v>
      </c>
      <c r="F51" s="30">
        <v>1.0</v>
      </c>
      <c r="G51" s="25">
        <v>1.0</v>
      </c>
      <c r="H51" s="25">
        <v>1.0</v>
      </c>
      <c r="I51" s="25">
        <v>1.0</v>
      </c>
      <c r="J51" s="25">
        <v>1.0</v>
      </c>
      <c r="K51" s="31">
        <v>1.0</v>
      </c>
      <c r="L51" s="32">
        <v>1.0</v>
      </c>
      <c r="M51" s="33">
        <v>0.5</v>
      </c>
      <c r="N51" s="33">
        <v>0.5</v>
      </c>
      <c r="O51" s="33">
        <v>1.0</v>
      </c>
      <c r="P51" s="33">
        <v>1.0</v>
      </c>
      <c r="Q51" s="25">
        <v>1.0</v>
      </c>
      <c r="R51" s="132">
        <v>0.5</v>
      </c>
      <c r="S51" s="32">
        <v>0.0</v>
      </c>
      <c r="T51" s="25">
        <v>0.0</v>
      </c>
      <c r="U51" s="45">
        <v>0.0</v>
      </c>
      <c r="V51" s="46">
        <v>0.0</v>
      </c>
      <c r="W51" s="47">
        <v>0.5</v>
      </c>
      <c r="X51" s="25">
        <v>1.0</v>
      </c>
      <c r="Y51" s="31">
        <v>1.0</v>
      </c>
      <c r="Z51" s="32">
        <v>1.0</v>
      </c>
      <c r="AA51" s="25">
        <v>1.0</v>
      </c>
      <c r="AB51" s="25">
        <v>1.0</v>
      </c>
      <c r="AC51" s="25">
        <v>1.0</v>
      </c>
      <c r="AD51" s="25">
        <v>1.0</v>
      </c>
      <c r="AE51" s="25">
        <v>1.0</v>
      </c>
      <c r="AF51" s="31">
        <v>0.5</v>
      </c>
      <c r="AG51" s="37">
        <v>0.0</v>
      </c>
      <c r="AH51" s="35">
        <v>0.0</v>
      </c>
      <c r="AI51" s="35">
        <v>0.0</v>
      </c>
      <c r="AJ51" s="35">
        <v>0.0</v>
      </c>
      <c r="AK51" s="34">
        <v>0.5</v>
      </c>
      <c r="AL51" s="31">
        <v>1.0</v>
      </c>
      <c r="AM51" s="31">
        <v>1.0</v>
      </c>
      <c r="AN51" s="32">
        <v>1.0</v>
      </c>
      <c r="AO51" s="25">
        <v>1.0</v>
      </c>
      <c r="AP51" s="25">
        <v>1.0</v>
      </c>
      <c r="AQ51" s="34">
        <v>0.5</v>
      </c>
      <c r="AR51" s="25">
        <v>0.0</v>
      </c>
      <c r="AS51" s="25">
        <v>0.0</v>
      </c>
      <c r="AT51" s="29">
        <f t="shared" si="5"/>
        <v>13.5</v>
      </c>
      <c r="AU51" s="29">
        <f t="array" ref="AU51">MAX(
    FREQUENCY(
      IF(F51:AS51=1, COLUMN(F51:AS51)),
      IF(F51:AS51&lt;&gt;1, COLUMN(F51:AS51))
    )
  )</f>
        <v>8</v>
      </c>
    </row>
    <row r="52">
      <c r="A52" s="7">
        <v>6031430.0</v>
      </c>
      <c r="B52" s="3" t="s">
        <v>304</v>
      </c>
      <c r="C52" s="24">
        <v>1.0</v>
      </c>
      <c r="D52" s="25">
        <f t="shared" si="1"/>
        <v>27.5</v>
      </c>
      <c r="E52" s="7" t="s">
        <v>94</v>
      </c>
      <c r="F52" s="30">
        <v>1.0</v>
      </c>
      <c r="G52" s="25">
        <v>1.0</v>
      </c>
      <c r="H52" s="25">
        <v>1.0</v>
      </c>
      <c r="I52" s="45">
        <v>0.5</v>
      </c>
      <c r="J52" s="46">
        <v>0.0</v>
      </c>
      <c r="K52" s="48">
        <v>0.0</v>
      </c>
      <c r="L52" s="49">
        <v>0.0</v>
      </c>
      <c r="M52" s="47">
        <v>0.5</v>
      </c>
      <c r="N52" s="25">
        <v>1.0</v>
      </c>
      <c r="O52" s="25">
        <v>1.0</v>
      </c>
      <c r="P52" s="25">
        <v>1.0</v>
      </c>
      <c r="Q52" s="25">
        <v>1.0</v>
      </c>
      <c r="R52" s="25">
        <v>1.0</v>
      </c>
      <c r="S52" s="32">
        <v>1.0</v>
      </c>
      <c r="T52" s="25">
        <v>1.0</v>
      </c>
      <c r="U52" s="25">
        <v>1.0</v>
      </c>
      <c r="V52" s="25">
        <v>0.5</v>
      </c>
      <c r="W52" s="25">
        <v>0.0</v>
      </c>
      <c r="X52" s="45">
        <v>0.0</v>
      </c>
      <c r="Y52" s="48">
        <v>0.0</v>
      </c>
      <c r="Z52" s="49">
        <v>0.0</v>
      </c>
      <c r="AA52" s="47">
        <v>0.5</v>
      </c>
      <c r="AB52" s="25">
        <v>1.0</v>
      </c>
      <c r="AC52" s="25">
        <v>1.0</v>
      </c>
      <c r="AD52" s="25">
        <v>1.0</v>
      </c>
      <c r="AE52" s="45">
        <v>0.5</v>
      </c>
      <c r="AF52" s="48">
        <v>0.0</v>
      </c>
      <c r="AG52" s="49">
        <v>0.0</v>
      </c>
      <c r="AH52" s="47">
        <v>0.5</v>
      </c>
      <c r="AI52" s="25">
        <v>1.0</v>
      </c>
      <c r="AJ52" s="25">
        <v>1.0</v>
      </c>
      <c r="AK52" s="25">
        <v>1.0</v>
      </c>
      <c r="AL52" s="25">
        <v>1.0</v>
      </c>
      <c r="AM52" s="31">
        <v>1.0</v>
      </c>
      <c r="AN52" s="32">
        <v>1.0</v>
      </c>
      <c r="AO52" s="25">
        <v>1.0</v>
      </c>
      <c r="AP52" s="25">
        <v>1.0</v>
      </c>
      <c r="AQ52" s="25">
        <v>1.0</v>
      </c>
      <c r="AR52" s="25">
        <v>1.0</v>
      </c>
      <c r="AS52" s="25">
        <v>0.5</v>
      </c>
      <c r="AT52" s="29">
        <f t="shared" si="5"/>
        <v>12.5</v>
      </c>
      <c r="AU52" s="29">
        <f t="array" ref="AU52">MAX(
    FREQUENCY(
      IF(F52:AS52=1, COLUMN(F52:AS52)),
      IF(F52:AS52&lt;&gt;1, COLUMN(F52:AS52))
    )
  )</f>
        <v>10</v>
      </c>
    </row>
    <row r="53">
      <c r="A53" s="7">
        <v>5682069.0</v>
      </c>
      <c r="B53" s="3" t="s">
        <v>324</v>
      </c>
      <c r="C53" s="24">
        <v>3.0</v>
      </c>
      <c r="D53" s="25">
        <f t="shared" si="1"/>
        <v>27.5</v>
      </c>
      <c r="E53" s="7" t="s">
        <v>94</v>
      </c>
      <c r="F53" s="30">
        <v>1.0</v>
      </c>
      <c r="G53" s="25">
        <v>1.0</v>
      </c>
      <c r="H53" s="25">
        <v>1.0</v>
      </c>
      <c r="I53" s="25">
        <v>1.0</v>
      </c>
      <c r="J53" s="25">
        <v>1.0</v>
      </c>
      <c r="K53" s="25">
        <v>1.0</v>
      </c>
      <c r="L53" s="32">
        <v>1.0</v>
      </c>
      <c r="M53" s="25">
        <v>1.0</v>
      </c>
      <c r="N53" s="25">
        <v>1.0</v>
      </c>
      <c r="O53" s="25">
        <v>1.0</v>
      </c>
      <c r="P53" s="25">
        <v>0.5</v>
      </c>
      <c r="Q53" s="25">
        <v>0.0</v>
      </c>
      <c r="R53" s="48">
        <v>0.0</v>
      </c>
      <c r="S53" s="49">
        <v>0.0</v>
      </c>
      <c r="T53" s="46">
        <v>0.0</v>
      </c>
      <c r="U53" s="47">
        <v>0.5</v>
      </c>
      <c r="V53" s="25">
        <v>1.0</v>
      </c>
      <c r="W53" s="25">
        <v>1.0</v>
      </c>
      <c r="X53" s="25">
        <v>1.0</v>
      </c>
      <c r="Y53" s="31">
        <v>1.0</v>
      </c>
      <c r="Z53" s="32">
        <v>1.0</v>
      </c>
      <c r="AA53" s="46">
        <v>0.5</v>
      </c>
      <c r="AB53" s="46">
        <v>0.0</v>
      </c>
      <c r="AC53" s="46">
        <v>0.0</v>
      </c>
      <c r="AD53" s="47">
        <v>0.5</v>
      </c>
      <c r="AE53" s="25">
        <v>1.0</v>
      </c>
      <c r="AF53" s="31">
        <v>1.0</v>
      </c>
      <c r="AG53" s="32">
        <v>1.0</v>
      </c>
      <c r="AH53" s="25">
        <v>1.0</v>
      </c>
      <c r="AI53" s="25">
        <v>1.0</v>
      </c>
      <c r="AJ53" s="25">
        <v>1.0</v>
      </c>
      <c r="AK53" s="25">
        <v>1.0</v>
      </c>
      <c r="AL53" s="25">
        <v>0.5</v>
      </c>
      <c r="AM53" s="31">
        <v>0.0</v>
      </c>
      <c r="AN53" s="32">
        <v>0.0</v>
      </c>
      <c r="AO53" s="25">
        <v>0.0</v>
      </c>
      <c r="AP53" s="25">
        <v>0.5</v>
      </c>
      <c r="AQ53" s="25">
        <v>1.0</v>
      </c>
      <c r="AR53" s="25">
        <v>1.0</v>
      </c>
      <c r="AS53" s="25">
        <v>0.5</v>
      </c>
      <c r="AT53" s="29">
        <f t="shared" si="5"/>
        <v>12.5</v>
      </c>
      <c r="AU53" s="29">
        <f t="array" ref="AU53">MAX(
    FREQUENCY(
      IF(F53:AS53=1, COLUMN(F53:AS53)),
      IF(F53:AS53&lt;&gt;1, COLUMN(F53:AS53))
    )
  )</f>
        <v>10</v>
      </c>
    </row>
    <row r="54">
      <c r="A54" s="7">
        <v>1.231231E8</v>
      </c>
      <c r="B54" s="135" t="s">
        <v>546</v>
      </c>
      <c r="C54" s="24">
        <v>1.0</v>
      </c>
      <c r="D54" s="25">
        <f t="shared" si="1"/>
        <v>27.5</v>
      </c>
      <c r="E54" s="7" t="s">
        <v>94</v>
      </c>
      <c r="F54" s="30">
        <v>1.0</v>
      </c>
      <c r="G54" s="25">
        <v>1.0</v>
      </c>
      <c r="H54" s="25">
        <v>1.0</v>
      </c>
      <c r="I54" s="25">
        <v>1.0</v>
      </c>
      <c r="J54" s="25">
        <v>0.5</v>
      </c>
      <c r="K54" s="31">
        <v>0.0</v>
      </c>
      <c r="L54" s="32">
        <v>0.0</v>
      </c>
      <c r="M54" s="33">
        <v>0.5</v>
      </c>
      <c r="N54" s="25">
        <v>1.0</v>
      </c>
      <c r="O54" s="25">
        <v>1.0</v>
      </c>
      <c r="P54" s="25">
        <v>1.0</v>
      </c>
      <c r="Q54" s="25">
        <v>1.0</v>
      </c>
      <c r="R54" s="25">
        <v>1.0</v>
      </c>
      <c r="S54" s="32">
        <v>1.0</v>
      </c>
      <c r="T54" s="25">
        <v>1.0</v>
      </c>
      <c r="U54" s="25">
        <v>1.0</v>
      </c>
      <c r="V54" s="25">
        <v>1.0</v>
      </c>
      <c r="W54" s="25">
        <v>0.5</v>
      </c>
      <c r="X54" s="31">
        <v>0.0</v>
      </c>
      <c r="Y54" s="31">
        <v>0.0</v>
      </c>
      <c r="Z54" s="32">
        <v>0.0</v>
      </c>
      <c r="AA54" s="25">
        <v>0.0</v>
      </c>
      <c r="AB54" s="25">
        <v>0.5</v>
      </c>
      <c r="AC54" s="25">
        <v>1.0</v>
      </c>
      <c r="AD54" s="25">
        <v>1.0</v>
      </c>
      <c r="AE54" s="25">
        <v>1.0</v>
      </c>
      <c r="AF54" s="31">
        <v>1.0</v>
      </c>
      <c r="AG54" s="32">
        <v>1.0</v>
      </c>
      <c r="AH54" s="25">
        <v>1.0</v>
      </c>
      <c r="AI54" s="25">
        <v>1.0</v>
      </c>
      <c r="AJ54" s="25">
        <v>1.0</v>
      </c>
      <c r="AK54" s="25">
        <v>1.0</v>
      </c>
      <c r="AL54" s="25">
        <v>0.5</v>
      </c>
      <c r="AM54" s="31">
        <v>0.0</v>
      </c>
      <c r="AN54" s="32">
        <v>0.0</v>
      </c>
      <c r="AO54" s="25">
        <v>0.0</v>
      </c>
      <c r="AP54" s="25">
        <v>0.5</v>
      </c>
      <c r="AQ54" s="25">
        <v>1.0</v>
      </c>
      <c r="AR54" s="25">
        <v>1.0</v>
      </c>
      <c r="AS54" s="25">
        <v>0.5</v>
      </c>
      <c r="AT54" s="29">
        <f t="shared" si="5"/>
        <v>12.5</v>
      </c>
      <c r="AU54" s="29">
        <f t="array" ref="AU54">MAX(
    FREQUENCY(
      IF(F54:AS54=1, COLUMN(F54:AS54)),
      IF(F54:AS54&lt;&gt;1, COLUMN(F54:AS54))
    )
  )</f>
        <v>9</v>
      </c>
    </row>
    <row r="55">
      <c r="A55" s="7">
        <v>1.23123123E8</v>
      </c>
      <c r="B55" s="3" t="s">
        <v>143</v>
      </c>
      <c r="C55" s="10" t="s">
        <v>115</v>
      </c>
      <c r="D55" s="25">
        <f t="shared" si="1"/>
        <v>0</v>
      </c>
      <c r="E55" s="7" t="s">
        <v>547</v>
      </c>
      <c r="F55" s="30"/>
      <c r="G55" s="25"/>
      <c r="H55" s="25"/>
      <c r="I55" s="25"/>
      <c r="J55" s="25"/>
      <c r="K55" s="25"/>
      <c r="L55" s="32"/>
      <c r="M55" s="25"/>
      <c r="N55" s="25"/>
      <c r="O55" s="25"/>
      <c r="P55" s="25"/>
      <c r="Q55" s="25"/>
      <c r="R55" s="25"/>
      <c r="S55" s="32"/>
      <c r="T55" s="25"/>
      <c r="U55" s="25"/>
      <c r="V55" s="25"/>
      <c r="W55" s="25"/>
      <c r="X55" s="25"/>
      <c r="Y55" s="25"/>
      <c r="Z55" s="32"/>
      <c r="AA55" s="25"/>
      <c r="AB55" s="25"/>
      <c r="AC55" s="25"/>
      <c r="AD55" s="25"/>
      <c r="AE55" s="25"/>
      <c r="AF55" s="25"/>
      <c r="AG55" s="32"/>
      <c r="AH55" s="25"/>
      <c r="AI55" s="25"/>
      <c r="AJ55" s="25"/>
      <c r="AK55" s="25"/>
      <c r="AL55" s="25"/>
      <c r="AM55" s="52"/>
      <c r="AN55" s="32"/>
      <c r="AO55" s="25"/>
      <c r="AP55" s="25"/>
      <c r="AQ55" s="25"/>
      <c r="AR55" s="25"/>
      <c r="AS55" s="25"/>
      <c r="AT55" s="29"/>
    </row>
    <row r="56">
      <c r="A56" s="7">
        <v>1.23123123E8</v>
      </c>
      <c r="B56" s="3" t="s">
        <v>548</v>
      </c>
      <c r="C56" s="10" t="s">
        <v>549</v>
      </c>
      <c r="D56" s="25">
        <f t="shared" si="1"/>
        <v>0</v>
      </c>
      <c r="E56" s="7" t="s">
        <v>550</v>
      </c>
      <c r="F56" s="30" t="s">
        <v>142</v>
      </c>
      <c r="G56" s="30" t="s">
        <v>142</v>
      </c>
      <c r="H56" s="30" t="s">
        <v>142</v>
      </c>
      <c r="I56" s="30" t="s">
        <v>142</v>
      </c>
      <c r="J56" s="30" t="s">
        <v>142</v>
      </c>
      <c r="K56" s="30" t="s">
        <v>142</v>
      </c>
      <c r="L56" s="32" t="s">
        <v>142</v>
      </c>
      <c r="M56" s="25" t="s">
        <v>142</v>
      </c>
      <c r="N56" s="30" t="s">
        <v>142</v>
      </c>
      <c r="O56" s="30" t="s">
        <v>142</v>
      </c>
      <c r="P56" s="30" t="s">
        <v>142</v>
      </c>
      <c r="Q56" s="30" t="s">
        <v>142</v>
      </c>
      <c r="R56" s="30" t="s">
        <v>142</v>
      </c>
      <c r="S56" s="32" t="s">
        <v>142</v>
      </c>
      <c r="T56" s="25" t="s">
        <v>142</v>
      </c>
      <c r="U56" s="30" t="s">
        <v>142</v>
      </c>
      <c r="V56" s="30" t="s">
        <v>142</v>
      </c>
      <c r="W56" s="30" t="s">
        <v>142</v>
      </c>
      <c r="X56" s="30" t="s">
        <v>142</v>
      </c>
      <c r="Y56" s="30" t="s">
        <v>142</v>
      </c>
      <c r="Z56" s="32" t="s">
        <v>142</v>
      </c>
      <c r="AA56" s="25" t="s">
        <v>142</v>
      </c>
      <c r="AB56" s="30" t="s">
        <v>142</v>
      </c>
      <c r="AC56" s="30" t="s">
        <v>142</v>
      </c>
      <c r="AD56" s="30" t="s">
        <v>142</v>
      </c>
      <c r="AE56" s="30" t="s">
        <v>142</v>
      </c>
      <c r="AF56" s="30" t="s">
        <v>142</v>
      </c>
      <c r="AG56" s="30" t="s">
        <v>142</v>
      </c>
      <c r="AH56" s="30" t="s">
        <v>142</v>
      </c>
      <c r="AI56" s="30" t="s">
        <v>142</v>
      </c>
      <c r="AJ56" s="30" t="s">
        <v>142</v>
      </c>
      <c r="AK56" s="30" t="s">
        <v>142</v>
      </c>
      <c r="AL56" s="30" t="s">
        <v>142</v>
      </c>
      <c r="AM56" s="30" t="s">
        <v>142</v>
      </c>
      <c r="AN56" s="30" t="s">
        <v>142</v>
      </c>
      <c r="AO56" s="30" t="s">
        <v>142</v>
      </c>
      <c r="AP56" s="30" t="s">
        <v>142</v>
      </c>
      <c r="AQ56" s="30" t="s">
        <v>142</v>
      </c>
      <c r="AR56" s="30" t="s">
        <v>142</v>
      </c>
      <c r="AS56" s="30" t="s">
        <v>142</v>
      </c>
      <c r="AT56" s="29"/>
    </row>
    <row r="57">
      <c r="A57" s="7">
        <v>7489746.0</v>
      </c>
      <c r="B57" s="3" t="s">
        <v>252</v>
      </c>
      <c r="C57" s="24">
        <v>1.0</v>
      </c>
      <c r="D57" s="25">
        <f t="shared" si="1"/>
        <v>0</v>
      </c>
      <c r="E57" s="7" t="s">
        <v>551</v>
      </c>
      <c r="F57" s="30" t="s">
        <v>142</v>
      </c>
      <c r="G57" s="30" t="s">
        <v>142</v>
      </c>
      <c r="H57" s="30" t="s">
        <v>142</v>
      </c>
      <c r="I57" s="30" t="s">
        <v>142</v>
      </c>
      <c r="J57" s="30" t="s">
        <v>142</v>
      </c>
      <c r="K57" s="30" t="s">
        <v>142</v>
      </c>
      <c r="L57" s="30" t="s">
        <v>142</v>
      </c>
      <c r="M57" s="30" t="s">
        <v>142</v>
      </c>
      <c r="N57" s="30" t="s">
        <v>142</v>
      </c>
      <c r="O57" s="30" t="s">
        <v>142</v>
      </c>
      <c r="P57" s="30" t="s">
        <v>142</v>
      </c>
      <c r="Q57" s="30" t="s">
        <v>142</v>
      </c>
      <c r="R57" s="30" t="s">
        <v>142</v>
      </c>
      <c r="S57" s="30" t="s">
        <v>142</v>
      </c>
      <c r="T57" s="30" t="s">
        <v>142</v>
      </c>
      <c r="U57" s="30" t="s">
        <v>142</v>
      </c>
      <c r="V57" s="30" t="s">
        <v>142</v>
      </c>
      <c r="W57" s="30" t="s">
        <v>142</v>
      </c>
      <c r="X57" s="30" t="s">
        <v>142</v>
      </c>
      <c r="Y57" s="30" t="s">
        <v>142</v>
      </c>
      <c r="Z57" s="30" t="s">
        <v>142</v>
      </c>
      <c r="AA57" s="30" t="s">
        <v>142</v>
      </c>
      <c r="AB57" s="30" t="s">
        <v>142</v>
      </c>
      <c r="AC57" s="30" t="s">
        <v>142</v>
      </c>
      <c r="AD57" s="30" t="s">
        <v>142</v>
      </c>
      <c r="AE57" s="30" t="s">
        <v>142</v>
      </c>
      <c r="AF57" s="30" t="s">
        <v>142</v>
      </c>
      <c r="AG57" s="30" t="s">
        <v>142</v>
      </c>
      <c r="AH57" s="30" t="s">
        <v>142</v>
      </c>
      <c r="AI57" s="30" t="s">
        <v>142</v>
      </c>
      <c r="AJ57" s="30" t="s">
        <v>142</v>
      </c>
      <c r="AK57" s="30" t="s">
        <v>142</v>
      </c>
      <c r="AL57" s="30" t="s">
        <v>142</v>
      </c>
      <c r="AM57" s="30" t="s">
        <v>142</v>
      </c>
      <c r="AN57" s="30" t="s">
        <v>142</v>
      </c>
      <c r="AO57" s="30" t="s">
        <v>142</v>
      </c>
      <c r="AP57" s="30" t="s">
        <v>142</v>
      </c>
      <c r="AQ57" s="30" t="s">
        <v>142</v>
      </c>
      <c r="AR57" s="30" t="s">
        <v>142</v>
      </c>
      <c r="AS57" s="30" t="s">
        <v>142</v>
      </c>
      <c r="AT57" s="29">
        <f t="shared" ref="AT57:AT66" si="6">40-D57</f>
        <v>40</v>
      </c>
      <c r="AU57" s="29">
        <f t="array" ref="AU57">MAX(
    FREQUENCY(
      IF(F57:AS57=1, COLUMN(F57:AS57)),
      IF(F57:AS57&lt;&gt;1, COLUMN(F57:AS57))
    )
  )</f>
        <v>0</v>
      </c>
    </row>
    <row r="58">
      <c r="A58" s="7">
        <v>8689198.0</v>
      </c>
      <c r="B58" s="3" t="s">
        <v>330</v>
      </c>
      <c r="C58" s="24">
        <v>2.0</v>
      </c>
      <c r="D58" s="25">
        <f t="shared" si="1"/>
        <v>20.5</v>
      </c>
      <c r="E58" s="7" t="s">
        <v>94</v>
      </c>
      <c r="F58" s="30">
        <v>1.0</v>
      </c>
      <c r="G58" s="25">
        <v>1.0</v>
      </c>
      <c r="H58" s="25">
        <v>1.0</v>
      </c>
      <c r="I58" s="25">
        <v>1.0</v>
      </c>
      <c r="J58" s="25">
        <v>1.0</v>
      </c>
      <c r="K58" s="25">
        <v>0.5</v>
      </c>
      <c r="L58" s="32">
        <v>0.0</v>
      </c>
      <c r="M58" s="33">
        <v>0.0</v>
      </c>
      <c r="N58" s="33">
        <v>0.5</v>
      </c>
      <c r="O58" s="33">
        <v>1.0</v>
      </c>
      <c r="P58" s="33">
        <v>1.0</v>
      </c>
      <c r="Q58" s="25">
        <v>1.0</v>
      </c>
      <c r="R58" s="31">
        <v>1.0</v>
      </c>
      <c r="S58" s="32">
        <v>1.0</v>
      </c>
      <c r="T58" s="25">
        <v>0.5</v>
      </c>
      <c r="U58" s="25">
        <v>0.0</v>
      </c>
      <c r="V58" s="25">
        <v>0.5</v>
      </c>
      <c r="W58" s="25">
        <v>1.0</v>
      </c>
      <c r="X58" s="25">
        <v>1.0</v>
      </c>
      <c r="Y58" s="25">
        <v>0.5</v>
      </c>
      <c r="Z58" s="32">
        <v>0.0</v>
      </c>
      <c r="AA58" s="33">
        <v>0.0</v>
      </c>
      <c r="AB58" s="33">
        <v>0.0</v>
      </c>
      <c r="AC58" s="25">
        <v>0.0</v>
      </c>
      <c r="AD58" s="25">
        <v>0.5</v>
      </c>
      <c r="AE58" s="25">
        <v>1.0</v>
      </c>
      <c r="AF58" s="31">
        <v>1.0</v>
      </c>
      <c r="AG58" s="32">
        <v>1.0</v>
      </c>
      <c r="AH58" s="25">
        <v>1.0</v>
      </c>
      <c r="AI58" s="25">
        <v>1.0</v>
      </c>
      <c r="AJ58" s="25">
        <v>0.5</v>
      </c>
      <c r="AK58" s="25" t="s">
        <v>552</v>
      </c>
      <c r="AL58" s="25" t="s">
        <v>552</v>
      </c>
      <c r="AM58" s="25" t="s">
        <v>552</v>
      </c>
      <c r="AN58" s="25" t="s">
        <v>552</v>
      </c>
      <c r="AO58" s="25" t="s">
        <v>552</v>
      </c>
      <c r="AP58" s="25" t="s">
        <v>552</v>
      </c>
      <c r="AQ58" s="25" t="s">
        <v>552</v>
      </c>
      <c r="AR58" s="25" t="s">
        <v>552</v>
      </c>
      <c r="AS58" s="25" t="s">
        <v>552</v>
      </c>
      <c r="AT58" s="29">
        <f t="shared" si="6"/>
        <v>19.5</v>
      </c>
      <c r="AU58" s="29">
        <f t="array" ref="AU58">MAX(
    FREQUENCY(
      IF(F58:AS58=1, COLUMN(F58:AS58)),
      IF(F58:AS58&lt;&gt;1, COLUMN(F58:AS58))
    )
  )</f>
        <v>5</v>
      </c>
    </row>
    <row r="59">
      <c r="A59" s="7">
        <v>7379602.0</v>
      </c>
      <c r="B59" s="3" t="s">
        <v>258</v>
      </c>
      <c r="C59" s="24">
        <v>2.0</v>
      </c>
      <c r="D59" s="25">
        <f t="shared" si="1"/>
        <v>27.5</v>
      </c>
      <c r="E59" s="7" t="s">
        <v>94</v>
      </c>
      <c r="F59" s="30">
        <v>1.0</v>
      </c>
      <c r="G59" s="25">
        <v>1.0</v>
      </c>
      <c r="H59" s="25">
        <v>1.0</v>
      </c>
      <c r="I59" s="45">
        <v>0.5</v>
      </c>
      <c r="J59" s="46">
        <v>0.0</v>
      </c>
      <c r="K59" s="48">
        <v>0.5</v>
      </c>
      <c r="L59" s="32">
        <v>1.0</v>
      </c>
      <c r="M59" s="25">
        <v>1.0</v>
      </c>
      <c r="N59" s="25">
        <v>1.0</v>
      </c>
      <c r="O59" s="25">
        <v>1.0</v>
      </c>
      <c r="P59" s="25">
        <v>1.0</v>
      </c>
      <c r="Q59" s="25">
        <v>1.0</v>
      </c>
      <c r="R59" s="31">
        <v>1.0</v>
      </c>
      <c r="S59" s="49">
        <v>0.5</v>
      </c>
      <c r="T59" s="46">
        <v>0.0</v>
      </c>
      <c r="U59" s="46">
        <v>0.0</v>
      </c>
      <c r="V59" s="47">
        <v>0.5</v>
      </c>
      <c r="W59" s="25">
        <v>1.0</v>
      </c>
      <c r="X59" s="25">
        <v>1.0</v>
      </c>
      <c r="Y59" s="31">
        <v>1.0</v>
      </c>
      <c r="Z59" s="32">
        <v>1.0</v>
      </c>
      <c r="AA59" s="25">
        <v>1.0</v>
      </c>
      <c r="AB59" s="25">
        <v>0.5</v>
      </c>
      <c r="AC59" s="31">
        <v>0.0</v>
      </c>
      <c r="AD59" s="33">
        <v>0.0</v>
      </c>
      <c r="AE59" s="25">
        <v>0.0</v>
      </c>
      <c r="AF59" s="25">
        <v>0.0</v>
      </c>
      <c r="AG59" s="32">
        <v>0.0</v>
      </c>
      <c r="AH59" s="25">
        <v>0.5</v>
      </c>
      <c r="AI59" s="25">
        <v>1.0</v>
      </c>
      <c r="AJ59" s="25">
        <v>1.0</v>
      </c>
      <c r="AK59" s="25">
        <v>1.0</v>
      </c>
      <c r="AL59" s="25">
        <v>1.0</v>
      </c>
      <c r="AM59" s="31">
        <v>1.0</v>
      </c>
      <c r="AN59" s="32">
        <v>1.0</v>
      </c>
      <c r="AO59" s="25">
        <v>1.0</v>
      </c>
      <c r="AP59" s="25">
        <v>1.0</v>
      </c>
      <c r="AQ59" s="25">
        <v>1.0</v>
      </c>
      <c r="AR59" s="25">
        <v>0.5</v>
      </c>
      <c r="AS59" s="25">
        <v>0.0</v>
      </c>
      <c r="AT59" s="29">
        <f t="shared" si="6"/>
        <v>12.5</v>
      </c>
      <c r="AU59" s="29">
        <f t="array" ref="AU59">MAX(
    FREQUENCY(
      IF(F59:AS59=1, COLUMN(F59:AS59)),
      IF(F59:AS59&lt;&gt;1, COLUMN(F59:AS59))
    )
  )</f>
        <v>9</v>
      </c>
    </row>
    <row r="60">
      <c r="A60" s="7">
        <v>4667148.0</v>
      </c>
      <c r="B60" s="3" t="s">
        <v>55</v>
      </c>
      <c r="C60" s="24">
        <v>1.0</v>
      </c>
      <c r="D60" s="25">
        <f t="shared" si="1"/>
        <v>28.5</v>
      </c>
      <c r="E60" s="7" t="s">
        <v>116</v>
      </c>
      <c r="F60" s="30">
        <v>1.0</v>
      </c>
      <c r="G60" s="25">
        <v>1.0</v>
      </c>
      <c r="H60" s="25">
        <v>1.0</v>
      </c>
      <c r="I60" s="25">
        <v>1.0</v>
      </c>
      <c r="J60" s="25">
        <v>1.0</v>
      </c>
      <c r="K60" s="31">
        <v>1.0</v>
      </c>
      <c r="L60" s="32">
        <v>1.0</v>
      </c>
      <c r="M60" s="25">
        <v>0.5</v>
      </c>
      <c r="N60" s="25">
        <v>0.0</v>
      </c>
      <c r="O60" s="25">
        <v>0.5</v>
      </c>
      <c r="P60" s="25">
        <v>1.0</v>
      </c>
      <c r="Q60" s="25">
        <v>1.0</v>
      </c>
      <c r="R60" s="31">
        <v>1.0</v>
      </c>
      <c r="S60" s="49">
        <v>1.0</v>
      </c>
      <c r="T60" s="46">
        <v>1.0</v>
      </c>
      <c r="U60" s="46">
        <v>0.5</v>
      </c>
      <c r="V60" s="46">
        <v>0.0</v>
      </c>
      <c r="W60" s="46">
        <v>0.0</v>
      </c>
      <c r="X60" s="46">
        <v>0.0</v>
      </c>
      <c r="Y60" s="48">
        <v>0.5</v>
      </c>
      <c r="Z60" s="32">
        <v>1.0</v>
      </c>
      <c r="AA60" s="25">
        <v>1.0</v>
      </c>
      <c r="AB60" s="25">
        <v>1.0</v>
      </c>
      <c r="AC60" s="25">
        <v>1.0</v>
      </c>
      <c r="AD60" s="25">
        <v>1.0</v>
      </c>
      <c r="AE60" s="25">
        <v>1.0</v>
      </c>
      <c r="AF60" s="31">
        <v>1.0</v>
      </c>
      <c r="AG60" s="32">
        <v>1.0</v>
      </c>
      <c r="AH60" s="25">
        <v>1.0</v>
      </c>
      <c r="AI60" s="25">
        <v>1.0</v>
      </c>
      <c r="AJ60" s="25">
        <v>0.5</v>
      </c>
      <c r="AK60" s="31">
        <v>0.0</v>
      </c>
      <c r="AL60" s="33">
        <v>0.0</v>
      </c>
      <c r="AM60" s="25">
        <v>0.0</v>
      </c>
      <c r="AN60" s="32">
        <v>0.0</v>
      </c>
      <c r="AO60" s="25">
        <v>0.5</v>
      </c>
      <c r="AP60" s="25">
        <v>1.0</v>
      </c>
      <c r="AQ60" s="25">
        <v>1.0</v>
      </c>
      <c r="AR60" s="25">
        <v>1.0</v>
      </c>
      <c r="AS60" s="25">
        <v>0.5</v>
      </c>
      <c r="AT60" s="29">
        <f t="shared" si="6"/>
        <v>11.5</v>
      </c>
      <c r="AU60" s="29">
        <f t="array" ref="AU60">MAX(
    FREQUENCY(
      IF(F60:AS60=1, COLUMN(F60:AS60)),
      IF(F60:AS60&lt;&gt;1, COLUMN(F60:AS60))
    )
  )</f>
        <v>10</v>
      </c>
    </row>
    <row r="61">
      <c r="A61" s="7">
        <v>6874858.0</v>
      </c>
      <c r="B61" s="3" t="s">
        <v>275</v>
      </c>
      <c r="C61" s="24">
        <v>1.0</v>
      </c>
      <c r="D61" s="25">
        <f t="shared" si="1"/>
        <v>7.5</v>
      </c>
      <c r="E61" s="7" t="s">
        <v>214</v>
      </c>
      <c r="F61" s="30">
        <v>1.0</v>
      </c>
      <c r="G61" s="25">
        <v>1.0</v>
      </c>
      <c r="H61" s="25">
        <v>1.0</v>
      </c>
      <c r="I61" s="25">
        <v>1.0</v>
      </c>
      <c r="J61" s="25">
        <v>1.0</v>
      </c>
      <c r="K61" s="31">
        <v>1.0</v>
      </c>
      <c r="L61" s="32">
        <v>1.0</v>
      </c>
      <c r="M61" s="46">
        <v>0.5</v>
      </c>
      <c r="N61" s="30" t="s">
        <v>142</v>
      </c>
      <c r="O61" s="30" t="s">
        <v>142</v>
      </c>
      <c r="P61" s="30" t="s">
        <v>142</v>
      </c>
      <c r="Q61" s="30" t="s">
        <v>142</v>
      </c>
      <c r="R61" s="30" t="s">
        <v>142</v>
      </c>
      <c r="S61" s="30" t="s">
        <v>142</v>
      </c>
      <c r="T61" s="30" t="s">
        <v>142</v>
      </c>
      <c r="U61" s="30" t="s">
        <v>142</v>
      </c>
      <c r="V61" s="30" t="s">
        <v>142</v>
      </c>
      <c r="W61" s="30" t="s">
        <v>142</v>
      </c>
      <c r="X61" s="30" t="s">
        <v>142</v>
      </c>
      <c r="Y61" s="30" t="s">
        <v>142</v>
      </c>
      <c r="Z61" s="30" t="s">
        <v>142</v>
      </c>
      <c r="AA61" s="30" t="s">
        <v>142</v>
      </c>
      <c r="AB61" s="30" t="s">
        <v>142</v>
      </c>
      <c r="AC61" s="30" t="s">
        <v>142</v>
      </c>
      <c r="AD61" s="30" t="s">
        <v>142</v>
      </c>
      <c r="AE61" s="30" t="s">
        <v>142</v>
      </c>
      <c r="AF61" s="30" t="s">
        <v>142</v>
      </c>
      <c r="AG61" s="30" t="s">
        <v>142</v>
      </c>
      <c r="AH61" s="30" t="s">
        <v>142</v>
      </c>
      <c r="AI61" s="30" t="s">
        <v>142</v>
      </c>
      <c r="AJ61" s="30" t="s">
        <v>142</v>
      </c>
      <c r="AK61" s="30" t="s">
        <v>142</v>
      </c>
      <c r="AL61" s="30" t="s">
        <v>142</v>
      </c>
      <c r="AM61" s="30" t="s">
        <v>142</v>
      </c>
      <c r="AN61" s="30" t="s">
        <v>142</v>
      </c>
      <c r="AO61" s="30" t="s">
        <v>142</v>
      </c>
      <c r="AP61" s="30" t="s">
        <v>142</v>
      </c>
      <c r="AQ61" s="30" t="s">
        <v>142</v>
      </c>
      <c r="AR61" s="30" t="s">
        <v>142</v>
      </c>
      <c r="AS61" s="30" t="s">
        <v>142</v>
      </c>
      <c r="AT61" s="29">
        <f t="shared" si="6"/>
        <v>32.5</v>
      </c>
      <c r="AU61" s="29">
        <f t="array" ref="AU61">MAX(
    FREQUENCY(
      IF(F61:AS61=1, COLUMN(F61:AS61)),
      IF(F61:AS61&lt;&gt;1, COLUMN(F61:AS61))
    )
  )</f>
        <v>7</v>
      </c>
    </row>
    <row r="62">
      <c r="A62" s="7">
        <v>4635553.0</v>
      </c>
      <c r="B62" s="3" t="s">
        <v>222</v>
      </c>
      <c r="C62" s="24">
        <v>3.0</v>
      </c>
      <c r="D62" s="25">
        <f t="shared" si="1"/>
        <v>24.5</v>
      </c>
      <c r="E62" s="7" t="s">
        <v>94</v>
      </c>
      <c r="F62" s="30">
        <v>1.0</v>
      </c>
      <c r="G62" s="25">
        <v>1.0</v>
      </c>
      <c r="H62" s="25">
        <v>1.0</v>
      </c>
      <c r="I62" s="25">
        <v>1.0</v>
      </c>
      <c r="J62" s="25">
        <v>1.0</v>
      </c>
      <c r="K62" s="31">
        <v>1.0</v>
      </c>
      <c r="L62" s="32">
        <v>1.0</v>
      </c>
      <c r="M62" s="33">
        <v>1.0</v>
      </c>
      <c r="N62" s="33">
        <v>1.0</v>
      </c>
      <c r="O62" s="33">
        <v>1.0</v>
      </c>
      <c r="P62" s="25">
        <v>0.5</v>
      </c>
      <c r="Q62" s="31">
        <v>0.0</v>
      </c>
      <c r="R62" s="25">
        <v>0.5</v>
      </c>
      <c r="S62" s="32">
        <v>1.0</v>
      </c>
      <c r="T62" s="25">
        <v>1.0</v>
      </c>
      <c r="U62" s="25">
        <v>1.0</v>
      </c>
      <c r="V62" s="25">
        <v>1.0</v>
      </c>
      <c r="W62" s="25">
        <v>1.0</v>
      </c>
      <c r="X62" s="25">
        <v>1.0</v>
      </c>
      <c r="Y62" s="31">
        <v>1.0</v>
      </c>
      <c r="Z62" s="32">
        <v>0.5</v>
      </c>
      <c r="AA62" s="25">
        <v>0.0</v>
      </c>
      <c r="AB62" s="25">
        <v>0.0</v>
      </c>
      <c r="AC62" s="25">
        <v>0.0</v>
      </c>
      <c r="AD62" s="45">
        <v>0.0</v>
      </c>
      <c r="AE62" s="46">
        <v>0.0</v>
      </c>
      <c r="AF62" s="48">
        <v>0.5</v>
      </c>
      <c r="AG62" s="49">
        <v>1.0</v>
      </c>
      <c r="AH62" s="46">
        <v>1.0</v>
      </c>
      <c r="AI62" s="46">
        <v>1.0</v>
      </c>
      <c r="AJ62" s="46">
        <v>0.5</v>
      </c>
      <c r="AK62" s="46">
        <v>0.0</v>
      </c>
      <c r="AL62" s="46">
        <v>0.0</v>
      </c>
      <c r="AM62" s="48">
        <v>0.5</v>
      </c>
      <c r="AN62" s="49">
        <v>1.0</v>
      </c>
      <c r="AO62" s="46">
        <v>0.5</v>
      </c>
      <c r="AP62" s="46">
        <v>0.0</v>
      </c>
      <c r="AQ62" s="46">
        <v>0.0</v>
      </c>
      <c r="AR62" s="46">
        <v>0.0</v>
      </c>
      <c r="AS62" s="47">
        <v>0.0</v>
      </c>
      <c r="AT62" s="29">
        <f t="shared" si="6"/>
        <v>15.5</v>
      </c>
      <c r="AU62" s="29">
        <f t="array" ref="AU62">MAX(
    FREQUENCY(
      IF(F62:AS62=1, COLUMN(F62:AS62)),
      IF(F62:AS62&lt;&gt;1, COLUMN(F62:AS62))
    )
  )</f>
        <v>10</v>
      </c>
    </row>
    <row r="63">
      <c r="A63" s="7">
        <v>8577287.0</v>
      </c>
      <c r="B63" s="3" t="s">
        <v>72</v>
      </c>
      <c r="C63" s="24">
        <v>2.0</v>
      </c>
      <c r="D63" s="25">
        <f t="shared" si="1"/>
        <v>26.5</v>
      </c>
      <c r="E63" s="7" t="s">
        <v>94</v>
      </c>
      <c r="F63" s="30">
        <v>1.0</v>
      </c>
      <c r="G63" s="25">
        <v>1.0</v>
      </c>
      <c r="H63" s="25">
        <v>1.0</v>
      </c>
      <c r="I63" s="25">
        <v>1.0</v>
      </c>
      <c r="J63" s="25">
        <v>1.0</v>
      </c>
      <c r="K63" s="25">
        <v>0.5</v>
      </c>
      <c r="L63" s="32">
        <v>0.0</v>
      </c>
      <c r="M63" s="25">
        <v>0.5</v>
      </c>
      <c r="N63" s="25">
        <v>1.0</v>
      </c>
      <c r="O63" s="25">
        <v>1.0</v>
      </c>
      <c r="P63" s="25">
        <v>1.0</v>
      </c>
      <c r="Q63" s="31">
        <v>1.0</v>
      </c>
      <c r="R63" s="25">
        <v>0.5</v>
      </c>
      <c r="S63" s="32">
        <v>0.0</v>
      </c>
      <c r="T63" s="25">
        <v>0.0</v>
      </c>
      <c r="U63" s="25">
        <v>0.0</v>
      </c>
      <c r="V63" s="25">
        <v>0.5</v>
      </c>
      <c r="W63" s="25">
        <v>1.0</v>
      </c>
      <c r="X63" s="25">
        <v>1.0</v>
      </c>
      <c r="Y63" s="31">
        <v>1.0</v>
      </c>
      <c r="Z63" s="32">
        <v>1.0</v>
      </c>
      <c r="AA63" s="25">
        <v>1.0</v>
      </c>
      <c r="AB63" s="25">
        <v>1.0</v>
      </c>
      <c r="AC63" s="25">
        <v>1.0</v>
      </c>
      <c r="AD63" s="45">
        <v>0.5</v>
      </c>
      <c r="AE63" s="46">
        <v>0.0</v>
      </c>
      <c r="AF63" s="48">
        <v>0.0</v>
      </c>
      <c r="AG63" s="49">
        <v>0.0</v>
      </c>
      <c r="AH63" s="46">
        <v>0.0</v>
      </c>
      <c r="AI63" s="47">
        <v>0.5</v>
      </c>
      <c r="AJ63" s="25">
        <v>1.0</v>
      </c>
      <c r="AK63" s="25">
        <v>1.0</v>
      </c>
      <c r="AL63" s="25">
        <v>1.0</v>
      </c>
      <c r="AM63" s="31">
        <v>1.0</v>
      </c>
      <c r="AN63" s="32">
        <v>1.0</v>
      </c>
      <c r="AO63" s="25">
        <v>1.0</v>
      </c>
      <c r="AP63" s="25">
        <v>1.0</v>
      </c>
      <c r="AQ63" s="25">
        <v>0.5</v>
      </c>
      <c r="AR63" s="25">
        <v>0.0</v>
      </c>
      <c r="AS63" s="25">
        <v>0.0</v>
      </c>
      <c r="AT63" s="29">
        <f t="shared" si="6"/>
        <v>13.5</v>
      </c>
      <c r="AU63" s="29">
        <f t="array" ref="AU63">MAX(
    FREQUENCY(
      IF(F63:AS63=1, COLUMN(F63:AS63)),
      IF(F63:AS63&lt;&gt;1, COLUMN(F63:AS63))
    )
  )</f>
        <v>7</v>
      </c>
    </row>
    <row r="64">
      <c r="A64" s="7">
        <v>5222292.0</v>
      </c>
      <c r="B64" s="3" t="s">
        <v>67</v>
      </c>
      <c r="C64" s="24">
        <v>1.0</v>
      </c>
      <c r="D64" s="25">
        <f t="shared" si="1"/>
        <v>18.5</v>
      </c>
      <c r="E64" s="7" t="s">
        <v>94</v>
      </c>
      <c r="F64" s="30">
        <v>1.0</v>
      </c>
      <c r="G64" s="25">
        <v>1.0</v>
      </c>
      <c r="H64" s="25">
        <v>1.0</v>
      </c>
      <c r="I64" s="25">
        <v>1.0</v>
      </c>
      <c r="J64" s="25">
        <v>0.5</v>
      </c>
      <c r="K64" s="31">
        <v>0.0</v>
      </c>
      <c r="L64" s="32">
        <v>0.0</v>
      </c>
      <c r="M64" s="33">
        <v>0.5</v>
      </c>
      <c r="N64" s="25">
        <v>1.0</v>
      </c>
      <c r="O64" s="25">
        <v>1.0</v>
      </c>
      <c r="P64" s="25">
        <v>1.0</v>
      </c>
      <c r="Q64" s="25">
        <v>1.0</v>
      </c>
      <c r="R64" s="25">
        <v>1.0</v>
      </c>
      <c r="S64" s="32">
        <v>1.0</v>
      </c>
      <c r="T64" s="25">
        <v>1.0</v>
      </c>
      <c r="U64" s="25">
        <v>1.0</v>
      </c>
      <c r="V64" s="25">
        <v>0.5</v>
      </c>
      <c r="W64" s="25">
        <v>0.5</v>
      </c>
      <c r="X64" s="25">
        <v>1.0</v>
      </c>
      <c r="Y64" s="31">
        <v>1.0</v>
      </c>
      <c r="Z64" s="32">
        <v>1.0</v>
      </c>
      <c r="AA64" s="25">
        <v>1.0</v>
      </c>
      <c r="AB64" s="45">
        <v>0.5</v>
      </c>
      <c r="AC64" s="46">
        <v>0.0</v>
      </c>
      <c r="AD64" s="46">
        <v>0.0</v>
      </c>
      <c r="AE64" s="46">
        <v>0.0</v>
      </c>
      <c r="AF64" s="48">
        <v>0.0</v>
      </c>
      <c r="AG64" s="49">
        <v>0.0</v>
      </c>
      <c r="AH64" s="46">
        <v>0.0</v>
      </c>
      <c r="AI64" s="46">
        <v>0.0</v>
      </c>
      <c r="AJ64" s="46">
        <v>0.0</v>
      </c>
      <c r="AK64" s="46">
        <v>0.0</v>
      </c>
      <c r="AL64" s="46">
        <v>0.0</v>
      </c>
      <c r="AM64" s="48">
        <v>0.0</v>
      </c>
      <c r="AN64" s="49">
        <v>0.0</v>
      </c>
      <c r="AO64" s="46">
        <v>0.0</v>
      </c>
      <c r="AP64" s="46">
        <v>0.0</v>
      </c>
      <c r="AQ64" s="46">
        <v>0.0</v>
      </c>
      <c r="AR64" s="46">
        <v>0.0</v>
      </c>
      <c r="AS64" s="47">
        <v>0.0</v>
      </c>
      <c r="AT64" s="29">
        <f t="shared" si="6"/>
        <v>21.5</v>
      </c>
      <c r="AU64" s="29">
        <f t="array" ref="AU64">MAX(
    FREQUENCY(
      IF(F64:AS64=1, COLUMN(F64:AS64)),
      IF(F64:AS64&lt;&gt;1, COLUMN(F64:AS64))
    )
  )</f>
        <v>8</v>
      </c>
    </row>
    <row r="65">
      <c r="A65" s="7">
        <v>7593462.0</v>
      </c>
      <c r="B65" s="3" t="s">
        <v>332</v>
      </c>
      <c r="C65" s="24">
        <v>1.0</v>
      </c>
      <c r="D65" s="25">
        <f t="shared" si="1"/>
        <v>28.5</v>
      </c>
      <c r="E65" s="7" t="s">
        <v>94</v>
      </c>
      <c r="F65" s="30">
        <v>1.0</v>
      </c>
      <c r="G65" s="25">
        <v>1.0</v>
      </c>
      <c r="H65" s="25">
        <v>1.0</v>
      </c>
      <c r="I65" s="25">
        <v>1.0</v>
      </c>
      <c r="J65" s="25">
        <v>0.5</v>
      </c>
      <c r="K65" s="31">
        <v>0.0</v>
      </c>
      <c r="L65" s="32">
        <v>0.0</v>
      </c>
      <c r="M65" s="33">
        <v>0.5</v>
      </c>
      <c r="N65" s="25">
        <v>1.0</v>
      </c>
      <c r="O65" s="25">
        <v>1.0</v>
      </c>
      <c r="P65" s="25">
        <v>1.0</v>
      </c>
      <c r="Q65" s="25">
        <v>1.0</v>
      </c>
      <c r="R65" s="25">
        <v>1.0</v>
      </c>
      <c r="S65" s="32">
        <v>1.0</v>
      </c>
      <c r="T65" s="25">
        <v>1.0</v>
      </c>
      <c r="U65" s="25">
        <v>1.0</v>
      </c>
      <c r="V65" s="25">
        <v>1.0</v>
      </c>
      <c r="W65" s="25">
        <v>0.5</v>
      </c>
      <c r="X65" s="31">
        <v>0.0</v>
      </c>
      <c r="Y65" s="31">
        <v>0.0</v>
      </c>
      <c r="Z65" s="32">
        <v>0.0</v>
      </c>
      <c r="AA65" s="25">
        <v>0.0</v>
      </c>
      <c r="AB65" s="25">
        <v>0.5</v>
      </c>
      <c r="AC65" s="25">
        <v>1.0</v>
      </c>
      <c r="AD65" s="25">
        <v>1.0</v>
      </c>
      <c r="AE65" s="25">
        <v>1.0</v>
      </c>
      <c r="AF65" s="31">
        <v>1.0</v>
      </c>
      <c r="AG65" s="32">
        <v>1.0</v>
      </c>
      <c r="AH65" s="25">
        <v>1.0</v>
      </c>
      <c r="AI65" s="25">
        <v>1.0</v>
      </c>
      <c r="AJ65" s="25">
        <v>1.0</v>
      </c>
      <c r="AK65" s="25">
        <v>1.0</v>
      </c>
      <c r="AL65" s="25">
        <v>0.5</v>
      </c>
      <c r="AM65" s="31">
        <v>0.0</v>
      </c>
      <c r="AN65" s="32">
        <v>0.0</v>
      </c>
      <c r="AO65" s="33">
        <v>0.5</v>
      </c>
      <c r="AP65" s="25">
        <v>1.0</v>
      </c>
      <c r="AQ65" s="25">
        <v>1.0</v>
      </c>
      <c r="AR65" s="25">
        <v>1.0</v>
      </c>
      <c r="AS65" s="25">
        <v>0.5</v>
      </c>
      <c r="AT65" s="29">
        <f t="shared" si="6"/>
        <v>11.5</v>
      </c>
      <c r="AU65" s="29">
        <f t="array" ref="AU65">MAX(
    FREQUENCY(
      IF(F65:AS65=1, COLUMN(F65:AS65)),
      IF(F65:AS65&lt;&gt;1, COLUMN(F65:AS65))
    )
  )</f>
        <v>9</v>
      </c>
    </row>
    <row r="66">
      <c r="A66" s="7">
        <v>5759919.0</v>
      </c>
      <c r="B66" s="3" t="s">
        <v>175</v>
      </c>
      <c r="C66" s="24">
        <v>2.0</v>
      </c>
      <c r="D66" s="25">
        <f t="shared" si="1"/>
        <v>18.5</v>
      </c>
      <c r="E66" s="7" t="s">
        <v>94</v>
      </c>
      <c r="F66" s="45">
        <v>1.0</v>
      </c>
      <c r="G66" s="46">
        <v>1.0</v>
      </c>
      <c r="H66" s="46">
        <v>1.0</v>
      </c>
      <c r="I66" s="46">
        <v>1.0</v>
      </c>
      <c r="J66" s="46">
        <v>0.5</v>
      </c>
      <c r="K66" s="48">
        <v>0.0</v>
      </c>
      <c r="L66" s="49">
        <v>0.0</v>
      </c>
      <c r="M66" s="46">
        <v>0.5</v>
      </c>
      <c r="N66" s="47">
        <v>0.5</v>
      </c>
      <c r="O66" s="45">
        <v>0.0</v>
      </c>
      <c r="P66" s="46">
        <v>0.0</v>
      </c>
      <c r="Q66" s="47">
        <v>0.5</v>
      </c>
      <c r="R66" s="45">
        <v>1.0</v>
      </c>
      <c r="S66" s="32">
        <v>1.0</v>
      </c>
      <c r="T66" s="47">
        <v>0.5</v>
      </c>
      <c r="U66" s="45">
        <v>0.0</v>
      </c>
      <c r="V66" s="46">
        <v>0.0</v>
      </c>
      <c r="W66" s="46">
        <v>0.0</v>
      </c>
      <c r="X66" s="47">
        <v>0.5</v>
      </c>
      <c r="Y66" s="45">
        <v>1.0</v>
      </c>
      <c r="Z66" s="32">
        <v>1.0</v>
      </c>
      <c r="AA66" s="47">
        <v>1.0</v>
      </c>
      <c r="AB66" s="92">
        <v>0.5</v>
      </c>
      <c r="AC66" s="45">
        <v>0.0</v>
      </c>
      <c r="AD66" s="46">
        <v>0.0</v>
      </c>
      <c r="AE66" s="46">
        <v>0.5</v>
      </c>
      <c r="AF66" s="48">
        <v>1.0</v>
      </c>
      <c r="AG66" s="49">
        <v>1.0</v>
      </c>
      <c r="AH66" s="46">
        <v>0.5</v>
      </c>
      <c r="AI66" s="47">
        <v>0.0</v>
      </c>
      <c r="AJ66" s="45">
        <v>0.0</v>
      </c>
      <c r="AK66" s="46">
        <v>0.0</v>
      </c>
      <c r="AL66" s="47">
        <v>0.5</v>
      </c>
      <c r="AM66" s="45">
        <v>1.0</v>
      </c>
      <c r="AN66" s="32">
        <v>1.0</v>
      </c>
      <c r="AO66" s="47">
        <v>0.5</v>
      </c>
      <c r="AP66" s="47">
        <v>0.0</v>
      </c>
      <c r="AQ66" s="47">
        <v>0.0</v>
      </c>
      <c r="AR66" s="47">
        <v>0.0</v>
      </c>
      <c r="AS66" s="25">
        <v>0.0</v>
      </c>
      <c r="AT66" s="29">
        <f t="shared" si="6"/>
        <v>21.5</v>
      </c>
      <c r="AU66" s="29">
        <f t="array" ref="AU66">MAX(
    FREQUENCY(
      IF(F66:AS66=1, COLUMN(F66:AS66)),
      IF(F66:AS66&lt;&gt;1, COLUMN(F66:AS66))
    )
  )</f>
        <v>4</v>
      </c>
    </row>
    <row r="67">
      <c r="A67" s="7">
        <v>7379590.0</v>
      </c>
      <c r="B67" s="3" t="s">
        <v>506</v>
      </c>
      <c r="C67" s="10" t="s">
        <v>115</v>
      </c>
      <c r="D67" s="25">
        <f t="shared" si="1"/>
        <v>23.5</v>
      </c>
      <c r="E67" s="25" t="s">
        <v>146</v>
      </c>
      <c r="F67" s="25">
        <v>1.0</v>
      </c>
      <c r="G67" s="25">
        <v>1.0</v>
      </c>
      <c r="H67" s="25">
        <v>1.0</v>
      </c>
      <c r="I67" s="25">
        <v>1.0</v>
      </c>
      <c r="J67" s="25">
        <v>0.5</v>
      </c>
      <c r="K67" s="31">
        <v>0.0</v>
      </c>
      <c r="L67" s="32">
        <v>0.0</v>
      </c>
      <c r="M67" s="25">
        <v>0.5</v>
      </c>
      <c r="N67" s="25">
        <v>1.0</v>
      </c>
      <c r="O67" s="25">
        <v>1.0</v>
      </c>
      <c r="P67" s="25">
        <v>1.0</v>
      </c>
      <c r="Q67" s="25">
        <v>0.5</v>
      </c>
      <c r="R67" s="31">
        <v>0.0</v>
      </c>
      <c r="S67" s="32">
        <v>0.0</v>
      </c>
      <c r="T67" s="25">
        <v>0.5</v>
      </c>
      <c r="U67" s="25">
        <v>1.0</v>
      </c>
      <c r="V67" s="25">
        <v>1.0</v>
      </c>
      <c r="W67" s="25">
        <v>0.5</v>
      </c>
      <c r="X67" s="25">
        <v>0.0</v>
      </c>
      <c r="Y67" s="31">
        <v>0.5</v>
      </c>
      <c r="Z67" s="32">
        <v>1.0</v>
      </c>
      <c r="AA67" s="25">
        <v>1.0</v>
      </c>
      <c r="AB67" s="25">
        <v>1.0</v>
      </c>
      <c r="AC67" s="25">
        <v>0.5</v>
      </c>
      <c r="AD67" s="31">
        <v>0.0</v>
      </c>
      <c r="AE67" s="33">
        <v>0.5</v>
      </c>
      <c r="AF67" s="25">
        <v>1.0</v>
      </c>
      <c r="AG67" s="32">
        <v>1.0</v>
      </c>
      <c r="AH67" s="25">
        <v>1.0</v>
      </c>
      <c r="AI67" s="25">
        <v>0.5</v>
      </c>
      <c r="AJ67" s="25">
        <v>0.0</v>
      </c>
      <c r="AK67" s="25">
        <v>0.0</v>
      </c>
      <c r="AL67" s="31">
        <v>0.5</v>
      </c>
      <c r="AM67" s="31">
        <v>1.0</v>
      </c>
      <c r="AN67" s="32">
        <v>1.0</v>
      </c>
      <c r="AO67" s="25">
        <v>1.0</v>
      </c>
      <c r="AP67" s="25">
        <v>0.5</v>
      </c>
      <c r="AQ67" s="45">
        <v>0.0</v>
      </c>
      <c r="AR67" s="46">
        <v>0.0</v>
      </c>
      <c r="AS67" s="47">
        <v>0.0</v>
      </c>
      <c r="AT67" s="29"/>
      <c r="AU67" s="29">
        <f t="array" ref="AU67">MAX(
    FREQUENCY(
      IF(F67:AS67=1, COLUMN(F67:AS67)),
      IF(F67:AS67&lt;&gt;1, COLUMN(F67:AS67))
    )
  )</f>
        <v>4</v>
      </c>
    </row>
    <row r="68">
      <c r="A68" s="7">
        <v>8621107.0</v>
      </c>
      <c r="B68" s="3" t="s">
        <v>56</v>
      </c>
      <c r="C68" s="24">
        <v>3.0</v>
      </c>
      <c r="D68" s="25">
        <f t="shared" si="1"/>
        <v>29</v>
      </c>
      <c r="E68" s="7" t="s">
        <v>116</v>
      </c>
      <c r="F68" s="30">
        <v>1.0</v>
      </c>
      <c r="G68" s="25">
        <v>1.0</v>
      </c>
      <c r="H68" s="25">
        <v>1.0</v>
      </c>
      <c r="I68" s="25">
        <v>1.0</v>
      </c>
      <c r="J68" s="25">
        <v>1.0</v>
      </c>
      <c r="K68" s="25">
        <v>1.0</v>
      </c>
      <c r="L68" s="32">
        <v>1.0</v>
      </c>
      <c r="M68" s="25">
        <v>1.0</v>
      </c>
      <c r="N68" s="25">
        <v>1.0</v>
      </c>
      <c r="O68" s="25">
        <v>0.5</v>
      </c>
      <c r="P68" s="25">
        <v>0.0</v>
      </c>
      <c r="Q68" s="25">
        <v>0.5</v>
      </c>
      <c r="R68" s="31">
        <v>1.0</v>
      </c>
      <c r="S68" s="49">
        <v>1.0</v>
      </c>
      <c r="T68" s="46">
        <v>0.5</v>
      </c>
      <c r="U68" s="47">
        <v>1.0</v>
      </c>
      <c r="V68" s="25">
        <v>1.0</v>
      </c>
      <c r="W68" s="25">
        <v>1.0</v>
      </c>
      <c r="X68" s="25">
        <v>1.0</v>
      </c>
      <c r="Y68" s="31">
        <v>0.5</v>
      </c>
      <c r="Z68" s="32">
        <v>0.0</v>
      </c>
      <c r="AA68" s="25">
        <v>0.0</v>
      </c>
      <c r="AB68" s="25">
        <v>0.5</v>
      </c>
      <c r="AC68" s="25">
        <v>1.0</v>
      </c>
      <c r="AD68" s="25">
        <v>1.0</v>
      </c>
      <c r="AE68" s="25">
        <v>1.0</v>
      </c>
      <c r="AF68" s="31">
        <v>1.0</v>
      </c>
      <c r="AG68" s="32">
        <v>1.0</v>
      </c>
      <c r="AH68" s="46">
        <v>0.5</v>
      </c>
      <c r="AI68" s="46">
        <v>0.0</v>
      </c>
      <c r="AJ68" s="46">
        <v>0.0</v>
      </c>
      <c r="AK68" s="46">
        <v>0.0</v>
      </c>
      <c r="AL68" s="46">
        <v>0.0</v>
      </c>
      <c r="AM68" s="48">
        <v>0.5</v>
      </c>
      <c r="AN68" s="32">
        <v>1.0</v>
      </c>
      <c r="AO68" s="25">
        <v>1.0</v>
      </c>
      <c r="AP68" s="25">
        <v>1.0</v>
      </c>
      <c r="AQ68" s="25">
        <v>1.0</v>
      </c>
      <c r="AR68" s="25">
        <v>1.0</v>
      </c>
      <c r="AS68" s="25">
        <v>0.5</v>
      </c>
      <c r="AT68" s="29">
        <f t="shared" ref="AT68:AT72" si="7">40-D68</f>
        <v>11</v>
      </c>
      <c r="AU68" s="29">
        <f t="array" ref="AU68">MAX(
    FREQUENCY(
      IF(F68:AS68=1, COLUMN(F68:AS68)),
      IF(F68:AS68&lt;&gt;1, COLUMN(F68:AS68))
    )
  )</f>
        <v>9</v>
      </c>
    </row>
    <row r="69">
      <c r="A69" s="7">
        <v>3779457.0</v>
      </c>
      <c r="B69" s="3" t="s">
        <v>333</v>
      </c>
      <c r="C69" s="10" t="s">
        <v>115</v>
      </c>
      <c r="D69" s="25">
        <f t="shared" si="1"/>
        <v>28.5</v>
      </c>
      <c r="E69" s="7" t="s">
        <v>188</v>
      </c>
      <c r="F69" s="30">
        <v>1.0</v>
      </c>
      <c r="G69" s="25">
        <v>1.0</v>
      </c>
      <c r="H69" s="25">
        <v>1.0</v>
      </c>
      <c r="I69" s="25">
        <v>1.0</v>
      </c>
      <c r="J69" s="25">
        <v>1.0</v>
      </c>
      <c r="K69" s="31">
        <v>1.0</v>
      </c>
      <c r="L69" s="32">
        <v>1.0</v>
      </c>
      <c r="M69" s="25">
        <v>1.0</v>
      </c>
      <c r="N69" s="25">
        <v>1.0</v>
      </c>
      <c r="O69" s="25">
        <v>1.0</v>
      </c>
      <c r="P69" s="51">
        <v>0.5</v>
      </c>
      <c r="Q69" s="35">
        <v>0.0</v>
      </c>
      <c r="R69" s="99">
        <v>0.0</v>
      </c>
      <c r="S69" s="36">
        <v>0.0</v>
      </c>
      <c r="T69" s="51">
        <v>0.5</v>
      </c>
      <c r="U69" s="25">
        <v>1.0</v>
      </c>
      <c r="V69" s="25">
        <v>1.0</v>
      </c>
      <c r="W69" s="25">
        <v>1.0</v>
      </c>
      <c r="X69" s="25">
        <v>0.5</v>
      </c>
      <c r="Y69" s="31">
        <v>0.5</v>
      </c>
      <c r="Z69" s="32">
        <v>1.0</v>
      </c>
      <c r="AA69" s="25">
        <v>1.0</v>
      </c>
      <c r="AB69" s="25">
        <v>1.0</v>
      </c>
      <c r="AC69" s="25">
        <v>1.0</v>
      </c>
      <c r="AD69" s="51">
        <v>0.5</v>
      </c>
      <c r="AE69" s="35">
        <v>0.0</v>
      </c>
      <c r="AF69" s="99">
        <v>0.0</v>
      </c>
      <c r="AG69" s="36">
        <v>0.0</v>
      </c>
      <c r="AH69" s="51">
        <v>0.5</v>
      </c>
      <c r="AI69" s="25">
        <v>1.0</v>
      </c>
      <c r="AJ69" s="25">
        <v>1.0</v>
      </c>
      <c r="AK69" s="25">
        <v>1.0</v>
      </c>
      <c r="AL69" s="25">
        <v>0.5</v>
      </c>
      <c r="AM69" s="31">
        <v>0.5</v>
      </c>
      <c r="AN69" s="32">
        <v>1.0</v>
      </c>
      <c r="AO69" s="25">
        <v>1.0</v>
      </c>
      <c r="AP69" s="25">
        <v>1.0</v>
      </c>
      <c r="AQ69" s="25">
        <v>1.0</v>
      </c>
      <c r="AR69" s="51">
        <v>0.5</v>
      </c>
      <c r="AS69" s="35">
        <v>0.0</v>
      </c>
      <c r="AT69" s="29">
        <f t="shared" si="7"/>
        <v>11.5</v>
      </c>
      <c r="AU69" s="29">
        <f t="array" ref="AU69">MAX(
    FREQUENCY(
      IF(F69:AS69=1, COLUMN(F69:AS69)),
      IF(F69:AS69&lt;&gt;1, COLUMN(F69:AS69))
    )
  )</f>
        <v>10</v>
      </c>
    </row>
    <row r="70">
      <c r="A70" s="7">
        <v>5075673.0</v>
      </c>
      <c r="B70" s="3" t="s">
        <v>84</v>
      </c>
      <c r="C70" s="24">
        <v>1.0</v>
      </c>
      <c r="D70" s="25">
        <f t="shared" si="1"/>
        <v>28.5</v>
      </c>
      <c r="E70" s="7" t="s">
        <v>94</v>
      </c>
      <c r="F70" s="30">
        <v>1.0</v>
      </c>
      <c r="G70" s="25">
        <v>1.0</v>
      </c>
      <c r="H70" s="25">
        <v>1.0</v>
      </c>
      <c r="I70" s="25">
        <v>1.0</v>
      </c>
      <c r="J70" s="25">
        <v>0.5</v>
      </c>
      <c r="K70" s="31">
        <v>0.0</v>
      </c>
      <c r="L70" s="32">
        <v>0.0</v>
      </c>
      <c r="M70" s="33">
        <v>0.5</v>
      </c>
      <c r="N70" s="25">
        <v>1.0</v>
      </c>
      <c r="O70" s="25">
        <v>1.0</v>
      </c>
      <c r="P70" s="25">
        <v>1.0</v>
      </c>
      <c r="Q70" s="25">
        <v>1.0</v>
      </c>
      <c r="R70" s="25">
        <v>1.0</v>
      </c>
      <c r="S70" s="32">
        <v>1.0</v>
      </c>
      <c r="T70" s="25">
        <v>1.0</v>
      </c>
      <c r="U70" s="25">
        <v>1.0</v>
      </c>
      <c r="V70" s="25">
        <v>1.0</v>
      </c>
      <c r="W70" s="25">
        <v>0.5</v>
      </c>
      <c r="X70" s="31">
        <v>0.0</v>
      </c>
      <c r="Y70" s="31">
        <v>0.0</v>
      </c>
      <c r="Z70" s="32">
        <v>0.0</v>
      </c>
      <c r="AA70" s="25">
        <v>0.0</v>
      </c>
      <c r="AB70" s="25">
        <v>0.5</v>
      </c>
      <c r="AC70" s="25">
        <v>1.0</v>
      </c>
      <c r="AD70" s="25">
        <v>1.0</v>
      </c>
      <c r="AE70" s="25">
        <v>1.0</v>
      </c>
      <c r="AF70" s="31">
        <v>1.0</v>
      </c>
      <c r="AG70" s="32">
        <v>1.0</v>
      </c>
      <c r="AH70" s="25">
        <v>1.0</v>
      </c>
      <c r="AI70" s="25">
        <v>1.0</v>
      </c>
      <c r="AJ70" s="25">
        <v>1.0</v>
      </c>
      <c r="AK70" s="25">
        <v>1.0</v>
      </c>
      <c r="AL70" s="25">
        <v>1.0</v>
      </c>
      <c r="AM70" s="31">
        <v>0.5</v>
      </c>
      <c r="AN70" s="32">
        <v>0.0</v>
      </c>
      <c r="AO70" s="33">
        <v>0.5</v>
      </c>
      <c r="AP70" s="25">
        <v>0.5</v>
      </c>
      <c r="AQ70" s="25">
        <v>0.5</v>
      </c>
      <c r="AR70" s="25">
        <v>1.0</v>
      </c>
      <c r="AS70" s="25">
        <v>0.5</v>
      </c>
      <c r="AT70" s="29">
        <f t="shared" si="7"/>
        <v>11.5</v>
      </c>
      <c r="AU70" s="29">
        <f t="array" ref="AU70">MAX(
    FREQUENCY(
      IF(F70:AS70=1, COLUMN(F70:AS70)),
      IF(F70:AS70&lt;&gt;1, COLUMN(F70:AS70))
    )
  )</f>
        <v>10</v>
      </c>
    </row>
    <row r="71">
      <c r="A71" s="7">
        <v>8622878.0</v>
      </c>
      <c r="B71" s="3" t="s">
        <v>334</v>
      </c>
      <c r="C71" s="24">
        <v>2.0</v>
      </c>
      <c r="D71" s="25">
        <f t="shared" si="1"/>
        <v>27.5</v>
      </c>
      <c r="E71" s="7" t="s">
        <v>94</v>
      </c>
      <c r="F71" s="30">
        <v>1.0</v>
      </c>
      <c r="G71" s="25">
        <v>1.0</v>
      </c>
      <c r="H71" s="25">
        <v>1.0</v>
      </c>
      <c r="I71" s="25">
        <v>1.0</v>
      </c>
      <c r="J71" s="25">
        <v>1.0</v>
      </c>
      <c r="K71" s="25">
        <v>1.0</v>
      </c>
      <c r="L71" s="32">
        <v>1.0</v>
      </c>
      <c r="M71" s="25">
        <v>1.0</v>
      </c>
      <c r="N71" s="25">
        <v>1.0</v>
      </c>
      <c r="O71" s="25">
        <v>1.0</v>
      </c>
      <c r="P71" s="25">
        <v>0.5</v>
      </c>
      <c r="Q71" s="31">
        <v>0.0</v>
      </c>
      <c r="R71" s="25">
        <v>0.0</v>
      </c>
      <c r="S71" s="139">
        <v>0.0</v>
      </c>
      <c r="T71" s="25">
        <v>0.5</v>
      </c>
      <c r="U71" s="25">
        <v>1.0</v>
      </c>
      <c r="V71" s="25">
        <v>1.0</v>
      </c>
      <c r="W71" s="25">
        <v>1.0</v>
      </c>
      <c r="X71" s="25">
        <v>1.0</v>
      </c>
      <c r="Y71" s="31">
        <v>1.0</v>
      </c>
      <c r="Z71" s="32">
        <v>1.0</v>
      </c>
      <c r="AA71" s="25">
        <v>1.0</v>
      </c>
      <c r="AB71" s="25">
        <v>1.0</v>
      </c>
      <c r="AC71" s="25">
        <v>0.5</v>
      </c>
      <c r="AD71" s="31">
        <v>0.0</v>
      </c>
      <c r="AE71" s="25">
        <v>0.0</v>
      </c>
      <c r="AF71" s="31">
        <v>0.0</v>
      </c>
      <c r="AG71" s="32">
        <v>0.0</v>
      </c>
      <c r="AH71" s="33">
        <v>0.5</v>
      </c>
      <c r="AI71" s="25">
        <v>1.0</v>
      </c>
      <c r="AJ71" s="25">
        <v>1.0</v>
      </c>
      <c r="AK71" s="25">
        <v>1.0</v>
      </c>
      <c r="AL71" s="25">
        <v>1.0</v>
      </c>
      <c r="AM71" s="31">
        <v>1.0</v>
      </c>
      <c r="AN71" s="32">
        <v>1.0</v>
      </c>
      <c r="AO71" s="25">
        <v>1.0</v>
      </c>
      <c r="AP71" s="25">
        <v>0.5</v>
      </c>
      <c r="AQ71" s="31">
        <v>0.0</v>
      </c>
      <c r="AR71" s="33">
        <v>0.0</v>
      </c>
      <c r="AS71" s="33">
        <v>0.0</v>
      </c>
      <c r="AT71" s="29">
        <f t="shared" si="7"/>
        <v>12.5</v>
      </c>
      <c r="AU71" s="29">
        <f t="array" ref="AU71">MAX(
    FREQUENCY(
      IF(F71:AS71=1, COLUMN(F71:AS71)),
      IF(F71:AS71&lt;&gt;1, COLUMN(F71:AS71))
    )
  )</f>
        <v>10</v>
      </c>
    </row>
    <row r="72">
      <c r="A72" s="7">
        <v>6357677.0</v>
      </c>
      <c r="B72" s="3" t="s">
        <v>336</v>
      </c>
      <c r="C72" s="24">
        <v>2.0</v>
      </c>
      <c r="D72" s="25">
        <f t="shared" si="1"/>
        <v>27.5</v>
      </c>
      <c r="E72" s="7" t="s">
        <v>87</v>
      </c>
      <c r="F72" s="30">
        <v>1.0</v>
      </c>
      <c r="G72" s="25">
        <v>1.0</v>
      </c>
      <c r="H72" s="25">
        <v>1.0</v>
      </c>
      <c r="I72" s="25">
        <v>1.0</v>
      </c>
      <c r="J72" s="25">
        <v>1.0</v>
      </c>
      <c r="K72" s="25">
        <v>1.0</v>
      </c>
      <c r="L72" s="32">
        <v>1.0</v>
      </c>
      <c r="M72" s="25">
        <v>1.0</v>
      </c>
      <c r="N72" s="34">
        <v>0.5</v>
      </c>
      <c r="O72" s="35">
        <v>0.0</v>
      </c>
      <c r="P72" s="35">
        <v>0.0</v>
      </c>
      <c r="Q72" s="34">
        <v>0.5</v>
      </c>
      <c r="R72" s="25">
        <v>1.0</v>
      </c>
      <c r="S72" s="32">
        <v>1.0</v>
      </c>
      <c r="T72" s="25">
        <v>1.0</v>
      </c>
      <c r="U72" s="25">
        <v>1.0</v>
      </c>
      <c r="V72" s="25">
        <v>1.0</v>
      </c>
      <c r="W72" s="25">
        <v>1.0</v>
      </c>
      <c r="X72" s="25">
        <v>1.0</v>
      </c>
      <c r="Y72" s="31">
        <v>1.0</v>
      </c>
      <c r="Z72" s="32">
        <v>1.0</v>
      </c>
      <c r="AA72" s="34">
        <v>0.5</v>
      </c>
      <c r="AB72" s="35">
        <v>0.0</v>
      </c>
      <c r="AC72" s="35">
        <v>0.0</v>
      </c>
      <c r="AD72" s="35">
        <v>0.0</v>
      </c>
      <c r="AE72" s="51">
        <v>0.0</v>
      </c>
      <c r="AF72" s="31">
        <v>0.5</v>
      </c>
      <c r="AG72" s="32">
        <v>1.0</v>
      </c>
      <c r="AH72" s="25">
        <v>1.0</v>
      </c>
      <c r="AI72" s="25">
        <v>1.0</v>
      </c>
      <c r="AJ72" s="25">
        <v>1.0</v>
      </c>
      <c r="AK72" s="25">
        <v>1.0</v>
      </c>
      <c r="AL72" s="25">
        <v>1.0</v>
      </c>
      <c r="AM72" s="31">
        <v>1.0</v>
      </c>
      <c r="AN72" s="32">
        <v>1.0</v>
      </c>
      <c r="AO72" s="34">
        <v>0.5</v>
      </c>
      <c r="AP72" s="25">
        <v>0.0</v>
      </c>
      <c r="AQ72" s="51">
        <v>0.0</v>
      </c>
      <c r="AR72" s="52">
        <v>0.0</v>
      </c>
      <c r="AS72" s="51">
        <v>0.0</v>
      </c>
      <c r="AT72" s="29">
        <f t="shared" si="7"/>
        <v>12.5</v>
      </c>
      <c r="AU72" s="29">
        <f t="array" ref="AU72">MAX(
    FREQUENCY(
      IF(F72:AS72=1, COLUMN(F72:AS72)),
      IF(F72:AS72&lt;&gt;1, COLUMN(F72:AS72))
    )
  )</f>
        <v>9</v>
      </c>
    </row>
    <row r="73">
      <c r="A73" s="3"/>
      <c r="B73" s="3" t="s">
        <v>555</v>
      </c>
      <c r="C73" s="24">
        <v>2.0</v>
      </c>
      <c r="D73" s="25">
        <f t="shared" si="1"/>
        <v>16.5</v>
      </c>
      <c r="E73" s="7" t="s">
        <v>94</v>
      </c>
      <c r="F73" s="30">
        <v>1.0</v>
      </c>
      <c r="G73" s="25">
        <v>1.0</v>
      </c>
      <c r="H73" s="25">
        <v>1.0</v>
      </c>
      <c r="I73" s="25">
        <v>1.0</v>
      </c>
      <c r="J73" s="25">
        <v>1.0</v>
      </c>
      <c r="K73" s="25">
        <v>1.0</v>
      </c>
      <c r="L73" s="32">
        <v>1.0</v>
      </c>
      <c r="M73" s="46">
        <v>0.5</v>
      </c>
      <c r="N73" s="46">
        <v>0.0</v>
      </c>
      <c r="O73" s="46">
        <v>0.0</v>
      </c>
      <c r="P73" s="46">
        <v>0.0</v>
      </c>
      <c r="Q73" s="47">
        <v>0.5</v>
      </c>
      <c r="R73" s="25">
        <v>1.0</v>
      </c>
      <c r="S73" s="32">
        <v>1.0</v>
      </c>
      <c r="T73" s="140">
        <v>0.5</v>
      </c>
      <c r="U73" s="140">
        <v>0.0</v>
      </c>
      <c r="V73" s="140">
        <v>0.0</v>
      </c>
      <c r="W73" s="140">
        <v>0.0</v>
      </c>
      <c r="X73" s="140">
        <v>0.0</v>
      </c>
      <c r="Y73" s="140">
        <v>0.0</v>
      </c>
      <c r="Z73" s="141">
        <v>0.0</v>
      </c>
      <c r="AA73" s="140">
        <v>0.0</v>
      </c>
      <c r="AB73" s="140">
        <v>0.0</v>
      </c>
      <c r="AC73" s="140">
        <v>0.0</v>
      </c>
      <c r="AD73" s="140">
        <v>0.0</v>
      </c>
      <c r="AE73" s="91">
        <v>0.5</v>
      </c>
      <c r="AF73" s="25">
        <v>1.0</v>
      </c>
      <c r="AG73" s="32">
        <v>1.0</v>
      </c>
      <c r="AH73" s="46">
        <v>0.5</v>
      </c>
      <c r="AI73" s="46">
        <v>0.0</v>
      </c>
      <c r="AJ73" s="46">
        <v>0.0</v>
      </c>
      <c r="AK73" s="46">
        <v>0.0</v>
      </c>
      <c r="AL73" s="47">
        <v>0.5</v>
      </c>
      <c r="AM73" s="25">
        <v>1.0</v>
      </c>
      <c r="AN73" s="32">
        <v>1.0</v>
      </c>
      <c r="AO73" s="46">
        <v>0.5</v>
      </c>
      <c r="AP73" s="46">
        <v>0.0</v>
      </c>
      <c r="AQ73" s="46">
        <v>0.0</v>
      </c>
      <c r="AR73" s="46">
        <v>0.0</v>
      </c>
      <c r="AS73" s="47">
        <v>0.0</v>
      </c>
      <c r="AT73" s="29"/>
      <c r="AU73" s="29">
        <f t="array" ref="AU73">MAX(
    FREQUENCY(
      IF(F73:AS73=1, COLUMN(F73:AS73)),
      IF(F73:AS73&lt;&gt;1, COLUMN(F73:AS73))
    )
  )</f>
        <v>7</v>
      </c>
    </row>
    <row r="74">
      <c r="A74" s="7">
        <v>5085966.0</v>
      </c>
      <c r="B74" s="3" t="s">
        <v>232</v>
      </c>
      <c r="C74" s="24">
        <v>2.0</v>
      </c>
      <c r="D74" s="25">
        <f t="shared" si="1"/>
        <v>18</v>
      </c>
      <c r="E74" s="7" t="s">
        <v>94</v>
      </c>
      <c r="F74" s="45">
        <v>0.0</v>
      </c>
      <c r="G74" s="46">
        <v>0.0</v>
      </c>
      <c r="H74" s="47">
        <v>0.5</v>
      </c>
      <c r="I74" s="25">
        <v>1.0</v>
      </c>
      <c r="J74" s="45">
        <v>0.5</v>
      </c>
      <c r="K74" s="48">
        <v>0.0</v>
      </c>
      <c r="L74" s="49">
        <v>0.0</v>
      </c>
      <c r="M74" s="46">
        <v>0.5</v>
      </c>
      <c r="N74" s="47">
        <v>0.5</v>
      </c>
      <c r="O74" s="25">
        <v>0.0</v>
      </c>
      <c r="P74" s="25">
        <v>0.5</v>
      </c>
      <c r="Q74" s="25">
        <v>1.0</v>
      </c>
      <c r="R74" s="31">
        <v>1.0</v>
      </c>
      <c r="S74" s="32">
        <v>1.0</v>
      </c>
      <c r="T74" s="25">
        <v>1.0</v>
      </c>
      <c r="U74" s="25">
        <v>1.0</v>
      </c>
      <c r="V74" s="25">
        <v>1.0</v>
      </c>
      <c r="W74" s="51">
        <v>1.0</v>
      </c>
      <c r="X74" s="52">
        <v>1.0</v>
      </c>
      <c r="Y74" s="52">
        <v>0.5</v>
      </c>
      <c r="Z74" s="36">
        <v>0.0</v>
      </c>
      <c r="AA74" s="51">
        <v>0.0</v>
      </c>
      <c r="AB74" s="25">
        <v>0.0</v>
      </c>
      <c r="AC74" s="25">
        <v>0.0</v>
      </c>
      <c r="AD74" s="25">
        <v>0.0</v>
      </c>
      <c r="AE74" s="25">
        <v>0.5</v>
      </c>
      <c r="AF74" s="31">
        <v>1.0</v>
      </c>
      <c r="AG74" s="142">
        <v>1.0</v>
      </c>
      <c r="AH74" s="143">
        <v>0.5</v>
      </c>
      <c r="AI74" s="25">
        <v>0.0</v>
      </c>
      <c r="AJ74" s="25">
        <v>0.0</v>
      </c>
      <c r="AK74" s="25">
        <v>0.0</v>
      </c>
      <c r="AL74" s="51">
        <v>0.5</v>
      </c>
      <c r="AM74" s="52">
        <v>1.0</v>
      </c>
      <c r="AN74" s="89">
        <v>1.0</v>
      </c>
      <c r="AO74" s="51">
        <v>0.5</v>
      </c>
      <c r="AP74" s="25">
        <v>0.0</v>
      </c>
      <c r="AQ74" s="25">
        <v>0.0</v>
      </c>
      <c r="AR74" s="25">
        <v>0.0</v>
      </c>
      <c r="AS74" s="25">
        <v>0.0</v>
      </c>
      <c r="AT74" s="29">
        <f t="shared" ref="AT74:AT90" si="8">40-D74</f>
        <v>22</v>
      </c>
      <c r="AU74" s="29">
        <f t="array" ref="AU74">MAX(
    FREQUENCY(
      IF(F74:AS74=1, COLUMN(F74:AS74)),
      IF(F74:AS74&lt;&gt;1, COLUMN(F74:AS74))
    )
  )</f>
        <v>8</v>
      </c>
    </row>
    <row r="75">
      <c r="A75" s="7">
        <v>4276047.0</v>
      </c>
      <c r="B75" s="3" t="s">
        <v>170</v>
      </c>
      <c r="C75" s="24">
        <v>2.0</v>
      </c>
      <c r="D75" s="25">
        <f t="shared" si="1"/>
        <v>18</v>
      </c>
      <c r="E75" s="7" t="s">
        <v>94</v>
      </c>
      <c r="F75" s="30">
        <v>1.0</v>
      </c>
      <c r="G75" s="25">
        <v>1.0</v>
      </c>
      <c r="H75" s="45">
        <v>0.5</v>
      </c>
      <c r="I75" s="46">
        <v>0.0</v>
      </c>
      <c r="J75" s="46">
        <v>0.5</v>
      </c>
      <c r="K75" s="48">
        <v>1.0</v>
      </c>
      <c r="L75" s="49">
        <v>1.0</v>
      </c>
      <c r="M75" s="46">
        <v>0.5</v>
      </c>
      <c r="N75" s="46">
        <v>0.0</v>
      </c>
      <c r="O75" s="46">
        <v>0.0</v>
      </c>
      <c r="P75" s="46">
        <v>0.0</v>
      </c>
      <c r="Q75" s="46">
        <v>0.5</v>
      </c>
      <c r="R75" s="48">
        <v>1.0</v>
      </c>
      <c r="S75" s="49">
        <v>1.0</v>
      </c>
      <c r="T75" s="46">
        <v>0.5</v>
      </c>
      <c r="U75" s="46">
        <v>0.0</v>
      </c>
      <c r="V75" s="46">
        <v>0.0</v>
      </c>
      <c r="W75" s="46">
        <v>0.0</v>
      </c>
      <c r="X75" s="46">
        <v>0.0</v>
      </c>
      <c r="Y75" s="48">
        <v>0.0</v>
      </c>
      <c r="Z75" s="49">
        <v>0.0</v>
      </c>
      <c r="AA75" s="46">
        <v>0.0</v>
      </c>
      <c r="AB75" s="46">
        <v>0.0</v>
      </c>
      <c r="AC75" s="46">
        <v>0.0</v>
      </c>
      <c r="AD75" s="46">
        <v>0.0</v>
      </c>
      <c r="AE75" s="46">
        <v>0.5</v>
      </c>
      <c r="AF75" s="48">
        <v>1.0</v>
      </c>
      <c r="AG75" s="49">
        <v>1.0</v>
      </c>
      <c r="AH75" s="46">
        <v>0.5</v>
      </c>
      <c r="AI75" s="47">
        <v>0.0</v>
      </c>
      <c r="AJ75" s="25">
        <v>0.0</v>
      </c>
      <c r="AK75" s="25">
        <v>0.0</v>
      </c>
      <c r="AL75" s="25">
        <v>0.5</v>
      </c>
      <c r="AM75" s="31">
        <v>1.0</v>
      </c>
      <c r="AN75" s="32">
        <v>1.0</v>
      </c>
      <c r="AO75" s="25">
        <v>0.5</v>
      </c>
      <c r="AP75" s="25">
        <v>1.0</v>
      </c>
      <c r="AQ75" s="25">
        <v>1.0</v>
      </c>
      <c r="AR75" s="25">
        <v>1.0</v>
      </c>
      <c r="AS75" s="25">
        <v>0.5</v>
      </c>
      <c r="AT75" s="29">
        <f t="shared" si="8"/>
        <v>22</v>
      </c>
      <c r="AU75" s="29">
        <f t="array" ref="AU75">MAX(
    FREQUENCY(
      IF(F75:AS75=1, COLUMN(F75:AS75)),
      IF(F75:AS75&lt;&gt;1, COLUMN(F75:AS75))
    )
  )</f>
        <v>3</v>
      </c>
    </row>
    <row r="76">
      <c r="A76" s="7">
        <v>7563119.0</v>
      </c>
      <c r="B76" s="3" t="s">
        <v>337</v>
      </c>
      <c r="C76" s="24">
        <v>2.0</v>
      </c>
      <c r="D76" s="25">
        <f t="shared" si="1"/>
        <v>27.5</v>
      </c>
      <c r="E76" s="7" t="s">
        <v>94</v>
      </c>
      <c r="F76" s="30">
        <v>1.0</v>
      </c>
      <c r="G76" s="25">
        <v>1.0</v>
      </c>
      <c r="H76" s="25">
        <v>1.0</v>
      </c>
      <c r="I76" s="25">
        <v>1.0</v>
      </c>
      <c r="J76" s="25">
        <v>1.0</v>
      </c>
      <c r="K76" s="25">
        <v>1.0</v>
      </c>
      <c r="L76" s="32">
        <v>1.0</v>
      </c>
      <c r="M76" s="25">
        <v>1.0</v>
      </c>
      <c r="N76" s="25">
        <v>1.0</v>
      </c>
      <c r="O76" s="25">
        <v>1.0</v>
      </c>
      <c r="P76" s="25">
        <v>0.5</v>
      </c>
      <c r="Q76" s="31">
        <v>0.0</v>
      </c>
      <c r="R76" s="25">
        <v>0.0</v>
      </c>
      <c r="S76" s="139">
        <v>0.0</v>
      </c>
      <c r="T76" s="25">
        <v>0.5</v>
      </c>
      <c r="U76" s="25">
        <v>1.0</v>
      </c>
      <c r="V76" s="25">
        <v>1.0</v>
      </c>
      <c r="W76" s="25">
        <v>1.0</v>
      </c>
      <c r="X76" s="25">
        <v>1.0</v>
      </c>
      <c r="Y76" s="31">
        <v>1.0</v>
      </c>
      <c r="Z76" s="32">
        <v>1.0</v>
      </c>
      <c r="AA76" s="25">
        <v>1.0</v>
      </c>
      <c r="AB76" s="25">
        <v>1.0</v>
      </c>
      <c r="AC76" s="25">
        <v>0.5</v>
      </c>
      <c r="AD76" s="25">
        <v>0.0</v>
      </c>
      <c r="AE76" s="25">
        <v>0.0</v>
      </c>
      <c r="AF76" s="31">
        <v>0.0</v>
      </c>
      <c r="AG76" s="32">
        <v>0.0</v>
      </c>
      <c r="AH76" s="25">
        <v>0.5</v>
      </c>
      <c r="AI76" s="25">
        <v>1.0</v>
      </c>
      <c r="AJ76" s="25">
        <v>1.0</v>
      </c>
      <c r="AK76" s="25">
        <v>1.0</v>
      </c>
      <c r="AL76" s="25">
        <v>1.0</v>
      </c>
      <c r="AM76" s="31">
        <v>1.0</v>
      </c>
      <c r="AN76" s="32">
        <v>1.0</v>
      </c>
      <c r="AO76" s="25">
        <v>1.0</v>
      </c>
      <c r="AP76" s="25">
        <v>0.5</v>
      </c>
      <c r="AQ76" s="52">
        <v>0.0</v>
      </c>
      <c r="AR76" s="25">
        <v>0.0</v>
      </c>
      <c r="AS76" s="25">
        <v>0.0</v>
      </c>
      <c r="AT76" s="29">
        <f t="shared" si="8"/>
        <v>12.5</v>
      </c>
      <c r="AU76" s="29">
        <f t="array" ref="AU76">MAX(
    FREQUENCY(
      IF(F76:AS76=1, COLUMN(F76:AS76)),
      IF(F76:AS76&lt;&gt;1, COLUMN(F76:AS76))
    )
  )</f>
        <v>10</v>
      </c>
    </row>
    <row r="77">
      <c r="A77" s="7">
        <v>7256596.0</v>
      </c>
      <c r="B77" s="3" t="s">
        <v>66</v>
      </c>
      <c r="C77" s="24">
        <v>3.0</v>
      </c>
      <c r="D77" s="25">
        <f t="shared" si="1"/>
        <v>22.5</v>
      </c>
      <c r="E77" s="7" t="s">
        <v>94</v>
      </c>
      <c r="F77" s="30">
        <v>1.0</v>
      </c>
      <c r="G77" s="30">
        <v>1.0</v>
      </c>
      <c r="H77" s="45">
        <v>0.5</v>
      </c>
      <c r="I77" s="46">
        <v>0.0</v>
      </c>
      <c r="J77" s="46">
        <v>0.0</v>
      </c>
      <c r="K77" s="48">
        <v>0.0</v>
      </c>
      <c r="L77" s="49">
        <v>0.0</v>
      </c>
      <c r="M77" s="46">
        <v>0.0</v>
      </c>
      <c r="N77" s="46">
        <v>0.0</v>
      </c>
      <c r="O77" s="46">
        <v>0.0</v>
      </c>
      <c r="P77" s="46">
        <v>0.0</v>
      </c>
      <c r="Q77" s="46">
        <v>0.0</v>
      </c>
      <c r="R77" s="48">
        <v>0.5</v>
      </c>
      <c r="S77" s="32">
        <v>1.0</v>
      </c>
      <c r="T77" s="25">
        <v>1.0</v>
      </c>
      <c r="U77" s="25">
        <v>1.0</v>
      </c>
      <c r="V77" s="25">
        <v>1.0</v>
      </c>
      <c r="W77" s="25">
        <v>1.0</v>
      </c>
      <c r="X77" s="52">
        <v>1.0</v>
      </c>
      <c r="Y77" s="144">
        <v>1.0</v>
      </c>
      <c r="Z77" s="89">
        <v>1.0</v>
      </c>
      <c r="AA77" s="52">
        <v>1.0</v>
      </c>
      <c r="AB77" s="52">
        <v>0.5</v>
      </c>
      <c r="AC77" s="25">
        <v>0.0</v>
      </c>
      <c r="AD77" s="25">
        <v>0.0</v>
      </c>
      <c r="AE77" s="25">
        <v>0.5</v>
      </c>
      <c r="AF77" s="31">
        <v>1.0</v>
      </c>
      <c r="AG77" s="32">
        <v>1.0</v>
      </c>
      <c r="AH77" s="25">
        <v>1.0</v>
      </c>
      <c r="AI77" s="52">
        <v>1.0</v>
      </c>
      <c r="AJ77" s="52">
        <v>1.0</v>
      </c>
      <c r="AK77" s="52">
        <v>1.0</v>
      </c>
      <c r="AL77" s="52">
        <v>0.5</v>
      </c>
      <c r="AM77" s="25">
        <v>0.0</v>
      </c>
      <c r="AN77" s="25">
        <v>0.0</v>
      </c>
      <c r="AO77" s="52">
        <v>0.0</v>
      </c>
      <c r="AP77" s="7">
        <v>0.5</v>
      </c>
      <c r="AQ77" s="7">
        <v>1.0</v>
      </c>
      <c r="AR77" s="25">
        <v>1.0</v>
      </c>
      <c r="AS77" s="25">
        <v>0.5</v>
      </c>
      <c r="AT77" s="29">
        <f t="shared" si="8"/>
        <v>17.5</v>
      </c>
      <c r="AU77" s="29">
        <f t="array" ref="AU77">MAX(
    FREQUENCY(
      IF(F77:AS77=1, COLUMN(F77:AS77)),
      IF(F77:AS77&lt;&gt;1, COLUMN(F77:AS77))
    )
  )</f>
        <v>9</v>
      </c>
    </row>
    <row r="78">
      <c r="A78" s="7">
        <v>5000933.0</v>
      </c>
      <c r="B78" s="3" t="s">
        <v>338</v>
      </c>
      <c r="C78" s="10" t="s">
        <v>115</v>
      </c>
      <c r="D78" s="25">
        <f t="shared" si="1"/>
        <v>28.5</v>
      </c>
      <c r="E78" s="7" t="s">
        <v>185</v>
      </c>
      <c r="F78" s="30">
        <v>1.0</v>
      </c>
      <c r="G78" s="25">
        <v>1.0</v>
      </c>
      <c r="H78" s="25">
        <v>1.0</v>
      </c>
      <c r="I78" s="25">
        <v>1.0</v>
      </c>
      <c r="J78" s="25">
        <v>0.5</v>
      </c>
      <c r="K78" s="31">
        <v>0.0</v>
      </c>
      <c r="L78" s="32">
        <v>0.5</v>
      </c>
      <c r="M78" s="25">
        <v>1.0</v>
      </c>
      <c r="N78" s="25">
        <v>1.0</v>
      </c>
      <c r="O78" s="25">
        <v>1.0</v>
      </c>
      <c r="P78" s="25">
        <v>1.0</v>
      </c>
      <c r="Q78" s="25">
        <v>1.0</v>
      </c>
      <c r="R78" s="31">
        <v>1.0</v>
      </c>
      <c r="S78" s="32">
        <v>1.0</v>
      </c>
      <c r="T78" s="25">
        <v>1.0</v>
      </c>
      <c r="U78" s="25">
        <v>1.0</v>
      </c>
      <c r="V78" s="25">
        <v>0.5</v>
      </c>
      <c r="W78" s="25">
        <v>0.0</v>
      </c>
      <c r="X78" s="52">
        <v>0.0</v>
      </c>
      <c r="Y78" s="144">
        <v>0.5</v>
      </c>
      <c r="Z78" s="89">
        <v>1.0</v>
      </c>
      <c r="AA78" s="52">
        <v>1.0</v>
      </c>
      <c r="AB78" s="52">
        <v>1.0</v>
      </c>
      <c r="AC78" s="52">
        <v>1.0</v>
      </c>
      <c r="AD78" s="52">
        <v>0.5</v>
      </c>
      <c r="AE78" s="52">
        <v>0.0</v>
      </c>
      <c r="AF78" s="144">
        <v>0.0</v>
      </c>
      <c r="AG78" s="89">
        <v>0.0</v>
      </c>
      <c r="AH78" s="52">
        <v>0.5</v>
      </c>
      <c r="AI78" s="52">
        <v>1.0</v>
      </c>
      <c r="AJ78" s="52">
        <v>1.0</v>
      </c>
      <c r="AK78" s="52">
        <v>1.0</v>
      </c>
      <c r="AL78" s="52">
        <v>1.0</v>
      </c>
      <c r="AM78" s="144">
        <v>1.0</v>
      </c>
      <c r="AN78" s="89">
        <v>0.5</v>
      </c>
      <c r="AO78" s="52">
        <v>0.0</v>
      </c>
      <c r="AP78" s="52">
        <v>0.5</v>
      </c>
      <c r="AQ78" s="52">
        <v>1.0</v>
      </c>
      <c r="AR78" s="25">
        <v>1.0</v>
      </c>
      <c r="AS78" s="25">
        <v>0.5</v>
      </c>
      <c r="AT78" s="29">
        <f t="shared" si="8"/>
        <v>11.5</v>
      </c>
      <c r="AU78" s="29">
        <f t="array" ref="AU78">MAX(
    FREQUENCY(
      IF(F78:AS78=1, COLUMN(F78:AS78)),
      IF(F78:AS78&lt;&gt;1, COLUMN(F78:AS78))
    )
  )</f>
        <v>9</v>
      </c>
    </row>
    <row r="79">
      <c r="A79" s="7">
        <v>7082818.0</v>
      </c>
      <c r="B79" s="3" t="s">
        <v>339</v>
      </c>
      <c r="C79" s="24">
        <v>1.0</v>
      </c>
      <c r="D79" s="25">
        <f t="shared" si="1"/>
        <v>27.5</v>
      </c>
      <c r="E79" s="7" t="s">
        <v>87</v>
      </c>
      <c r="F79" s="30">
        <v>1.0</v>
      </c>
      <c r="G79" s="25">
        <v>1.0</v>
      </c>
      <c r="H79" s="25">
        <v>1.0</v>
      </c>
      <c r="I79" s="25">
        <v>1.0</v>
      </c>
      <c r="J79" s="25">
        <v>1.0</v>
      </c>
      <c r="K79" s="31">
        <v>1.0</v>
      </c>
      <c r="L79" s="32">
        <v>1.0</v>
      </c>
      <c r="M79" s="25">
        <v>1.0</v>
      </c>
      <c r="N79" s="25">
        <v>1.0</v>
      </c>
      <c r="O79" s="25">
        <v>1.0</v>
      </c>
      <c r="P79" s="25">
        <v>0.5</v>
      </c>
      <c r="Q79" s="51">
        <v>0.0</v>
      </c>
      <c r="R79" s="35">
        <v>0.0</v>
      </c>
      <c r="S79" s="36">
        <v>0.0</v>
      </c>
      <c r="T79" s="35">
        <v>0.0</v>
      </c>
      <c r="U79" s="145">
        <v>0.5</v>
      </c>
      <c r="V79" s="25">
        <v>1.0</v>
      </c>
      <c r="W79" s="25">
        <v>1.0</v>
      </c>
      <c r="X79" s="52">
        <v>1.0</v>
      </c>
      <c r="Y79" s="144">
        <v>1.0</v>
      </c>
      <c r="Z79" s="89">
        <v>1.0</v>
      </c>
      <c r="AA79" s="52">
        <v>1.0</v>
      </c>
      <c r="AB79" s="52">
        <v>1.0</v>
      </c>
      <c r="AC79" s="52">
        <v>1.0</v>
      </c>
      <c r="AD79" s="34">
        <v>0.5</v>
      </c>
      <c r="AE79" s="35">
        <v>0.0</v>
      </c>
      <c r="AF79" s="35">
        <v>0.0</v>
      </c>
      <c r="AG79" s="36">
        <v>0.0</v>
      </c>
      <c r="AH79" s="51">
        <v>0.0</v>
      </c>
      <c r="AI79" s="52">
        <v>0.5</v>
      </c>
      <c r="AJ79" s="52">
        <v>1.0</v>
      </c>
      <c r="AK79" s="52">
        <v>1.0</v>
      </c>
      <c r="AL79" s="52">
        <v>1.0</v>
      </c>
      <c r="AM79" s="144">
        <v>1.0</v>
      </c>
      <c r="AN79" s="89">
        <v>1.0</v>
      </c>
      <c r="AO79" s="52">
        <v>1.0</v>
      </c>
      <c r="AP79" s="52">
        <v>1.0</v>
      </c>
      <c r="AQ79" s="34">
        <v>0.5</v>
      </c>
      <c r="AR79" s="25">
        <v>0.0</v>
      </c>
      <c r="AS79" s="25">
        <v>0.0</v>
      </c>
      <c r="AT79" s="29">
        <f t="shared" si="8"/>
        <v>12.5</v>
      </c>
      <c r="AU79" s="29">
        <f t="array" ref="AU79">MAX(
    FREQUENCY(
      IF(F79:AS79=1, COLUMN(F79:AS79)),
      IF(F79:AS79&lt;&gt;1, COLUMN(F79:AS79))
    )
  )</f>
        <v>10</v>
      </c>
    </row>
    <row r="80">
      <c r="A80" s="7">
        <v>8276502.0</v>
      </c>
      <c r="B80" s="3" t="s">
        <v>341</v>
      </c>
      <c r="C80" s="24">
        <v>1.0</v>
      </c>
      <c r="D80" s="25">
        <f t="shared" si="1"/>
        <v>27.5</v>
      </c>
      <c r="E80" s="7" t="s">
        <v>94</v>
      </c>
      <c r="F80" s="30">
        <v>1.0</v>
      </c>
      <c r="G80" s="25">
        <v>1.0</v>
      </c>
      <c r="H80" s="25">
        <v>1.0</v>
      </c>
      <c r="I80" s="25">
        <v>1.0</v>
      </c>
      <c r="J80" s="25">
        <v>0.5</v>
      </c>
      <c r="K80" s="31">
        <v>0.0</v>
      </c>
      <c r="L80" s="32">
        <v>0.0</v>
      </c>
      <c r="M80" s="33">
        <v>0.5</v>
      </c>
      <c r="N80" s="25">
        <v>1.0</v>
      </c>
      <c r="O80" s="25">
        <v>1.0</v>
      </c>
      <c r="P80" s="25">
        <v>1.0</v>
      </c>
      <c r="Q80" s="25">
        <v>1.0</v>
      </c>
      <c r="R80" s="25">
        <v>1.0</v>
      </c>
      <c r="S80" s="32">
        <v>1.0</v>
      </c>
      <c r="T80" s="25">
        <v>1.0</v>
      </c>
      <c r="U80" s="25">
        <v>1.0</v>
      </c>
      <c r="V80" s="25">
        <v>1.0</v>
      </c>
      <c r="W80" s="25">
        <v>0.5</v>
      </c>
      <c r="X80" s="31">
        <v>0.0</v>
      </c>
      <c r="Y80" s="31">
        <v>0.0</v>
      </c>
      <c r="Z80" s="32">
        <v>0.0</v>
      </c>
      <c r="AA80" s="25">
        <v>0.0</v>
      </c>
      <c r="AB80" s="25">
        <v>0.5</v>
      </c>
      <c r="AC80" s="52">
        <v>1.0</v>
      </c>
      <c r="AD80" s="52">
        <v>1.0</v>
      </c>
      <c r="AE80" s="52">
        <v>1.0</v>
      </c>
      <c r="AF80" s="144">
        <v>1.0</v>
      </c>
      <c r="AG80" s="89">
        <v>1.0</v>
      </c>
      <c r="AH80" s="52">
        <v>1.0</v>
      </c>
      <c r="AI80" s="52">
        <v>1.0</v>
      </c>
      <c r="AJ80" s="52">
        <v>1.0</v>
      </c>
      <c r="AK80" s="52">
        <v>0.5</v>
      </c>
      <c r="AL80" s="25">
        <v>0.0</v>
      </c>
      <c r="AM80" s="25">
        <v>0.0</v>
      </c>
      <c r="AN80" s="89">
        <v>0.0</v>
      </c>
      <c r="AO80" s="52">
        <v>0.5</v>
      </c>
      <c r="AP80" s="52">
        <v>1.0</v>
      </c>
      <c r="AQ80" s="52">
        <v>1.0</v>
      </c>
      <c r="AR80" s="25">
        <v>1.0</v>
      </c>
      <c r="AS80" s="25">
        <v>0.5</v>
      </c>
      <c r="AT80" s="29">
        <f t="shared" si="8"/>
        <v>12.5</v>
      </c>
      <c r="AU80" s="29">
        <f t="array" ref="AU80">MAX(
    FREQUENCY(
      IF(F80:AS80=1, COLUMN(F80:AS80)),
      IF(F80:AS80&lt;&gt;1, COLUMN(F80:AS80))
    )
  )</f>
        <v>9</v>
      </c>
    </row>
    <row r="81">
      <c r="A81" s="7">
        <v>5071665.0</v>
      </c>
      <c r="B81" s="3" t="s">
        <v>85</v>
      </c>
      <c r="C81" s="24">
        <v>1.0</v>
      </c>
      <c r="D81" s="25">
        <f t="shared" si="1"/>
        <v>27.5</v>
      </c>
      <c r="E81" s="7" t="s">
        <v>94</v>
      </c>
      <c r="F81" s="30">
        <v>1.0</v>
      </c>
      <c r="G81" s="25">
        <v>1.0</v>
      </c>
      <c r="H81" s="25">
        <v>1.0</v>
      </c>
      <c r="I81" s="25">
        <v>1.0</v>
      </c>
      <c r="J81" s="25">
        <v>0.5</v>
      </c>
      <c r="K81" s="31">
        <v>0.0</v>
      </c>
      <c r="L81" s="32">
        <v>0.0</v>
      </c>
      <c r="M81" s="33">
        <v>0.5</v>
      </c>
      <c r="N81" s="25">
        <v>1.0</v>
      </c>
      <c r="O81" s="25">
        <v>1.0</v>
      </c>
      <c r="P81" s="25">
        <v>1.0</v>
      </c>
      <c r="Q81" s="25">
        <v>1.0</v>
      </c>
      <c r="R81" s="25">
        <v>1.0</v>
      </c>
      <c r="S81" s="32">
        <v>1.0</v>
      </c>
      <c r="T81" s="25">
        <v>1.0</v>
      </c>
      <c r="U81" s="25">
        <v>1.0</v>
      </c>
      <c r="V81" s="25">
        <v>1.0</v>
      </c>
      <c r="W81" s="25">
        <v>0.5</v>
      </c>
      <c r="X81" s="31">
        <v>0.0</v>
      </c>
      <c r="Y81" s="31">
        <v>0.0</v>
      </c>
      <c r="Z81" s="32">
        <v>0.0</v>
      </c>
      <c r="AA81" s="25">
        <v>0.0</v>
      </c>
      <c r="AB81" s="25">
        <v>0.5</v>
      </c>
      <c r="AC81" s="52">
        <v>1.0</v>
      </c>
      <c r="AD81" s="52">
        <v>1.0</v>
      </c>
      <c r="AE81" s="52">
        <v>1.0</v>
      </c>
      <c r="AF81" s="144">
        <v>1.0</v>
      </c>
      <c r="AG81" s="89">
        <v>1.0</v>
      </c>
      <c r="AH81" s="52">
        <v>1.0</v>
      </c>
      <c r="AI81" s="52">
        <v>1.0</v>
      </c>
      <c r="AJ81" s="52">
        <v>1.0</v>
      </c>
      <c r="AK81" s="52">
        <v>0.5</v>
      </c>
      <c r="AL81" s="25">
        <v>0.0</v>
      </c>
      <c r="AM81" s="25">
        <v>0.0</v>
      </c>
      <c r="AN81" s="89">
        <v>0.0</v>
      </c>
      <c r="AO81" s="52">
        <v>0.5</v>
      </c>
      <c r="AP81" s="52">
        <v>1.0</v>
      </c>
      <c r="AQ81" s="52">
        <v>1.0</v>
      </c>
      <c r="AR81" s="25">
        <v>1.0</v>
      </c>
      <c r="AS81" s="25">
        <v>0.5</v>
      </c>
      <c r="AT81" s="29">
        <f t="shared" si="8"/>
        <v>12.5</v>
      </c>
      <c r="AU81" s="29">
        <f t="array" ref="AU81">MAX(
    FREQUENCY(
      IF(F81:AS81=1, COLUMN(F81:AS81)),
      IF(F81:AS81&lt;&gt;1, COLUMN(F81:AS81))
    )
  )</f>
        <v>9</v>
      </c>
    </row>
    <row r="82">
      <c r="A82" s="7">
        <v>4382868.0</v>
      </c>
      <c r="B82" s="3" t="s">
        <v>463</v>
      </c>
      <c r="C82" s="24">
        <v>3.0</v>
      </c>
      <c r="D82" s="25">
        <f t="shared" si="1"/>
        <v>18.5</v>
      </c>
      <c r="E82" s="7" t="s">
        <v>94</v>
      </c>
      <c r="F82" s="30">
        <v>1.0</v>
      </c>
      <c r="G82" s="25">
        <v>1.0</v>
      </c>
      <c r="H82" s="25">
        <v>1.0</v>
      </c>
      <c r="I82" s="25">
        <v>1.0</v>
      </c>
      <c r="J82" s="25">
        <v>0.5</v>
      </c>
      <c r="K82" s="31">
        <v>0.0</v>
      </c>
      <c r="L82" s="32">
        <v>0.0</v>
      </c>
      <c r="M82" s="33">
        <v>0.5</v>
      </c>
      <c r="N82" s="25">
        <v>1.0</v>
      </c>
      <c r="O82" s="25">
        <v>1.0</v>
      </c>
      <c r="P82" s="25">
        <v>1.0</v>
      </c>
      <c r="Q82" s="25">
        <v>1.0</v>
      </c>
      <c r="R82" s="31">
        <v>1.0</v>
      </c>
      <c r="S82" s="49">
        <v>0.5</v>
      </c>
      <c r="T82" s="46">
        <v>0.0</v>
      </c>
      <c r="U82" s="46">
        <v>0.0</v>
      </c>
      <c r="V82" s="46">
        <v>0.0</v>
      </c>
      <c r="W82" s="46">
        <v>0.0</v>
      </c>
      <c r="X82" s="46">
        <v>0.0</v>
      </c>
      <c r="Y82" s="48">
        <v>0.0</v>
      </c>
      <c r="Z82" s="49">
        <v>0.0</v>
      </c>
      <c r="AA82" s="46">
        <v>0.0</v>
      </c>
      <c r="AB82" s="47">
        <v>0.5</v>
      </c>
      <c r="AC82" s="25">
        <v>1.0</v>
      </c>
      <c r="AD82" s="25">
        <v>1.0</v>
      </c>
      <c r="AE82" s="25">
        <v>1.0</v>
      </c>
      <c r="AF82" s="31">
        <v>1.0</v>
      </c>
      <c r="AG82" s="49">
        <v>0.5</v>
      </c>
      <c r="AH82" s="46">
        <v>0.0</v>
      </c>
      <c r="AI82" s="46">
        <v>0.0</v>
      </c>
      <c r="AJ82" s="46">
        <v>0.0</v>
      </c>
      <c r="AK82" s="46">
        <v>0.0</v>
      </c>
      <c r="AL82" s="46">
        <v>0.0</v>
      </c>
      <c r="AM82" s="48">
        <v>0.0</v>
      </c>
      <c r="AN82" s="49">
        <v>0.0</v>
      </c>
      <c r="AO82" s="46">
        <v>0.0</v>
      </c>
      <c r="AP82" s="47">
        <v>0.5</v>
      </c>
      <c r="AQ82" s="25">
        <v>1.0</v>
      </c>
      <c r="AR82" s="25">
        <v>1.0</v>
      </c>
      <c r="AS82" s="25">
        <v>0.5</v>
      </c>
      <c r="AT82" s="29">
        <f t="shared" si="8"/>
        <v>21.5</v>
      </c>
      <c r="AU82" s="29">
        <f t="array" ref="AU82">MAX(
    FREQUENCY(
      IF(F82:AS82=1, COLUMN(F82:AS82)),
      IF(F82:AS82&lt;&gt;1, COLUMN(F82:AS82))
    )
  )</f>
        <v>5</v>
      </c>
    </row>
    <row r="83">
      <c r="A83" s="7">
        <v>5151252.0</v>
      </c>
      <c r="B83" s="3" t="s">
        <v>86</v>
      </c>
      <c r="C83" s="24">
        <v>2.0</v>
      </c>
      <c r="D83" s="25">
        <f t="shared" si="1"/>
        <v>28.5</v>
      </c>
      <c r="E83" s="7" t="s">
        <v>94</v>
      </c>
      <c r="F83" s="30">
        <v>1.0</v>
      </c>
      <c r="G83" s="25">
        <v>1.0</v>
      </c>
      <c r="H83" s="25">
        <v>1.0</v>
      </c>
      <c r="I83" s="25">
        <v>1.0</v>
      </c>
      <c r="J83" s="25">
        <v>1.0</v>
      </c>
      <c r="K83" s="25">
        <v>1.0</v>
      </c>
      <c r="L83" s="32">
        <v>1.0</v>
      </c>
      <c r="M83" s="25">
        <v>1.0</v>
      </c>
      <c r="N83" s="25">
        <v>1.0</v>
      </c>
      <c r="O83" s="25">
        <v>1.0</v>
      </c>
      <c r="P83" s="25">
        <v>0.5</v>
      </c>
      <c r="Q83" s="31">
        <v>0.0</v>
      </c>
      <c r="R83" s="25">
        <v>0.0</v>
      </c>
      <c r="S83" s="32">
        <v>0.0</v>
      </c>
      <c r="T83" s="25">
        <v>0.5</v>
      </c>
      <c r="U83" s="25">
        <v>1.0</v>
      </c>
      <c r="V83" s="25">
        <v>1.0</v>
      </c>
      <c r="W83" s="25">
        <v>1.0</v>
      </c>
      <c r="X83" s="45">
        <v>0.5</v>
      </c>
      <c r="Y83" s="48">
        <v>0.0</v>
      </c>
      <c r="Z83" s="49">
        <v>0.0</v>
      </c>
      <c r="AA83" s="47">
        <v>0.5</v>
      </c>
      <c r="AB83" s="25">
        <v>1.0</v>
      </c>
      <c r="AC83" s="25">
        <v>1.0</v>
      </c>
      <c r="AD83" s="25">
        <v>1.0</v>
      </c>
      <c r="AE83" s="25">
        <v>1.0</v>
      </c>
      <c r="AF83" s="31">
        <v>1.0</v>
      </c>
      <c r="AG83" s="32">
        <v>1.0</v>
      </c>
      <c r="AH83" s="25">
        <v>1.0</v>
      </c>
      <c r="AI83" s="25">
        <v>1.0</v>
      </c>
      <c r="AJ83" s="25">
        <v>1.0</v>
      </c>
      <c r="AK83" s="52">
        <v>0.5</v>
      </c>
      <c r="AL83" s="25">
        <v>0.0</v>
      </c>
      <c r="AM83" s="25">
        <v>0.0</v>
      </c>
      <c r="AN83" s="89">
        <v>0.0</v>
      </c>
      <c r="AO83" s="52">
        <v>0.5</v>
      </c>
      <c r="AP83" s="25">
        <v>1.0</v>
      </c>
      <c r="AQ83" s="25">
        <v>1.0</v>
      </c>
      <c r="AR83" s="25">
        <v>1.0</v>
      </c>
      <c r="AS83" s="25">
        <v>0.5</v>
      </c>
      <c r="AT83" s="29">
        <f t="shared" si="8"/>
        <v>11.5</v>
      </c>
      <c r="AU83" s="29">
        <f t="array" ref="AU83">MAX(
    FREQUENCY(
      IF(F83:AS83=1, COLUMN(F83:AS83)),
      IF(F83:AS83&lt;&gt;1, COLUMN(F83:AS83))
    )
  )</f>
        <v>10</v>
      </c>
    </row>
    <row r="84">
      <c r="A84" s="7">
        <v>8708706.0</v>
      </c>
      <c r="B84" s="3" t="s">
        <v>326</v>
      </c>
      <c r="C84" s="10" t="s">
        <v>549</v>
      </c>
      <c r="D84" s="25">
        <f t="shared" si="1"/>
        <v>27.5</v>
      </c>
      <c r="E84" s="7" t="s">
        <v>112</v>
      </c>
      <c r="F84" s="25">
        <v>1.0</v>
      </c>
      <c r="G84" s="25">
        <v>1.0</v>
      </c>
      <c r="H84" s="25">
        <v>1.0</v>
      </c>
      <c r="I84" s="25">
        <v>1.0</v>
      </c>
      <c r="J84" s="25">
        <v>1.0</v>
      </c>
      <c r="K84" s="25">
        <v>1.0</v>
      </c>
      <c r="L84" s="32">
        <v>1.0</v>
      </c>
      <c r="M84" s="25">
        <v>1.0</v>
      </c>
      <c r="N84" s="25">
        <v>1.0</v>
      </c>
      <c r="O84" s="25">
        <v>0.5</v>
      </c>
      <c r="P84" s="45">
        <v>0.0</v>
      </c>
      <c r="Q84" s="47">
        <v>0.0</v>
      </c>
      <c r="R84" s="25">
        <v>0.0</v>
      </c>
      <c r="S84" s="32">
        <v>0.0</v>
      </c>
      <c r="T84" s="25">
        <v>0.5</v>
      </c>
      <c r="U84" s="25">
        <v>1.0</v>
      </c>
      <c r="V84" s="25">
        <v>1.0</v>
      </c>
      <c r="W84" s="25">
        <v>1.0</v>
      </c>
      <c r="X84" s="25">
        <v>1.0</v>
      </c>
      <c r="Y84" s="25">
        <v>1.0</v>
      </c>
      <c r="Z84" s="32">
        <v>1.0</v>
      </c>
      <c r="AA84" s="25">
        <v>1.0</v>
      </c>
      <c r="AB84" s="25">
        <v>0.5</v>
      </c>
      <c r="AC84" s="25">
        <v>0.0</v>
      </c>
      <c r="AD84" s="25">
        <v>0.0</v>
      </c>
      <c r="AE84" s="25">
        <v>0.5</v>
      </c>
      <c r="AF84" s="25">
        <v>1.0</v>
      </c>
      <c r="AG84" s="142">
        <v>1.0</v>
      </c>
      <c r="AH84" s="90">
        <v>0.5</v>
      </c>
      <c r="AI84" s="140">
        <v>0.0</v>
      </c>
      <c r="AJ84" s="91">
        <v>0.5</v>
      </c>
      <c r="AK84" s="25">
        <v>1.0</v>
      </c>
      <c r="AL84" s="25">
        <v>1.0</v>
      </c>
      <c r="AM84" s="25">
        <v>1.0</v>
      </c>
      <c r="AN84" s="32">
        <v>1.0</v>
      </c>
      <c r="AO84" s="25">
        <v>1.0</v>
      </c>
      <c r="AP84" s="25">
        <v>1.0</v>
      </c>
      <c r="AQ84" s="25">
        <v>0.5</v>
      </c>
      <c r="AR84" s="25">
        <v>0.0</v>
      </c>
      <c r="AS84" s="25">
        <v>0.0</v>
      </c>
      <c r="AT84" s="29">
        <f t="shared" si="8"/>
        <v>12.5</v>
      </c>
      <c r="AU84" s="29">
        <f t="array" ref="AU84">MAX(
    FREQUENCY(
      IF(F84:AS84=1, COLUMN(F84:AS84)),
      IF(F84:AS84&lt;&gt;1, COLUMN(F84:AS84))
    )
  )</f>
        <v>9</v>
      </c>
    </row>
    <row r="85">
      <c r="A85" s="7">
        <v>4357123.0</v>
      </c>
      <c r="B85" s="3" t="s">
        <v>342</v>
      </c>
      <c r="C85" s="10" t="s">
        <v>115</v>
      </c>
      <c r="D85" s="25">
        <f t="shared" si="1"/>
        <v>28.5</v>
      </c>
      <c r="E85" s="7" t="s">
        <v>556</v>
      </c>
      <c r="F85" s="30">
        <v>1.0</v>
      </c>
      <c r="G85" s="25">
        <v>1.0</v>
      </c>
      <c r="H85" s="25">
        <v>1.0</v>
      </c>
      <c r="I85" s="25">
        <v>1.0</v>
      </c>
      <c r="J85" s="51">
        <v>1.0</v>
      </c>
      <c r="K85" s="52">
        <v>1.0</v>
      </c>
      <c r="L85" s="89">
        <v>1.0</v>
      </c>
      <c r="M85" s="51">
        <v>1.0</v>
      </c>
      <c r="N85" s="25">
        <v>1.0</v>
      </c>
      <c r="O85" s="25">
        <v>1.0</v>
      </c>
      <c r="P85" s="25">
        <v>1.0</v>
      </c>
      <c r="Q85" s="25">
        <v>0.5</v>
      </c>
      <c r="R85" s="31">
        <v>0.0</v>
      </c>
      <c r="S85" s="32">
        <v>0.0</v>
      </c>
      <c r="T85" s="51">
        <v>0.0</v>
      </c>
      <c r="U85" s="35">
        <v>0.0</v>
      </c>
      <c r="V85" s="35">
        <v>0.0</v>
      </c>
      <c r="W85" s="34">
        <v>0.5</v>
      </c>
      <c r="X85" s="25">
        <v>1.0</v>
      </c>
      <c r="Y85" s="25">
        <v>1.0</v>
      </c>
      <c r="Z85" s="32">
        <v>1.0</v>
      </c>
      <c r="AA85" s="25">
        <v>1.0</v>
      </c>
      <c r="AB85" s="25">
        <v>0.5</v>
      </c>
      <c r="AC85" s="25">
        <v>0.0</v>
      </c>
      <c r="AD85" s="25">
        <v>0.5</v>
      </c>
      <c r="AE85" s="25">
        <v>1.0</v>
      </c>
      <c r="AF85" s="51">
        <v>1.0</v>
      </c>
      <c r="AG85" s="89">
        <v>1.0</v>
      </c>
      <c r="AH85" s="52">
        <v>1.0</v>
      </c>
      <c r="AI85" s="51">
        <v>1.0</v>
      </c>
      <c r="AJ85" s="25">
        <v>0.5</v>
      </c>
      <c r="AK85" s="25">
        <v>0.0</v>
      </c>
      <c r="AL85" s="25">
        <v>0.5</v>
      </c>
      <c r="AM85" s="31">
        <v>1.0</v>
      </c>
      <c r="AN85" s="32">
        <v>1.0</v>
      </c>
      <c r="AO85" s="25">
        <v>1.0</v>
      </c>
      <c r="AP85" s="25">
        <v>1.0</v>
      </c>
      <c r="AQ85" s="25">
        <v>1.0</v>
      </c>
      <c r="AR85" s="25">
        <v>0.5</v>
      </c>
      <c r="AS85" s="25">
        <v>0.0</v>
      </c>
      <c r="AT85" s="29">
        <f t="shared" si="8"/>
        <v>11.5</v>
      </c>
      <c r="AU85" s="29">
        <f t="array" ref="AU85">MAX(
    FREQUENCY(
      IF(F85:AS85=1, COLUMN(F85:AS85)),
      IF(F85:AS85&lt;&gt;1, COLUMN(F85:AS85))
    )
  )</f>
        <v>11</v>
      </c>
    </row>
    <row r="86">
      <c r="A86" s="7">
        <v>5645367.0</v>
      </c>
      <c r="B86" s="3" t="s">
        <v>254</v>
      </c>
      <c r="C86" s="24">
        <v>2.0</v>
      </c>
      <c r="D86" s="25">
        <f t="shared" si="1"/>
        <v>28.5</v>
      </c>
      <c r="E86" s="7" t="s">
        <v>94</v>
      </c>
      <c r="F86" s="30">
        <v>1.0</v>
      </c>
      <c r="G86" s="25">
        <v>1.0</v>
      </c>
      <c r="H86" s="25">
        <v>1.0</v>
      </c>
      <c r="I86" s="25">
        <v>1.0</v>
      </c>
      <c r="J86" s="25">
        <v>1.0</v>
      </c>
      <c r="K86" s="31">
        <v>1.0</v>
      </c>
      <c r="L86" s="32">
        <v>1.0</v>
      </c>
      <c r="M86" s="25">
        <v>1.0</v>
      </c>
      <c r="N86" s="25">
        <v>1.0</v>
      </c>
      <c r="O86" s="25">
        <v>1.0</v>
      </c>
      <c r="P86" s="25">
        <v>1.0</v>
      </c>
      <c r="Q86" s="25">
        <v>0.5</v>
      </c>
      <c r="R86" s="48">
        <v>0.0</v>
      </c>
      <c r="S86" s="49">
        <v>0.0</v>
      </c>
      <c r="T86" s="47">
        <v>0.5</v>
      </c>
      <c r="U86" s="25">
        <v>1.0</v>
      </c>
      <c r="V86" s="25">
        <v>1.0</v>
      </c>
      <c r="W86" s="25">
        <v>1.0</v>
      </c>
      <c r="X86" s="45">
        <v>0.5</v>
      </c>
      <c r="Y86" s="48">
        <v>0.0</v>
      </c>
      <c r="Z86" s="49">
        <v>0.0</v>
      </c>
      <c r="AA86" s="47">
        <v>0.5</v>
      </c>
      <c r="AB86" s="25">
        <v>1.0</v>
      </c>
      <c r="AC86" s="25">
        <v>1.0</v>
      </c>
      <c r="AD86" s="25">
        <v>1.0</v>
      </c>
      <c r="AE86" s="25">
        <v>1.0</v>
      </c>
      <c r="AF86" s="31">
        <v>1.0</v>
      </c>
      <c r="AG86" s="49">
        <v>0.5</v>
      </c>
      <c r="AH86" s="46">
        <v>0.0</v>
      </c>
      <c r="AI86" s="47">
        <v>0.5</v>
      </c>
      <c r="AJ86" s="25">
        <v>1.0</v>
      </c>
      <c r="AK86" s="25">
        <v>1.0</v>
      </c>
      <c r="AL86" s="25">
        <v>1.0</v>
      </c>
      <c r="AM86" s="31">
        <v>1.0</v>
      </c>
      <c r="AN86" s="32">
        <v>1.0</v>
      </c>
      <c r="AO86" s="25">
        <v>1.0</v>
      </c>
      <c r="AP86" s="25">
        <v>0.5</v>
      </c>
      <c r="AQ86" s="25">
        <v>0.0</v>
      </c>
      <c r="AR86" s="25">
        <v>0.0</v>
      </c>
      <c r="AS86" s="25">
        <v>0.0</v>
      </c>
      <c r="AT86" s="29">
        <f t="shared" si="8"/>
        <v>11.5</v>
      </c>
      <c r="AU86" s="29">
        <f t="array" ref="AU86">MAX(
    FREQUENCY(
      IF(F86:AS86=1, COLUMN(F86:AS86)),
      IF(F86:AS86&lt;&gt;1, COLUMN(F86:AS86))
    )
  )</f>
        <v>11</v>
      </c>
    </row>
    <row r="87">
      <c r="A87" s="7">
        <v>5811600.0</v>
      </c>
      <c r="B87" s="3" t="s">
        <v>343</v>
      </c>
      <c r="C87" s="24">
        <v>1.0</v>
      </c>
      <c r="D87" s="25">
        <f t="shared" si="1"/>
        <v>27.5</v>
      </c>
      <c r="E87" s="7" t="s">
        <v>94</v>
      </c>
      <c r="F87" s="30">
        <v>1.0</v>
      </c>
      <c r="G87" s="25">
        <v>1.0</v>
      </c>
      <c r="H87" s="25">
        <v>1.0</v>
      </c>
      <c r="I87" s="25">
        <v>1.0</v>
      </c>
      <c r="J87" s="25">
        <v>0.5</v>
      </c>
      <c r="K87" s="31">
        <v>0.0</v>
      </c>
      <c r="L87" s="32">
        <v>0.0</v>
      </c>
      <c r="M87" s="33">
        <v>0.5</v>
      </c>
      <c r="N87" s="25">
        <v>1.0</v>
      </c>
      <c r="O87" s="25">
        <v>1.0</v>
      </c>
      <c r="P87" s="25">
        <v>1.0</v>
      </c>
      <c r="Q87" s="25">
        <v>1.0</v>
      </c>
      <c r="R87" s="25">
        <v>1.0</v>
      </c>
      <c r="S87" s="32">
        <v>1.0</v>
      </c>
      <c r="T87" s="25">
        <v>1.0</v>
      </c>
      <c r="U87" s="25">
        <v>1.0</v>
      </c>
      <c r="V87" s="25">
        <v>1.0</v>
      </c>
      <c r="W87" s="25">
        <v>0.5</v>
      </c>
      <c r="X87" s="31">
        <v>0.0</v>
      </c>
      <c r="Y87" s="31">
        <v>0.0</v>
      </c>
      <c r="Z87" s="32">
        <v>0.0</v>
      </c>
      <c r="AA87" s="25">
        <v>0.0</v>
      </c>
      <c r="AB87" s="25">
        <v>0.5</v>
      </c>
      <c r="AC87" s="25">
        <v>1.0</v>
      </c>
      <c r="AD87" s="25">
        <v>1.0</v>
      </c>
      <c r="AE87" s="25">
        <v>1.0</v>
      </c>
      <c r="AF87" s="31">
        <v>1.0</v>
      </c>
      <c r="AG87" s="32">
        <v>1.0</v>
      </c>
      <c r="AH87" s="52">
        <v>0.5</v>
      </c>
      <c r="AI87" s="25">
        <v>0.0</v>
      </c>
      <c r="AJ87" s="25">
        <v>0.0</v>
      </c>
      <c r="AK87" s="145">
        <v>0.0</v>
      </c>
      <c r="AL87" s="52">
        <v>0.5</v>
      </c>
      <c r="AM87" s="31">
        <v>1.0</v>
      </c>
      <c r="AN87" s="32">
        <v>1.0</v>
      </c>
      <c r="AO87" s="25">
        <v>1.0</v>
      </c>
      <c r="AP87" s="25">
        <v>1.0</v>
      </c>
      <c r="AQ87" s="25">
        <v>1.0</v>
      </c>
      <c r="AR87" s="25">
        <v>1.0</v>
      </c>
      <c r="AS87" s="25">
        <v>0.5</v>
      </c>
      <c r="AT87" s="29">
        <f t="shared" si="8"/>
        <v>12.5</v>
      </c>
      <c r="AU87" s="29">
        <f t="array" ref="AU87">MAX(
    FREQUENCY(
      IF(F87:AS87=1, COLUMN(F87:AS87)),
      IF(F87:AS87&lt;&gt;1, COLUMN(F87:AS87))
    )
  )</f>
        <v>9</v>
      </c>
    </row>
    <row r="88">
      <c r="A88" s="7">
        <v>6370712.0</v>
      </c>
      <c r="B88" s="3" t="s">
        <v>320</v>
      </c>
      <c r="C88" s="24">
        <v>1.0</v>
      </c>
      <c r="D88" s="25">
        <f t="shared" si="1"/>
        <v>28.5</v>
      </c>
      <c r="E88" s="7" t="s">
        <v>87</v>
      </c>
      <c r="F88" s="30">
        <v>1.0</v>
      </c>
      <c r="G88" s="25">
        <v>1.0</v>
      </c>
      <c r="H88" s="25">
        <v>1.0</v>
      </c>
      <c r="I88" s="25">
        <v>1.0</v>
      </c>
      <c r="J88" s="25">
        <v>1.0</v>
      </c>
      <c r="K88" s="34">
        <v>0.5</v>
      </c>
      <c r="L88" s="36">
        <v>0.0</v>
      </c>
      <c r="M88" s="34">
        <v>0.5</v>
      </c>
      <c r="N88" s="25">
        <v>1.0</v>
      </c>
      <c r="O88" s="25">
        <v>1.0</v>
      </c>
      <c r="P88" s="25">
        <v>1.0</v>
      </c>
      <c r="Q88" s="34">
        <v>0.5</v>
      </c>
      <c r="R88" s="35">
        <v>0.0</v>
      </c>
      <c r="S88" s="36">
        <v>0.0</v>
      </c>
      <c r="T88" s="35">
        <v>0.0</v>
      </c>
      <c r="U88" s="34">
        <v>0.5</v>
      </c>
      <c r="V88" s="25">
        <v>1.0</v>
      </c>
      <c r="W88" s="25">
        <v>1.0</v>
      </c>
      <c r="X88" s="25">
        <v>1.0</v>
      </c>
      <c r="Y88" s="31">
        <v>1.0</v>
      </c>
      <c r="Z88" s="32">
        <v>1.0</v>
      </c>
      <c r="AA88" s="25">
        <v>1.0</v>
      </c>
      <c r="AB88" s="25">
        <v>1.0</v>
      </c>
      <c r="AC88" s="25">
        <v>1.0</v>
      </c>
      <c r="AD88" s="34">
        <v>0.5</v>
      </c>
      <c r="AE88" s="51">
        <v>0.0</v>
      </c>
      <c r="AF88" s="35">
        <v>0.0</v>
      </c>
      <c r="AG88" s="36">
        <v>0.0</v>
      </c>
      <c r="AH88" s="35">
        <v>0.0</v>
      </c>
      <c r="AI88" s="34">
        <v>0.5</v>
      </c>
      <c r="AJ88" s="25">
        <v>1.0</v>
      </c>
      <c r="AK88" s="25">
        <v>1.0</v>
      </c>
      <c r="AL88" s="25">
        <v>1.0</v>
      </c>
      <c r="AM88" s="31">
        <v>1.0</v>
      </c>
      <c r="AN88" s="32">
        <v>1.0</v>
      </c>
      <c r="AO88" s="25">
        <v>1.0</v>
      </c>
      <c r="AP88" s="25">
        <v>1.0</v>
      </c>
      <c r="AQ88" s="25">
        <v>1.0</v>
      </c>
      <c r="AR88" s="25">
        <v>1.0</v>
      </c>
      <c r="AS88" s="25">
        <v>0.5</v>
      </c>
      <c r="AT88" s="29">
        <f t="shared" si="8"/>
        <v>11.5</v>
      </c>
      <c r="AU88" s="29">
        <f t="array" ref="AU88">MAX(
    FREQUENCY(
      IF(F88:AS88=1, COLUMN(F88:AS88)),
      IF(F88:AS88&lt;&gt;1, COLUMN(F88:AS88))
    )
  )</f>
        <v>9</v>
      </c>
    </row>
    <row r="89">
      <c r="A89" s="3"/>
      <c r="B89" s="3" t="s">
        <v>557</v>
      </c>
      <c r="C89" s="10" t="s">
        <v>549</v>
      </c>
      <c r="D89" s="25">
        <f t="shared" si="1"/>
        <v>0</v>
      </c>
      <c r="E89" s="7" t="s">
        <v>550</v>
      </c>
      <c r="F89" s="30" t="s">
        <v>142</v>
      </c>
      <c r="G89" s="30" t="s">
        <v>142</v>
      </c>
      <c r="H89" s="30" t="s">
        <v>142</v>
      </c>
      <c r="I89" s="30" t="s">
        <v>142</v>
      </c>
      <c r="J89" s="30" t="s">
        <v>142</v>
      </c>
      <c r="K89" s="30" t="s">
        <v>142</v>
      </c>
      <c r="L89" s="30" t="s">
        <v>142</v>
      </c>
      <c r="M89" s="30" t="s">
        <v>142</v>
      </c>
      <c r="N89" s="30" t="s">
        <v>142</v>
      </c>
      <c r="O89" s="30" t="s">
        <v>142</v>
      </c>
      <c r="P89" s="30" t="s">
        <v>142</v>
      </c>
      <c r="Q89" s="30" t="s">
        <v>142</v>
      </c>
      <c r="R89" s="30" t="s">
        <v>142</v>
      </c>
      <c r="S89" s="30" t="s">
        <v>142</v>
      </c>
      <c r="T89" s="30" t="s">
        <v>142</v>
      </c>
      <c r="U89" s="30" t="s">
        <v>142</v>
      </c>
      <c r="V89" s="30" t="s">
        <v>142</v>
      </c>
      <c r="W89" s="30" t="s">
        <v>142</v>
      </c>
      <c r="X89" s="30" t="s">
        <v>142</v>
      </c>
      <c r="Y89" s="30" t="s">
        <v>142</v>
      </c>
      <c r="Z89" s="30" t="s">
        <v>142</v>
      </c>
      <c r="AA89" s="30" t="s">
        <v>142</v>
      </c>
      <c r="AB89" s="30" t="s">
        <v>142</v>
      </c>
      <c r="AC89" s="30" t="s">
        <v>142</v>
      </c>
      <c r="AD89" s="30" t="s">
        <v>142</v>
      </c>
      <c r="AE89" s="30" t="s">
        <v>142</v>
      </c>
      <c r="AF89" s="30" t="s">
        <v>142</v>
      </c>
      <c r="AG89" s="30" t="s">
        <v>142</v>
      </c>
      <c r="AH89" s="30" t="s">
        <v>142</v>
      </c>
      <c r="AI89" s="30" t="s">
        <v>142</v>
      </c>
      <c r="AJ89" s="30" t="s">
        <v>142</v>
      </c>
      <c r="AK89" s="30" t="s">
        <v>142</v>
      </c>
      <c r="AL89" s="30" t="s">
        <v>142</v>
      </c>
      <c r="AM89" s="30" t="s">
        <v>142</v>
      </c>
      <c r="AN89" s="30" t="s">
        <v>142</v>
      </c>
      <c r="AO89" s="30" t="s">
        <v>142</v>
      </c>
      <c r="AP89" s="30" t="s">
        <v>142</v>
      </c>
      <c r="AQ89" s="30" t="s">
        <v>142</v>
      </c>
      <c r="AR89" s="30" t="s">
        <v>142</v>
      </c>
      <c r="AS89" s="30" t="s">
        <v>142</v>
      </c>
      <c r="AT89" s="29">
        <f t="shared" si="8"/>
        <v>40</v>
      </c>
    </row>
    <row r="90">
      <c r="A90" s="3"/>
      <c r="B90" s="3" t="s">
        <v>558</v>
      </c>
      <c r="C90" s="10" t="s">
        <v>549</v>
      </c>
      <c r="D90" s="25">
        <f t="shared" si="1"/>
        <v>0</v>
      </c>
      <c r="E90" s="7" t="s">
        <v>550</v>
      </c>
      <c r="F90" s="30" t="s">
        <v>142</v>
      </c>
      <c r="G90" s="30" t="s">
        <v>142</v>
      </c>
      <c r="H90" s="30" t="s">
        <v>142</v>
      </c>
      <c r="I90" s="30" t="s">
        <v>142</v>
      </c>
      <c r="J90" s="30" t="s">
        <v>142</v>
      </c>
      <c r="K90" s="30" t="s">
        <v>142</v>
      </c>
      <c r="L90" s="30" t="s">
        <v>142</v>
      </c>
      <c r="M90" s="30" t="s">
        <v>142</v>
      </c>
      <c r="N90" s="30" t="s">
        <v>142</v>
      </c>
      <c r="O90" s="30" t="s">
        <v>142</v>
      </c>
      <c r="P90" s="30" t="s">
        <v>142</v>
      </c>
      <c r="Q90" s="30" t="s">
        <v>142</v>
      </c>
      <c r="R90" s="30" t="s">
        <v>142</v>
      </c>
      <c r="S90" s="30" t="s">
        <v>142</v>
      </c>
      <c r="T90" s="30" t="s">
        <v>142</v>
      </c>
      <c r="U90" s="30" t="s">
        <v>142</v>
      </c>
      <c r="V90" s="30" t="s">
        <v>142</v>
      </c>
      <c r="W90" s="30" t="s">
        <v>142</v>
      </c>
      <c r="X90" s="30" t="s">
        <v>142</v>
      </c>
      <c r="Y90" s="30" t="s">
        <v>142</v>
      </c>
      <c r="Z90" s="30" t="s">
        <v>142</v>
      </c>
      <c r="AA90" s="30" t="s">
        <v>142</v>
      </c>
      <c r="AB90" s="30" t="s">
        <v>142</v>
      </c>
      <c r="AC90" s="30" t="s">
        <v>142</v>
      </c>
      <c r="AD90" s="30" t="s">
        <v>142</v>
      </c>
      <c r="AE90" s="30" t="s">
        <v>142</v>
      </c>
      <c r="AF90" s="30" t="s">
        <v>142</v>
      </c>
      <c r="AG90" s="30" t="s">
        <v>142</v>
      </c>
      <c r="AH90" s="30" t="s">
        <v>142</v>
      </c>
      <c r="AI90" s="30" t="s">
        <v>142</v>
      </c>
      <c r="AJ90" s="30" t="s">
        <v>142</v>
      </c>
      <c r="AK90" s="30" t="s">
        <v>142</v>
      </c>
      <c r="AL90" s="30" t="s">
        <v>142</v>
      </c>
      <c r="AM90" s="30" t="s">
        <v>142</v>
      </c>
      <c r="AN90" s="30" t="s">
        <v>142</v>
      </c>
      <c r="AO90" s="30" t="s">
        <v>142</v>
      </c>
      <c r="AP90" s="30" t="s">
        <v>142</v>
      </c>
      <c r="AQ90" s="30" t="s">
        <v>142</v>
      </c>
      <c r="AR90" s="30" t="s">
        <v>142</v>
      </c>
      <c r="AS90" s="30" t="s">
        <v>142</v>
      </c>
      <c r="AT90" s="29">
        <f t="shared" si="8"/>
        <v>40</v>
      </c>
    </row>
    <row r="91">
      <c r="A91" s="3"/>
      <c r="C91" s="24"/>
      <c r="D91" s="29"/>
      <c r="E91" s="7"/>
      <c r="F91" s="128"/>
      <c r="G91" s="29"/>
      <c r="H91" s="29"/>
      <c r="I91" s="29"/>
      <c r="J91" s="29"/>
      <c r="K91" s="146"/>
      <c r="L91" s="147"/>
      <c r="M91" s="29"/>
      <c r="N91" s="29"/>
      <c r="O91" s="29"/>
      <c r="P91" s="29"/>
      <c r="Q91" s="29"/>
      <c r="R91" s="146"/>
      <c r="S91" s="147"/>
      <c r="T91" s="29"/>
      <c r="U91" s="29"/>
      <c r="V91" s="29"/>
      <c r="W91" s="29"/>
      <c r="X91" s="29"/>
      <c r="Y91" s="146"/>
      <c r="Z91" s="147"/>
      <c r="AA91" s="29"/>
      <c r="AB91" s="29"/>
      <c r="AC91" s="29"/>
      <c r="AD91" s="29"/>
      <c r="AE91" s="29"/>
      <c r="AF91" s="146"/>
      <c r="AG91" s="147"/>
      <c r="AH91" s="29"/>
      <c r="AI91" s="29"/>
      <c r="AJ91" s="29"/>
      <c r="AK91" s="29"/>
      <c r="AL91" s="29"/>
      <c r="AM91" s="146"/>
      <c r="AN91" s="147"/>
      <c r="AO91" s="29"/>
      <c r="AP91" s="29"/>
      <c r="AQ91" s="29"/>
      <c r="AR91" s="29"/>
      <c r="AS91" s="29"/>
    </row>
    <row r="92">
      <c r="A92" s="3" t="s">
        <v>96</v>
      </c>
      <c r="C92" s="3" t="s">
        <v>559</v>
      </c>
      <c r="D92" s="7">
        <v>30.0</v>
      </c>
      <c r="E92" s="7" t="s">
        <v>94</v>
      </c>
      <c r="F92" s="128"/>
      <c r="G92" s="29">
        <f t="shared" ref="G92:AS92" si="9">COUNTIFS(G1:G90, "=1", $E1:$E90, "=Sol") + COUNTIFS(G1:G90, "=0.5", F1:F90, "=0", $E1:$E90, "=Sol") + COUNTIFS(G1:G90, "=0.5", F1:F90, "=0.5", $E1:$E90, "=Sol")</f>
        <v>45</v>
      </c>
      <c r="H92" s="29">
        <f t="shared" si="9"/>
        <v>44</v>
      </c>
      <c r="I92" s="29">
        <f t="shared" si="9"/>
        <v>42</v>
      </c>
      <c r="J92" s="29">
        <f t="shared" si="9"/>
        <v>31</v>
      </c>
      <c r="K92" s="29">
        <f t="shared" si="9"/>
        <v>29</v>
      </c>
      <c r="L92" s="29">
        <f t="shared" si="9"/>
        <v>28</v>
      </c>
      <c r="M92" s="29">
        <f t="shared" si="9"/>
        <v>29</v>
      </c>
      <c r="N92" s="29">
        <f t="shared" si="9"/>
        <v>29</v>
      </c>
      <c r="O92" s="29">
        <f t="shared" si="9"/>
        <v>28</v>
      </c>
      <c r="P92" s="29">
        <f t="shared" si="9"/>
        <v>29</v>
      </c>
      <c r="Q92" s="29">
        <f t="shared" si="9"/>
        <v>31</v>
      </c>
      <c r="R92" s="29">
        <f t="shared" si="9"/>
        <v>33</v>
      </c>
      <c r="S92" s="29">
        <f t="shared" si="9"/>
        <v>30</v>
      </c>
      <c r="T92" s="29">
        <f t="shared" si="9"/>
        <v>32</v>
      </c>
      <c r="U92" s="29">
        <f t="shared" si="9"/>
        <v>35</v>
      </c>
      <c r="V92" s="29">
        <f t="shared" si="9"/>
        <v>33</v>
      </c>
      <c r="W92" s="29">
        <f t="shared" si="9"/>
        <v>28</v>
      </c>
      <c r="X92" s="29">
        <f t="shared" si="9"/>
        <v>28</v>
      </c>
      <c r="Y92" s="29">
        <f t="shared" si="9"/>
        <v>28</v>
      </c>
      <c r="Z92" s="29">
        <f t="shared" si="9"/>
        <v>26</v>
      </c>
      <c r="AA92" s="29">
        <f t="shared" si="9"/>
        <v>26</v>
      </c>
      <c r="AB92" s="29">
        <f t="shared" si="9"/>
        <v>31</v>
      </c>
      <c r="AC92" s="29">
        <f t="shared" si="9"/>
        <v>26</v>
      </c>
      <c r="AD92" s="29">
        <f t="shared" si="9"/>
        <v>27</v>
      </c>
      <c r="AE92" s="29">
        <f t="shared" si="9"/>
        <v>30</v>
      </c>
      <c r="AF92" s="29">
        <f t="shared" si="9"/>
        <v>32</v>
      </c>
      <c r="AG92" s="29">
        <f t="shared" si="9"/>
        <v>28</v>
      </c>
      <c r="AH92" s="29">
        <f t="shared" si="9"/>
        <v>26</v>
      </c>
      <c r="AI92" s="29">
        <f t="shared" si="9"/>
        <v>26</v>
      </c>
      <c r="AJ92" s="29">
        <f t="shared" si="9"/>
        <v>26</v>
      </c>
      <c r="AK92" s="29">
        <f t="shared" si="9"/>
        <v>27</v>
      </c>
      <c r="AL92" s="29">
        <f t="shared" si="9"/>
        <v>28</v>
      </c>
      <c r="AM92" s="29">
        <f t="shared" si="9"/>
        <v>30</v>
      </c>
      <c r="AN92" s="29">
        <f t="shared" si="9"/>
        <v>28</v>
      </c>
      <c r="AO92" s="29">
        <f t="shared" si="9"/>
        <v>26</v>
      </c>
      <c r="AP92" s="29">
        <f t="shared" si="9"/>
        <v>30</v>
      </c>
      <c r="AQ92" s="29">
        <f t="shared" si="9"/>
        <v>28</v>
      </c>
      <c r="AR92" s="29">
        <f t="shared" si="9"/>
        <v>24</v>
      </c>
      <c r="AS92" s="29">
        <f t="shared" si="9"/>
        <v>2</v>
      </c>
    </row>
    <row r="93">
      <c r="A93" s="3" t="s">
        <v>97</v>
      </c>
      <c r="C93" s="3" t="s">
        <v>559</v>
      </c>
      <c r="D93" s="7">
        <v>6.0</v>
      </c>
      <c r="E93" s="7" t="s">
        <v>560</v>
      </c>
      <c r="F93" s="136"/>
      <c r="G93" s="29">
        <f t="shared" ref="G93:AS93" si="10">COUNTIFS(G1:G90, "=1", $E1:$E90, "=Com1") + COUNTIFS(G1:G90, "=0.5", F1:F90, "=0", $E1:$E90, "=Com1") + COUNTIFS(G1:G90, "=1", $E1:$E90, "=Com2") + COUNTIFS(G1:G90, "=0.5", F1:F90, "=0", $E1:$E90, "=Com2")</f>
        <v>12</v>
      </c>
      <c r="H93" s="29">
        <f t="shared" si="10"/>
        <v>12</v>
      </c>
      <c r="I93" s="29">
        <f t="shared" si="10"/>
        <v>11</v>
      </c>
      <c r="J93" s="29">
        <f t="shared" si="10"/>
        <v>8</v>
      </c>
      <c r="K93" s="29">
        <f t="shared" si="10"/>
        <v>7</v>
      </c>
      <c r="L93" s="147">
        <f t="shared" si="10"/>
        <v>7</v>
      </c>
      <c r="M93" s="29">
        <f t="shared" si="10"/>
        <v>7</v>
      </c>
      <c r="N93" s="29">
        <f t="shared" si="10"/>
        <v>7</v>
      </c>
      <c r="O93" s="29">
        <f t="shared" si="10"/>
        <v>8</v>
      </c>
      <c r="P93" s="29">
        <f t="shared" si="10"/>
        <v>7</v>
      </c>
      <c r="Q93" s="29">
        <f t="shared" si="10"/>
        <v>8</v>
      </c>
      <c r="R93" s="29">
        <f t="shared" si="10"/>
        <v>7</v>
      </c>
      <c r="S93" s="147">
        <f t="shared" si="10"/>
        <v>7</v>
      </c>
      <c r="T93" s="29">
        <f t="shared" si="10"/>
        <v>7</v>
      </c>
      <c r="U93" s="29">
        <f t="shared" si="10"/>
        <v>7</v>
      </c>
      <c r="V93" s="29">
        <f t="shared" si="10"/>
        <v>7</v>
      </c>
      <c r="W93" s="29">
        <f t="shared" si="10"/>
        <v>7</v>
      </c>
      <c r="X93" s="29">
        <f t="shared" si="10"/>
        <v>7</v>
      </c>
      <c r="Y93" s="29">
        <f t="shared" si="10"/>
        <v>7</v>
      </c>
      <c r="Z93" s="147">
        <f t="shared" si="10"/>
        <v>7</v>
      </c>
      <c r="AA93" s="29">
        <f t="shared" si="10"/>
        <v>7</v>
      </c>
      <c r="AB93" s="29">
        <f t="shared" si="10"/>
        <v>8</v>
      </c>
      <c r="AC93" s="29">
        <f t="shared" si="10"/>
        <v>8</v>
      </c>
      <c r="AD93" s="29">
        <f t="shared" si="10"/>
        <v>7</v>
      </c>
      <c r="AE93" s="29">
        <f t="shared" si="10"/>
        <v>7</v>
      </c>
      <c r="AF93" s="29">
        <f t="shared" si="10"/>
        <v>7</v>
      </c>
      <c r="AG93" s="147">
        <f t="shared" si="10"/>
        <v>7</v>
      </c>
      <c r="AH93" s="29">
        <f t="shared" si="10"/>
        <v>7</v>
      </c>
      <c r="AI93" s="29">
        <f t="shared" si="10"/>
        <v>7</v>
      </c>
      <c r="AJ93" s="29">
        <f t="shared" si="10"/>
        <v>6</v>
      </c>
      <c r="AK93" s="29">
        <f t="shared" si="10"/>
        <v>7</v>
      </c>
      <c r="AL93" s="29">
        <f t="shared" si="10"/>
        <v>6</v>
      </c>
      <c r="AM93" s="29">
        <f t="shared" si="10"/>
        <v>7</v>
      </c>
      <c r="AN93" s="147">
        <f t="shared" si="10"/>
        <v>7</v>
      </c>
      <c r="AO93" s="29">
        <f t="shared" si="10"/>
        <v>6</v>
      </c>
      <c r="AP93" s="29">
        <f t="shared" si="10"/>
        <v>8</v>
      </c>
      <c r="AQ93" s="29">
        <f t="shared" si="10"/>
        <v>7</v>
      </c>
      <c r="AR93" s="29">
        <f t="shared" si="10"/>
        <v>6</v>
      </c>
      <c r="AS93" s="29">
        <f t="shared" si="10"/>
        <v>0</v>
      </c>
    </row>
    <row r="94">
      <c r="A94" s="3" t="s">
        <v>98</v>
      </c>
      <c r="C94" s="3" t="s">
        <v>559</v>
      </c>
      <c r="D94" s="24">
        <v>3.0</v>
      </c>
      <c r="E94" s="7" t="s">
        <v>146</v>
      </c>
      <c r="F94" s="128"/>
      <c r="G94" s="29">
        <f t="shared" ref="G94:AS94" si="11">COUNTIFS(G2:G90, "=1", $E2:$E90, "=HM") + COUNTIFS(G2:G90, "=0.5", F2:F90, "=0", $E2:$E90, "=HM") + COUNTIFS(G2:G90, "=0.5", F2:F90, "=0.5", $E2:$E90, "=HM")</f>
        <v>4</v>
      </c>
      <c r="H94" s="29">
        <f t="shared" si="11"/>
        <v>5</v>
      </c>
      <c r="I94" s="29">
        <f t="shared" si="11"/>
        <v>5</v>
      </c>
      <c r="J94" s="29">
        <f t="shared" si="11"/>
        <v>3</v>
      </c>
      <c r="K94" s="29">
        <f t="shared" si="11"/>
        <v>3</v>
      </c>
      <c r="L94" s="147">
        <f t="shared" si="11"/>
        <v>3</v>
      </c>
      <c r="M94" s="29">
        <f t="shared" si="11"/>
        <v>4</v>
      </c>
      <c r="N94" s="29">
        <f t="shared" si="11"/>
        <v>4</v>
      </c>
      <c r="O94" s="29">
        <f t="shared" si="11"/>
        <v>3</v>
      </c>
      <c r="P94" s="29">
        <f t="shared" si="11"/>
        <v>4</v>
      </c>
      <c r="Q94" s="29">
        <f t="shared" si="11"/>
        <v>3</v>
      </c>
      <c r="R94" s="29">
        <f t="shared" si="11"/>
        <v>2</v>
      </c>
      <c r="S94" s="147">
        <f t="shared" si="11"/>
        <v>2</v>
      </c>
      <c r="T94" s="29">
        <f t="shared" si="11"/>
        <v>4</v>
      </c>
      <c r="U94" s="29">
        <f t="shared" si="11"/>
        <v>4</v>
      </c>
      <c r="V94" s="29">
        <f t="shared" si="11"/>
        <v>4</v>
      </c>
      <c r="W94" s="29">
        <f t="shared" si="11"/>
        <v>3</v>
      </c>
      <c r="X94" s="29">
        <f t="shared" si="11"/>
        <v>3</v>
      </c>
      <c r="Y94" s="29">
        <f t="shared" si="11"/>
        <v>3</v>
      </c>
      <c r="Z94" s="147">
        <f t="shared" si="11"/>
        <v>4</v>
      </c>
      <c r="AA94" s="29">
        <f t="shared" si="11"/>
        <v>4</v>
      </c>
      <c r="AB94" s="29">
        <f t="shared" si="11"/>
        <v>4</v>
      </c>
      <c r="AC94" s="29">
        <f t="shared" si="11"/>
        <v>2</v>
      </c>
      <c r="AD94" s="29">
        <f t="shared" si="11"/>
        <v>2</v>
      </c>
      <c r="AE94" s="29">
        <f t="shared" si="11"/>
        <v>2</v>
      </c>
      <c r="AF94" s="29">
        <f t="shared" si="11"/>
        <v>1</v>
      </c>
      <c r="AG94" s="147">
        <f t="shared" si="11"/>
        <v>2</v>
      </c>
      <c r="AH94" s="29">
        <f t="shared" si="11"/>
        <v>4</v>
      </c>
      <c r="AI94" s="29">
        <f t="shared" si="11"/>
        <v>3</v>
      </c>
      <c r="AJ94" s="29">
        <f t="shared" si="11"/>
        <v>3</v>
      </c>
      <c r="AK94" s="29">
        <f t="shared" si="11"/>
        <v>3</v>
      </c>
      <c r="AL94" s="29">
        <f t="shared" si="11"/>
        <v>3</v>
      </c>
      <c r="AM94" s="29">
        <f t="shared" si="11"/>
        <v>4</v>
      </c>
      <c r="AN94" s="147">
        <f t="shared" si="11"/>
        <v>4</v>
      </c>
      <c r="AO94" s="29">
        <f t="shared" si="11"/>
        <v>4</v>
      </c>
      <c r="AP94" s="29">
        <f t="shared" si="11"/>
        <v>3</v>
      </c>
      <c r="AQ94" s="29">
        <f t="shared" si="11"/>
        <v>2</v>
      </c>
      <c r="AR94" s="29">
        <f t="shared" si="11"/>
        <v>2</v>
      </c>
      <c r="AS94" s="29">
        <f t="shared" si="11"/>
        <v>0</v>
      </c>
    </row>
    <row r="95">
      <c r="A95" s="3" t="s">
        <v>99</v>
      </c>
      <c r="C95" s="3" t="s">
        <v>559</v>
      </c>
      <c r="D95" s="24">
        <v>3.0</v>
      </c>
      <c r="E95" s="7" t="s">
        <v>112</v>
      </c>
      <c r="F95" s="128"/>
      <c r="G95" s="29">
        <f t="shared" ref="G95:AA95" si="12">COUNTIFS(G1:G90, "=1", $E1:$E90, "=HPK") + COUNTIFS(G1:G90, "=0.5", F1:F90, "=0", $E1:$E90, "=HPK") + + COUNTIFS(G1:G90, "=0.5", F1:F90, "=0.5", $E1:$E90, "=HPK")</f>
        <v>4</v>
      </c>
      <c r="H95" s="29">
        <f t="shared" si="12"/>
        <v>4</v>
      </c>
      <c r="I95" s="29">
        <f t="shared" si="12"/>
        <v>4</v>
      </c>
      <c r="J95" s="29">
        <f t="shared" si="12"/>
        <v>3</v>
      </c>
      <c r="K95" s="29">
        <f t="shared" si="12"/>
        <v>3</v>
      </c>
      <c r="L95" s="147">
        <f t="shared" si="12"/>
        <v>3</v>
      </c>
      <c r="M95" s="29">
        <f t="shared" si="12"/>
        <v>3</v>
      </c>
      <c r="N95" s="29">
        <f t="shared" si="12"/>
        <v>3</v>
      </c>
      <c r="O95" s="29">
        <f t="shared" si="12"/>
        <v>3</v>
      </c>
      <c r="P95" s="29">
        <f t="shared" si="12"/>
        <v>2</v>
      </c>
      <c r="Q95" s="29">
        <f t="shared" si="12"/>
        <v>2</v>
      </c>
      <c r="R95" s="29">
        <f t="shared" si="12"/>
        <v>3</v>
      </c>
      <c r="S95" s="29">
        <f t="shared" si="12"/>
        <v>3</v>
      </c>
      <c r="T95" s="29">
        <f t="shared" si="12"/>
        <v>3</v>
      </c>
      <c r="U95" s="29">
        <f t="shared" si="12"/>
        <v>3</v>
      </c>
      <c r="V95" s="29">
        <f t="shared" si="12"/>
        <v>3</v>
      </c>
      <c r="W95" s="29">
        <f t="shared" si="12"/>
        <v>3</v>
      </c>
      <c r="X95" s="29">
        <f t="shared" si="12"/>
        <v>3</v>
      </c>
      <c r="Y95" s="29">
        <f t="shared" si="12"/>
        <v>3</v>
      </c>
      <c r="Z95" s="29">
        <f t="shared" si="12"/>
        <v>3</v>
      </c>
      <c r="AA95" s="29">
        <f t="shared" si="12"/>
        <v>3</v>
      </c>
      <c r="AB95" s="29">
        <f>COUNTIFS(AB1:AB90, "=1", $E1:$E90, "=HPK") + COUNTIFS(AB1:AB90, "=0.5", AA1:AA90, "&lt;1", $E1:$E90, "=HPK") </f>
        <v>1</v>
      </c>
      <c r="AC95" s="29">
        <f t="shared" ref="AC95:AS95" si="13">COUNTIFS(AC1:AC90, "=1", $E1:$E90, "=HPK") + COUNTIFS(AC1:AC90, "=0.5", AB1:AB90, "=0", $E1:$E90, "=HPK") + + COUNTIFS(AC1:AC90, "=0.5", AB1:AB90, "=0.5", $E1:$E90, "=HPK")</f>
        <v>2</v>
      </c>
      <c r="AD95" s="29">
        <f t="shared" si="13"/>
        <v>2</v>
      </c>
      <c r="AE95" s="29">
        <f t="shared" si="13"/>
        <v>3</v>
      </c>
      <c r="AF95" s="29">
        <f t="shared" si="13"/>
        <v>3</v>
      </c>
      <c r="AG95" s="147">
        <f t="shared" si="13"/>
        <v>4</v>
      </c>
      <c r="AH95" s="29">
        <f t="shared" si="13"/>
        <v>3</v>
      </c>
      <c r="AI95" s="29">
        <f t="shared" si="13"/>
        <v>2</v>
      </c>
      <c r="AJ95" s="29">
        <f t="shared" si="13"/>
        <v>2</v>
      </c>
      <c r="AK95" s="29">
        <f t="shared" si="13"/>
        <v>2</v>
      </c>
      <c r="AL95" s="29">
        <f t="shared" si="13"/>
        <v>1</v>
      </c>
      <c r="AM95" s="29">
        <f t="shared" si="13"/>
        <v>1</v>
      </c>
      <c r="AN95" s="147">
        <f t="shared" si="13"/>
        <v>2</v>
      </c>
      <c r="AO95" s="29">
        <f t="shared" si="13"/>
        <v>3</v>
      </c>
      <c r="AP95" s="29">
        <f t="shared" si="13"/>
        <v>3</v>
      </c>
      <c r="AQ95" s="29">
        <f t="shared" si="13"/>
        <v>2</v>
      </c>
      <c r="AR95" s="29">
        <f t="shared" si="13"/>
        <v>2</v>
      </c>
      <c r="AS95" s="29">
        <f t="shared" si="13"/>
        <v>0</v>
      </c>
    </row>
    <row r="96">
      <c r="A96" s="3" t="s">
        <v>100</v>
      </c>
      <c r="C96" s="3" t="s">
        <v>559</v>
      </c>
      <c r="D96" s="24">
        <v>2.0</v>
      </c>
      <c r="E96" s="7" t="s">
        <v>188</v>
      </c>
      <c r="F96" s="128"/>
      <c r="G96" s="29">
        <f t="shared" ref="G96:U96" si="14">COUNTIFS(G3:G93, "=1", $E3:$E93, "=RSP") + COUNTIFS(G3:G93, "=0.5", F3:F93, "=0", $E3:$E93, "=RSP") + + COUNTIFS(G3:G93, "=0.5", F3:F93, "=0.5", $E3:$E93, "=RSP")</f>
        <v>4</v>
      </c>
      <c r="H96" s="29">
        <f t="shared" si="14"/>
        <v>4</v>
      </c>
      <c r="I96" s="29">
        <f t="shared" si="14"/>
        <v>4</v>
      </c>
      <c r="J96" s="29">
        <f t="shared" si="14"/>
        <v>2</v>
      </c>
      <c r="K96" s="29">
        <f t="shared" si="14"/>
        <v>2</v>
      </c>
      <c r="L96" s="147">
        <f t="shared" si="14"/>
        <v>2</v>
      </c>
      <c r="M96" s="29">
        <f t="shared" si="14"/>
        <v>3</v>
      </c>
      <c r="N96" s="29">
        <f t="shared" si="14"/>
        <v>3</v>
      </c>
      <c r="O96" s="29">
        <f t="shared" si="14"/>
        <v>2</v>
      </c>
      <c r="P96" s="29">
        <f t="shared" si="14"/>
        <v>2</v>
      </c>
      <c r="Q96" s="29">
        <f t="shared" si="14"/>
        <v>2</v>
      </c>
      <c r="R96" s="29">
        <f t="shared" si="14"/>
        <v>2</v>
      </c>
      <c r="S96" s="147">
        <f t="shared" si="14"/>
        <v>2</v>
      </c>
      <c r="T96" s="29">
        <f t="shared" si="14"/>
        <v>3</v>
      </c>
      <c r="U96" s="29">
        <f t="shared" si="14"/>
        <v>3</v>
      </c>
      <c r="V96" s="29">
        <f>COUNTIFS(V3:V93, "=1", $E3:$E93, "=RSP") + COUNTIFS(V3:V93, "=0.5", U3:U93, "=0", $E3:$E93, "=RSP") + COUNTIFS(V3:V93, "=0.5", U3:U93, "=0.5", $E3:$E93, "=RSP")</f>
        <v>3</v>
      </c>
      <c r="W96" s="29">
        <f t="shared" ref="W96:AS96" si="15">COUNTIFS(W3:W93, "=1", $E3:$E93, "=RSP") + COUNTIFS(W3:W93, "=0.5", V3:V93, "=0", $E3:$E93, "=RSP") + + COUNTIFS(W3:W93, "=0.5", V3:V93, "=0.5", $E3:$E93, "=RSP")</f>
        <v>3</v>
      </c>
      <c r="X96" s="29">
        <f t="shared" si="15"/>
        <v>3</v>
      </c>
      <c r="Y96" s="29">
        <f t="shared" si="15"/>
        <v>3</v>
      </c>
      <c r="Z96" s="147">
        <f t="shared" si="15"/>
        <v>3</v>
      </c>
      <c r="AA96" s="29">
        <f t="shared" si="15"/>
        <v>3</v>
      </c>
      <c r="AB96" s="29">
        <f t="shared" si="15"/>
        <v>3</v>
      </c>
      <c r="AC96" s="29">
        <f t="shared" si="15"/>
        <v>4</v>
      </c>
      <c r="AD96" s="29">
        <f t="shared" si="15"/>
        <v>3</v>
      </c>
      <c r="AE96" s="29">
        <f t="shared" si="15"/>
        <v>2</v>
      </c>
      <c r="AF96" s="29">
        <f t="shared" si="15"/>
        <v>2</v>
      </c>
      <c r="AG96" s="147">
        <f t="shared" si="15"/>
        <v>2</v>
      </c>
      <c r="AH96" s="29">
        <f t="shared" si="15"/>
        <v>2</v>
      </c>
      <c r="AI96" s="29">
        <f t="shared" si="15"/>
        <v>2</v>
      </c>
      <c r="AJ96" s="29">
        <f t="shared" si="15"/>
        <v>3</v>
      </c>
      <c r="AK96" s="29">
        <f t="shared" si="15"/>
        <v>3</v>
      </c>
      <c r="AL96" s="29">
        <f t="shared" si="15"/>
        <v>3</v>
      </c>
      <c r="AM96" s="29">
        <f t="shared" si="15"/>
        <v>3</v>
      </c>
      <c r="AN96" s="147">
        <f t="shared" si="15"/>
        <v>3</v>
      </c>
      <c r="AO96" s="29">
        <f t="shared" si="15"/>
        <v>3</v>
      </c>
      <c r="AP96" s="29">
        <f t="shared" si="15"/>
        <v>3</v>
      </c>
      <c r="AQ96" s="29">
        <f t="shared" si="15"/>
        <v>4</v>
      </c>
      <c r="AR96" s="29">
        <f t="shared" si="15"/>
        <v>3</v>
      </c>
      <c r="AS96" s="29">
        <f t="shared" si="15"/>
        <v>0</v>
      </c>
    </row>
    <row r="97">
      <c r="A97" s="3" t="s">
        <v>101</v>
      </c>
      <c r="C97" s="3" t="s">
        <v>559</v>
      </c>
      <c r="D97" s="24">
        <v>1.0</v>
      </c>
      <c r="E97" s="7" t="s">
        <v>561</v>
      </c>
      <c r="F97" s="128"/>
      <c r="G97" s="29">
        <f t="shared" ref="G97:AS97" si="16">COUNTIFS(G1:G93, "=1", $E1:$E93, "=Off1") + COUNTIFS(G1:G93, "=0.5", F1:F93, "=0", $E1:$E93, "=Off1") + COUNTIFS(G1:G93, "=0.5", F1:F93, "=0.5", $E1:$E93, "=Off1")</f>
        <v>4</v>
      </c>
      <c r="H97" s="29">
        <f t="shared" si="16"/>
        <v>4</v>
      </c>
      <c r="I97" s="29">
        <f t="shared" si="16"/>
        <v>4</v>
      </c>
      <c r="J97" s="29">
        <f t="shared" si="16"/>
        <v>3</v>
      </c>
      <c r="K97" s="29">
        <f t="shared" si="16"/>
        <v>3</v>
      </c>
      <c r="L97" s="29">
        <f t="shared" si="16"/>
        <v>2</v>
      </c>
      <c r="M97" s="29">
        <f t="shared" si="16"/>
        <v>2</v>
      </c>
      <c r="N97" s="29">
        <f t="shared" si="16"/>
        <v>3</v>
      </c>
      <c r="O97" s="29">
        <f t="shared" si="16"/>
        <v>3</v>
      </c>
      <c r="P97" s="29">
        <f t="shared" si="16"/>
        <v>3</v>
      </c>
      <c r="Q97" s="29">
        <f t="shared" si="16"/>
        <v>3</v>
      </c>
      <c r="R97" s="29">
        <f t="shared" si="16"/>
        <v>2</v>
      </c>
      <c r="S97" s="29">
        <f t="shared" si="16"/>
        <v>2</v>
      </c>
      <c r="T97" s="29">
        <f t="shared" si="16"/>
        <v>1</v>
      </c>
      <c r="U97" s="29">
        <f t="shared" si="16"/>
        <v>2</v>
      </c>
      <c r="V97" s="29">
        <f t="shared" si="16"/>
        <v>2</v>
      </c>
      <c r="W97" s="29">
        <f t="shared" si="16"/>
        <v>2</v>
      </c>
      <c r="X97" s="29">
        <f t="shared" si="16"/>
        <v>2</v>
      </c>
      <c r="Y97" s="29">
        <f t="shared" si="16"/>
        <v>2</v>
      </c>
      <c r="Z97" s="29">
        <f t="shared" si="16"/>
        <v>1</v>
      </c>
      <c r="AA97" s="29">
        <f t="shared" si="16"/>
        <v>1</v>
      </c>
      <c r="AB97" s="29">
        <f t="shared" si="16"/>
        <v>3</v>
      </c>
      <c r="AC97" s="29">
        <f t="shared" si="16"/>
        <v>3</v>
      </c>
      <c r="AD97" s="29">
        <f t="shared" si="16"/>
        <v>3</v>
      </c>
      <c r="AE97" s="29">
        <f t="shared" si="16"/>
        <v>3</v>
      </c>
      <c r="AF97" s="29">
        <f t="shared" si="16"/>
        <v>3</v>
      </c>
      <c r="AG97" s="29">
        <f t="shared" si="16"/>
        <v>2</v>
      </c>
      <c r="AH97" s="29">
        <f t="shared" si="16"/>
        <v>1</v>
      </c>
      <c r="AI97" s="29">
        <f t="shared" si="16"/>
        <v>2</v>
      </c>
      <c r="AJ97" s="29">
        <f t="shared" si="16"/>
        <v>2</v>
      </c>
      <c r="AK97" s="29">
        <f t="shared" si="16"/>
        <v>2</v>
      </c>
      <c r="AL97" s="29">
        <f t="shared" si="16"/>
        <v>2</v>
      </c>
      <c r="AM97" s="29">
        <f t="shared" si="16"/>
        <v>3</v>
      </c>
      <c r="AN97" s="29">
        <f t="shared" si="16"/>
        <v>2</v>
      </c>
      <c r="AO97" s="29">
        <f t="shared" si="16"/>
        <v>3</v>
      </c>
      <c r="AP97" s="29">
        <f t="shared" si="16"/>
        <v>4</v>
      </c>
      <c r="AQ97" s="29">
        <f t="shared" si="16"/>
        <v>4</v>
      </c>
      <c r="AR97" s="29">
        <f t="shared" si="16"/>
        <v>4</v>
      </c>
      <c r="AS97" s="29">
        <f t="shared" si="16"/>
        <v>0</v>
      </c>
    </row>
    <row r="98">
      <c r="A98" s="3" t="s">
        <v>103</v>
      </c>
      <c r="C98" s="3" t="s">
        <v>559</v>
      </c>
      <c r="D98" s="24">
        <v>1.0</v>
      </c>
      <c r="E98" s="7" t="s">
        <v>562</v>
      </c>
      <c r="F98" s="128"/>
      <c r="G98" s="29">
        <f t="shared" ref="G98:AS98" si="17">COUNTIFS(G1:G94, "=1", $E1:$E94, "=Off2") + COUNTIFS(G1:G94, "=0.5", F1:F94, "=0", $E1:$E94, "=Off2")</f>
        <v>1</v>
      </c>
      <c r="H98" s="29">
        <f t="shared" si="17"/>
        <v>1</v>
      </c>
      <c r="I98" s="29">
        <f t="shared" si="17"/>
        <v>1</v>
      </c>
      <c r="J98" s="29">
        <f t="shared" si="17"/>
        <v>1</v>
      </c>
      <c r="K98" s="29">
        <f t="shared" si="17"/>
        <v>1</v>
      </c>
      <c r="L98" s="29">
        <f t="shared" si="17"/>
        <v>2</v>
      </c>
      <c r="M98" s="29">
        <f t="shared" si="17"/>
        <v>2</v>
      </c>
      <c r="N98" s="29">
        <f t="shared" si="17"/>
        <v>2</v>
      </c>
      <c r="O98" s="29">
        <f t="shared" si="17"/>
        <v>2</v>
      </c>
      <c r="P98" s="29">
        <f t="shared" si="17"/>
        <v>2</v>
      </c>
      <c r="Q98" s="29">
        <f t="shared" si="17"/>
        <v>1</v>
      </c>
      <c r="R98" s="29">
        <f t="shared" si="17"/>
        <v>1</v>
      </c>
      <c r="S98" s="29">
        <f t="shared" si="17"/>
        <v>2</v>
      </c>
      <c r="T98" s="29">
        <f t="shared" si="17"/>
        <v>2</v>
      </c>
      <c r="U98" s="29">
        <f t="shared" si="17"/>
        <v>2</v>
      </c>
      <c r="V98" s="29">
        <f t="shared" si="17"/>
        <v>1</v>
      </c>
      <c r="W98" s="29">
        <f t="shared" si="17"/>
        <v>1</v>
      </c>
      <c r="X98" s="29">
        <f t="shared" si="17"/>
        <v>1</v>
      </c>
      <c r="Y98" s="29">
        <f t="shared" si="17"/>
        <v>2</v>
      </c>
      <c r="Z98" s="29">
        <f t="shared" si="17"/>
        <v>1</v>
      </c>
      <c r="AA98" s="29">
        <f t="shared" si="17"/>
        <v>1</v>
      </c>
      <c r="AB98" s="29">
        <f t="shared" si="17"/>
        <v>1</v>
      </c>
      <c r="AC98" s="29">
        <f t="shared" si="17"/>
        <v>2</v>
      </c>
      <c r="AD98" s="29">
        <f t="shared" si="17"/>
        <v>1</v>
      </c>
      <c r="AE98" s="29">
        <f t="shared" si="17"/>
        <v>1</v>
      </c>
      <c r="AF98" s="29">
        <f t="shared" si="17"/>
        <v>1</v>
      </c>
      <c r="AG98" s="29">
        <f t="shared" si="17"/>
        <v>1</v>
      </c>
      <c r="AH98" s="29">
        <f t="shared" si="17"/>
        <v>2</v>
      </c>
      <c r="AI98" s="29">
        <f t="shared" si="17"/>
        <v>2</v>
      </c>
      <c r="AJ98" s="29">
        <f t="shared" si="17"/>
        <v>2</v>
      </c>
      <c r="AK98" s="29">
        <f t="shared" si="17"/>
        <v>1</v>
      </c>
      <c r="AL98" s="29">
        <f t="shared" si="17"/>
        <v>1</v>
      </c>
      <c r="AM98" s="29">
        <f t="shared" si="17"/>
        <v>1</v>
      </c>
      <c r="AN98" s="29">
        <f t="shared" si="17"/>
        <v>1</v>
      </c>
      <c r="AO98" s="29">
        <f t="shared" si="17"/>
        <v>1</v>
      </c>
      <c r="AP98" s="29">
        <f t="shared" si="17"/>
        <v>2</v>
      </c>
      <c r="AQ98" s="29">
        <f t="shared" si="17"/>
        <v>2</v>
      </c>
      <c r="AR98" s="29">
        <f t="shared" si="17"/>
        <v>2</v>
      </c>
      <c r="AS98" s="29">
        <f t="shared" si="17"/>
        <v>0</v>
      </c>
    </row>
    <row r="99">
      <c r="A99" s="3" t="s">
        <v>104</v>
      </c>
      <c r="C99" s="24"/>
      <c r="D99" s="29"/>
      <c r="E99" s="7"/>
      <c r="F99" s="128"/>
      <c r="G99" s="29">
        <f t="shared" ref="G99:AS99" si="18">G93+G97</f>
        <v>16</v>
      </c>
      <c r="H99" s="29">
        <f t="shared" si="18"/>
        <v>16</v>
      </c>
      <c r="I99" s="29">
        <f t="shared" si="18"/>
        <v>15</v>
      </c>
      <c r="J99" s="29">
        <f t="shared" si="18"/>
        <v>11</v>
      </c>
      <c r="K99" s="29">
        <f t="shared" si="18"/>
        <v>10</v>
      </c>
      <c r="L99" s="29">
        <f t="shared" si="18"/>
        <v>9</v>
      </c>
      <c r="M99" s="29">
        <f t="shared" si="18"/>
        <v>9</v>
      </c>
      <c r="N99" s="29">
        <f t="shared" si="18"/>
        <v>10</v>
      </c>
      <c r="O99" s="29">
        <f t="shared" si="18"/>
        <v>11</v>
      </c>
      <c r="P99" s="29">
        <f t="shared" si="18"/>
        <v>10</v>
      </c>
      <c r="Q99" s="29">
        <f t="shared" si="18"/>
        <v>11</v>
      </c>
      <c r="R99" s="29">
        <f t="shared" si="18"/>
        <v>9</v>
      </c>
      <c r="S99" s="29">
        <f t="shared" si="18"/>
        <v>9</v>
      </c>
      <c r="T99" s="29">
        <f t="shared" si="18"/>
        <v>8</v>
      </c>
      <c r="U99" s="29">
        <f t="shared" si="18"/>
        <v>9</v>
      </c>
      <c r="V99" s="29">
        <f t="shared" si="18"/>
        <v>9</v>
      </c>
      <c r="W99" s="29">
        <f t="shared" si="18"/>
        <v>9</v>
      </c>
      <c r="X99" s="29">
        <f t="shared" si="18"/>
        <v>9</v>
      </c>
      <c r="Y99" s="29">
        <f t="shared" si="18"/>
        <v>9</v>
      </c>
      <c r="Z99" s="29">
        <f t="shared" si="18"/>
        <v>8</v>
      </c>
      <c r="AA99" s="29">
        <f t="shared" si="18"/>
        <v>8</v>
      </c>
      <c r="AB99" s="29">
        <f t="shared" si="18"/>
        <v>11</v>
      </c>
      <c r="AC99" s="29">
        <f t="shared" si="18"/>
        <v>11</v>
      </c>
      <c r="AD99" s="29">
        <f t="shared" si="18"/>
        <v>10</v>
      </c>
      <c r="AE99" s="29">
        <f t="shared" si="18"/>
        <v>10</v>
      </c>
      <c r="AF99" s="29">
        <f t="shared" si="18"/>
        <v>10</v>
      </c>
      <c r="AG99" s="29">
        <f t="shared" si="18"/>
        <v>9</v>
      </c>
      <c r="AH99" s="29">
        <f t="shared" si="18"/>
        <v>8</v>
      </c>
      <c r="AI99" s="29">
        <f t="shared" si="18"/>
        <v>9</v>
      </c>
      <c r="AJ99" s="29">
        <f t="shared" si="18"/>
        <v>8</v>
      </c>
      <c r="AK99" s="29">
        <f t="shared" si="18"/>
        <v>9</v>
      </c>
      <c r="AL99" s="29">
        <f t="shared" si="18"/>
        <v>8</v>
      </c>
      <c r="AM99" s="29">
        <f t="shared" si="18"/>
        <v>10</v>
      </c>
      <c r="AN99" s="29">
        <f t="shared" si="18"/>
        <v>9</v>
      </c>
      <c r="AO99" s="29">
        <f t="shared" si="18"/>
        <v>9</v>
      </c>
      <c r="AP99" s="29">
        <f t="shared" si="18"/>
        <v>12</v>
      </c>
      <c r="AQ99" s="29">
        <f t="shared" si="18"/>
        <v>11</v>
      </c>
      <c r="AR99" s="29">
        <f t="shared" si="18"/>
        <v>10</v>
      </c>
      <c r="AS99" s="29">
        <f t="shared" si="18"/>
        <v>0</v>
      </c>
    </row>
    <row r="100">
      <c r="A100" s="7" t="s">
        <v>105</v>
      </c>
      <c r="C100" s="10" t="s">
        <v>563</v>
      </c>
      <c r="D100" s="25">
        <v>6.0</v>
      </c>
      <c r="E100" s="7" t="s">
        <v>105</v>
      </c>
      <c r="F100" s="128"/>
      <c r="G100" s="29">
        <f t="shared" ref="G100:Z100" si="19">COUNTIFS(G1:G97, "=1", $E1:$E97, "=HM") + COUNTIFS(G1:G97, "=0.5", F1:F97, "&lt;1", $E1:$E97, "=HM") + COUNTIFS(G1:G97, "=1", $E1:$E97, "=HPK") + COUNTIFS(G1:G97, "=0.5", F1:F97, "=0", $E1:$E97, "=HPK")</f>
        <v>8</v>
      </c>
      <c r="H100" s="29">
        <f t="shared" si="19"/>
        <v>9</v>
      </c>
      <c r="I100" s="29">
        <f t="shared" si="19"/>
        <v>9</v>
      </c>
      <c r="J100" s="29">
        <f t="shared" si="19"/>
        <v>6</v>
      </c>
      <c r="K100" s="29">
        <f t="shared" si="19"/>
        <v>6</v>
      </c>
      <c r="L100" s="29">
        <f t="shared" si="19"/>
        <v>6</v>
      </c>
      <c r="M100" s="29">
        <f t="shared" si="19"/>
        <v>7</v>
      </c>
      <c r="N100" s="29">
        <f t="shared" si="19"/>
        <v>7</v>
      </c>
      <c r="O100" s="29">
        <f t="shared" si="19"/>
        <v>6</v>
      </c>
      <c r="P100" s="29">
        <f t="shared" si="19"/>
        <v>6</v>
      </c>
      <c r="Q100" s="29">
        <f t="shared" si="19"/>
        <v>5</v>
      </c>
      <c r="R100" s="29">
        <f t="shared" si="19"/>
        <v>5</v>
      </c>
      <c r="S100" s="29">
        <f t="shared" si="19"/>
        <v>5</v>
      </c>
      <c r="T100" s="29">
        <f t="shared" si="19"/>
        <v>7</v>
      </c>
      <c r="U100" s="29">
        <f t="shared" si="19"/>
        <v>7</v>
      </c>
      <c r="V100" s="29">
        <f t="shared" si="19"/>
        <v>7</v>
      </c>
      <c r="W100" s="29">
        <f t="shared" si="19"/>
        <v>6</v>
      </c>
      <c r="X100" s="29">
        <f t="shared" si="19"/>
        <v>6</v>
      </c>
      <c r="Y100" s="29">
        <f t="shared" si="19"/>
        <v>6</v>
      </c>
      <c r="Z100" s="29">
        <f t="shared" si="19"/>
        <v>7</v>
      </c>
      <c r="AA100" s="29">
        <f>COUNTIFS(AA1:AA97, "=1", $E1:$E97, "=HM") + COUNTIFS(AA1:AA97, "=0.5", Z1:Z97, "&lt;1", $E1:$E97, "=HM") + COUNTIFS(AA1:AA97, "=1", $E1:$E97, "=HPK") + COUNTIFS(AA1:AA97, "=0.5", Z1:Z97, "&lt;1", $E1:$E97, "=HPK")</f>
        <v>7</v>
      </c>
      <c r="AB100" s="29">
        <f t="shared" ref="AB100:AR100" si="20">COUNTIFS(AB1:AB91, "=1", $E1:$E91, "=HM") + COUNTIFS(AB1:AB91, "=0.5", AA1:AA91, "&lt;1", $E1:$E91, "=HM") + COUNTIFS(AB1:AB91, "=1", $E1:$E91, "=HPK") + COUNTIFS(AB1:AB91, "=0.5", AA1:AA91, "&lt;1", $E1:$E91, "=HPK")</f>
        <v>5</v>
      </c>
      <c r="AC100" s="29">
        <f t="shared" si="20"/>
        <v>4</v>
      </c>
      <c r="AD100" s="29">
        <f t="shared" si="20"/>
        <v>4</v>
      </c>
      <c r="AE100" s="29">
        <f t="shared" si="20"/>
        <v>5</v>
      </c>
      <c r="AF100" s="29">
        <f t="shared" si="20"/>
        <v>4</v>
      </c>
      <c r="AG100" s="29">
        <f t="shared" si="20"/>
        <v>6</v>
      </c>
      <c r="AH100" s="29">
        <f t="shared" si="20"/>
        <v>7</v>
      </c>
      <c r="AI100" s="29">
        <f t="shared" si="20"/>
        <v>5</v>
      </c>
      <c r="AJ100" s="29">
        <f t="shared" si="20"/>
        <v>5</v>
      </c>
      <c r="AK100" s="29">
        <f t="shared" si="20"/>
        <v>5</v>
      </c>
      <c r="AL100" s="29">
        <f t="shared" si="20"/>
        <v>4</v>
      </c>
      <c r="AM100" s="29">
        <f t="shared" si="20"/>
        <v>5</v>
      </c>
      <c r="AN100" s="29">
        <f t="shared" si="20"/>
        <v>6</v>
      </c>
      <c r="AO100" s="29">
        <f t="shared" si="20"/>
        <v>7</v>
      </c>
      <c r="AP100" s="29">
        <f t="shared" si="20"/>
        <v>6</v>
      </c>
      <c r="AQ100" s="29">
        <f t="shared" si="20"/>
        <v>4</v>
      </c>
      <c r="AR100" s="29">
        <f t="shared" si="20"/>
        <v>4</v>
      </c>
      <c r="AS100" s="29"/>
    </row>
    <row r="101">
      <c r="A101" s="3" t="s">
        <v>564</v>
      </c>
      <c r="C101" s="24"/>
      <c r="D101" s="29"/>
      <c r="E101" s="7"/>
      <c r="F101" s="128"/>
      <c r="G101" s="29">
        <f t="shared" ref="G101:AS101" si="21">SUM(G92:G98)</f>
        <v>74</v>
      </c>
      <c r="H101" s="29">
        <f t="shared" si="21"/>
        <v>74</v>
      </c>
      <c r="I101" s="29">
        <f t="shared" si="21"/>
        <v>71</v>
      </c>
      <c r="J101" s="29">
        <f t="shared" si="21"/>
        <v>51</v>
      </c>
      <c r="K101" s="29">
        <f t="shared" si="21"/>
        <v>48</v>
      </c>
      <c r="L101" s="147">
        <f t="shared" si="21"/>
        <v>47</v>
      </c>
      <c r="M101" s="29">
        <f t="shared" si="21"/>
        <v>50</v>
      </c>
      <c r="N101" s="29">
        <f t="shared" si="21"/>
        <v>51</v>
      </c>
      <c r="O101" s="29">
        <f t="shared" si="21"/>
        <v>49</v>
      </c>
      <c r="P101" s="29">
        <f t="shared" si="21"/>
        <v>49</v>
      </c>
      <c r="Q101" s="29">
        <f t="shared" si="21"/>
        <v>50</v>
      </c>
      <c r="R101" s="29">
        <f t="shared" si="21"/>
        <v>50</v>
      </c>
      <c r="S101" s="147">
        <f t="shared" si="21"/>
        <v>48</v>
      </c>
      <c r="T101" s="29">
        <f t="shared" si="21"/>
        <v>52</v>
      </c>
      <c r="U101" s="151">
        <f t="shared" si="21"/>
        <v>56</v>
      </c>
      <c r="V101" s="29">
        <f t="shared" si="21"/>
        <v>53</v>
      </c>
      <c r="W101" s="29">
        <f t="shared" si="21"/>
        <v>47</v>
      </c>
      <c r="X101" s="29">
        <f t="shared" si="21"/>
        <v>47</v>
      </c>
      <c r="Y101" s="29">
        <f t="shared" si="21"/>
        <v>48</v>
      </c>
      <c r="Z101" s="147">
        <f t="shared" si="21"/>
        <v>45</v>
      </c>
      <c r="AA101" s="29">
        <f t="shared" si="21"/>
        <v>45</v>
      </c>
      <c r="AB101" s="151">
        <f t="shared" si="21"/>
        <v>51</v>
      </c>
      <c r="AC101" s="29">
        <f t="shared" si="21"/>
        <v>47</v>
      </c>
      <c r="AD101" s="29">
        <f t="shared" si="21"/>
        <v>45</v>
      </c>
      <c r="AE101" s="29">
        <f t="shared" si="21"/>
        <v>48</v>
      </c>
      <c r="AF101" s="29">
        <f t="shared" si="21"/>
        <v>49</v>
      </c>
      <c r="AG101" s="147">
        <f t="shared" si="21"/>
        <v>46</v>
      </c>
      <c r="AH101" s="29">
        <f t="shared" si="21"/>
        <v>45</v>
      </c>
      <c r="AI101" s="29">
        <f t="shared" si="21"/>
        <v>44</v>
      </c>
      <c r="AJ101" s="29">
        <f t="shared" si="21"/>
        <v>44</v>
      </c>
      <c r="AK101" s="29">
        <f t="shared" si="21"/>
        <v>45</v>
      </c>
      <c r="AL101" s="29">
        <f t="shared" si="21"/>
        <v>44</v>
      </c>
      <c r="AM101" s="29">
        <f t="shared" si="21"/>
        <v>49</v>
      </c>
      <c r="AN101" s="147">
        <f t="shared" si="21"/>
        <v>47</v>
      </c>
      <c r="AO101" s="29">
        <f t="shared" si="21"/>
        <v>46</v>
      </c>
      <c r="AP101" s="151">
        <f t="shared" si="21"/>
        <v>53</v>
      </c>
      <c r="AQ101" s="29">
        <f t="shared" si="21"/>
        <v>49</v>
      </c>
      <c r="AR101" s="29">
        <f t="shared" si="21"/>
        <v>43</v>
      </c>
      <c r="AS101" s="29">
        <f t="shared" si="21"/>
        <v>2</v>
      </c>
    </row>
    <row r="102">
      <c r="A102" s="3" t="s">
        <v>106</v>
      </c>
      <c r="C102" s="24"/>
      <c r="D102" s="29"/>
      <c r="E102" s="7"/>
      <c r="F102" s="128"/>
      <c r="G102" s="29"/>
      <c r="H102" s="29"/>
      <c r="I102" s="29"/>
      <c r="J102" s="29"/>
      <c r="K102" s="29"/>
      <c r="L102" s="147"/>
      <c r="M102" s="29"/>
      <c r="N102" s="29"/>
      <c r="O102" s="29"/>
      <c r="P102" s="29"/>
      <c r="Q102" s="29"/>
      <c r="R102" s="29"/>
      <c r="S102" s="147">
        <f t="shared" ref="S102:AR102" si="22">S92+S93+S95+S97</f>
        <v>42</v>
      </c>
      <c r="T102" s="147">
        <f t="shared" si="22"/>
        <v>43</v>
      </c>
      <c r="U102" s="147">
        <f t="shared" si="22"/>
        <v>47</v>
      </c>
      <c r="V102" s="147">
        <f t="shared" si="22"/>
        <v>45</v>
      </c>
      <c r="W102" s="147">
        <f t="shared" si="22"/>
        <v>40</v>
      </c>
      <c r="X102" s="147">
        <f t="shared" si="22"/>
        <v>40</v>
      </c>
      <c r="Y102" s="147">
        <f t="shared" si="22"/>
        <v>40</v>
      </c>
      <c r="Z102" s="147">
        <f t="shared" si="22"/>
        <v>37</v>
      </c>
      <c r="AA102" s="147">
        <f t="shared" si="22"/>
        <v>37</v>
      </c>
      <c r="AB102" s="147">
        <f t="shared" si="22"/>
        <v>43</v>
      </c>
      <c r="AC102" s="147">
        <f t="shared" si="22"/>
        <v>39</v>
      </c>
      <c r="AD102" s="147">
        <f t="shared" si="22"/>
        <v>39</v>
      </c>
      <c r="AE102" s="147">
        <f t="shared" si="22"/>
        <v>43</v>
      </c>
      <c r="AF102" s="147">
        <f t="shared" si="22"/>
        <v>45</v>
      </c>
      <c r="AG102" s="147">
        <f t="shared" si="22"/>
        <v>41</v>
      </c>
      <c r="AH102" s="147">
        <f t="shared" si="22"/>
        <v>37</v>
      </c>
      <c r="AI102" s="147">
        <f t="shared" si="22"/>
        <v>37</v>
      </c>
      <c r="AJ102" s="147">
        <f t="shared" si="22"/>
        <v>36</v>
      </c>
      <c r="AK102" s="147">
        <f t="shared" si="22"/>
        <v>38</v>
      </c>
      <c r="AL102" s="147">
        <f t="shared" si="22"/>
        <v>37</v>
      </c>
      <c r="AM102" s="147">
        <f t="shared" si="22"/>
        <v>41</v>
      </c>
      <c r="AN102" s="147">
        <f t="shared" si="22"/>
        <v>39</v>
      </c>
      <c r="AO102" s="147">
        <f t="shared" si="22"/>
        <v>38</v>
      </c>
      <c r="AP102" s="147">
        <f t="shared" si="22"/>
        <v>45</v>
      </c>
      <c r="AQ102" s="147">
        <f t="shared" si="22"/>
        <v>41</v>
      </c>
      <c r="AR102" s="147">
        <f t="shared" si="22"/>
        <v>36</v>
      </c>
      <c r="AS102" s="29"/>
    </row>
    <row r="103">
      <c r="A103" s="3" t="s">
        <v>565</v>
      </c>
      <c r="C103" s="24"/>
      <c r="D103" s="29"/>
      <c r="E103" s="7"/>
      <c r="F103" s="29"/>
      <c r="G103" s="29"/>
      <c r="H103" s="29"/>
      <c r="I103" s="29"/>
      <c r="J103" s="29"/>
      <c r="K103" s="29"/>
      <c r="L103" s="147"/>
      <c r="M103" s="29"/>
      <c r="N103" s="29"/>
      <c r="O103" s="29"/>
      <c r="P103" s="29"/>
      <c r="Q103" s="29"/>
      <c r="R103" s="29"/>
      <c r="S103" s="147"/>
      <c r="T103" s="29"/>
      <c r="U103" s="29"/>
      <c r="V103" s="29"/>
      <c r="W103" s="29"/>
      <c r="X103" s="29"/>
      <c r="Y103" s="29"/>
      <c r="Z103" s="147"/>
      <c r="AA103" s="29"/>
      <c r="AB103" s="29"/>
      <c r="AC103" s="29"/>
      <c r="AD103" s="29"/>
      <c r="AE103" s="29"/>
      <c r="AF103" s="29"/>
      <c r="AG103" s="147"/>
      <c r="AH103" s="29"/>
      <c r="AI103" s="29"/>
      <c r="AJ103" s="29"/>
      <c r="AK103" s="29"/>
      <c r="AL103" s="29"/>
      <c r="AM103" s="29"/>
      <c r="AN103" s="147"/>
      <c r="AO103" s="29"/>
      <c r="AP103" s="29"/>
      <c r="AQ103" s="29"/>
      <c r="AR103" s="29"/>
      <c r="AS103" s="29"/>
    </row>
    <row r="104">
      <c r="A104" s="152" t="s">
        <v>107</v>
      </c>
      <c r="B104" s="153"/>
      <c r="C104" s="154"/>
      <c r="D104" s="155"/>
      <c r="E104" s="156" t="s">
        <v>94</v>
      </c>
      <c r="F104" s="155">
        <f t="shared" ref="F104:AS104" si="23">COUNTIFS($E$3:$E$88,"Sol",F$3:F$88, "&gt;0")</f>
        <v>46</v>
      </c>
      <c r="G104" s="155">
        <f t="shared" si="23"/>
        <v>46</v>
      </c>
      <c r="H104" s="155">
        <f t="shared" si="23"/>
        <v>47</v>
      </c>
      <c r="I104" s="155">
        <f t="shared" si="23"/>
        <v>45</v>
      </c>
      <c r="J104" s="155">
        <f t="shared" si="23"/>
        <v>43</v>
      </c>
      <c r="K104" s="155">
        <f t="shared" si="23"/>
        <v>32</v>
      </c>
      <c r="L104" s="157">
        <f t="shared" si="23"/>
        <v>29</v>
      </c>
      <c r="M104" s="155">
        <f t="shared" si="23"/>
        <v>43</v>
      </c>
      <c r="N104" s="155">
        <f t="shared" si="23"/>
        <v>31</v>
      </c>
      <c r="O104" s="155">
        <f t="shared" si="23"/>
        <v>31</v>
      </c>
      <c r="P104" s="155">
        <f t="shared" si="23"/>
        <v>34</v>
      </c>
      <c r="Q104" s="155">
        <f t="shared" si="23"/>
        <v>33</v>
      </c>
      <c r="R104" s="155">
        <f t="shared" si="23"/>
        <v>35</v>
      </c>
      <c r="S104" s="157">
        <f t="shared" si="23"/>
        <v>33</v>
      </c>
      <c r="T104" s="155">
        <f t="shared" si="23"/>
        <v>38</v>
      </c>
      <c r="U104" s="155">
        <f t="shared" si="23"/>
        <v>36</v>
      </c>
      <c r="V104" s="155">
        <f t="shared" si="23"/>
        <v>39</v>
      </c>
      <c r="W104" s="155">
        <f t="shared" si="23"/>
        <v>36</v>
      </c>
      <c r="X104" s="155">
        <f t="shared" si="23"/>
        <v>31</v>
      </c>
      <c r="Y104" s="155">
        <f t="shared" si="23"/>
        <v>32</v>
      </c>
      <c r="Z104" s="157">
        <f t="shared" si="23"/>
        <v>29</v>
      </c>
      <c r="AA104" s="155">
        <f t="shared" si="23"/>
        <v>30</v>
      </c>
      <c r="AB104" s="155">
        <f t="shared" si="23"/>
        <v>37</v>
      </c>
      <c r="AC104" s="155">
        <f t="shared" si="23"/>
        <v>31</v>
      </c>
      <c r="AD104" s="155">
        <f t="shared" si="23"/>
        <v>30</v>
      </c>
      <c r="AE104" s="155">
        <f t="shared" si="23"/>
        <v>33</v>
      </c>
      <c r="AF104" s="155">
        <f t="shared" si="23"/>
        <v>33</v>
      </c>
      <c r="AG104" s="157">
        <f t="shared" si="23"/>
        <v>32</v>
      </c>
      <c r="AH104" s="155">
        <f t="shared" si="23"/>
        <v>33</v>
      </c>
      <c r="AI104" s="155">
        <f t="shared" si="23"/>
        <v>28</v>
      </c>
      <c r="AJ104" s="155">
        <f t="shared" si="23"/>
        <v>33</v>
      </c>
      <c r="AK104" s="155">
        <f t="shared" si="23"/>
        <v>30</v>
      </c>
      <c r="AL104" s="155">
        <f t="shared" si="23"/>
        <v>33</v>
      </c>
      <c r="AM104" s="155">
        <f t="shared" si="23"/>
        <v>32</v>
      </c>
      <c r="AN104" s="157">
        <f t="shared" si="23"/>
        <v>31</v>
      </c>
      <c r="AO104" s="155">
        <f t="shared" si="23"/>
        <v>34</v>
      </c>
      <c r="AP104" s="155">
        <f t="shared" si="23"/>
        <v>33</v>
      </c>
      <c r="AQ104" s="155">
        <f t="shared" si="23"/>
        <v>30</v>
      </c>
      <c r="AR104" s="155">
        <f t="shared" si="23"/>
        <v>30</v>
      </c>
      <c r="AS104" s="155">
        <f t="shared" si="23"/>
        <v>24</v>
      </c>
      <c r="AT104" s="153"/>
      <c r="AU104" s="153"/>
      <c r="AV104" s="153"/>
      <c r="AW104" s="153"/>
      <c r="AX104" s="153"/>
      <c r="AY104" s="153"/>
      <c r="AZ104" s="153"/>
      <c r="BA104" s="153"/>
      <c r="BB104" s="153"/>
      <c r="BC104" s="153"/>
      <c r="BD104" s="153"/>
      <c r="BE104" s="153"/>
      <c r="BF104" s="153"/>
      <c r="BG104" s="153"/>
      <c r="BH104" s="153"/>
      <c r="BI104" s="153"/>
      <c r="BJ104" s="153"/>
      <c r="BK104" s="153"/>
      <c r="BL104" s="153"/>
      <c r="BM104" s="153"/>
      <c r="BN104" s="153"/>
      <c r="BO104" s="153"/>
      <c r="BP104" s="153"/>
    </row>
    <row r="105">
      <c r="A105" s="152" t="s">
        <v>108</v>
      </c>
      <c r="B105" s="153"/>
      <c r="C105" s="154"/>
      <c r="D105" s="155"/>
      <c r="E105" s="156" t="s">
        <v>87</v>
      </c>
      <c r="F105" s="155">
        <f t="shared" ref="F105:AS105" si="24">COUNTIFS($E$3:$E$88,"Com1",F$3:F$88, "&gt;0")</f>
        <v>9</v>
      </c>
      <c r="G105" s="155">
        <f t="shared" si="24"/>
        <v>9</v>
      </c>
      <c r="H105" s="155">
        <f t="shared" si="24"/>
        <v>9</v>
      </c>
      <c r="I105" s="155">
        <f t="shared" si="24"/>
        <v>9</v>
      </c>
      <c r="J105" s="155">
        <f t="shared" si="24"/>
        <v>8</v>
      </c>
      <c r="K105" s="155">
        <f t="shared" si="24"/>
        <v>6</v>
      </c>
      <c r="L105" s="157">
        <f t="shared" si="24"/>
        <v>5</v>
      </c>
      <c r="M105" s="155">
        <f t="shared" si="24"/>
        <v>8</v>
      </c>
      <c r="N105" s="155">
        <f t="shared" si="24"/>
        <v>7</v>
      </c>
      <c r="O105" s="155">
        <f t="shared" si="24"/>
        <v>6</v>
      </c>
      <c r="P105" s="155">
        <f t="shared" si="24"/>
        <v>7</v>
      </c>
      <c r="Q105" s="155">
        <f t="shared" si="24"/>
        <v>7</v>
      </c>
      <c r="R105" s="155">
        <f t="shared" si="24"/>
        <v>6</v>
      </c>
      <c r="S105" s="157">
        <f t="shared" si="24"/>
        <v>6</v>
      </c>
      <c r="T105" s="155">
        <f t="shared" si="24"/>
        <v>7</v>
      </c>
      <c r="U105" s="155">
        <f t="shared" si="24"/>
        <v>9</v>
      </c>
      <c r="V105" s="155">
        <f t="shared" si="24"/>
        <v>7</v>
      </c>
      <c r="W105" s="155">
        <f t="shared" si="24"/>
        <v>7</v>
      </c>
      <c r="X105" s="155">
        <f t="shared" si="24"/>
        <v>6</v>
      </c>
      <c r="Y105" s="155">
        <f t="shared" si="24"/>
        <v>6</v>
      </c>
      <c r="Z105" s="157">
        <f t="shared" si="24"/>
        <v>5</v>
      </c>
      <c r="AA105" s="155">
        <f t="shared" si="24"/>
        <v>6</v>
      </c>
      <c r="AB105" s="155">
        <f t="shared" si="24"/>
        <v>6</v>
      </c>
      <c r="AC105" s="155">
        <f t="shared" si="24"/>
        <v>7</v>
      </c>
      <c r="AD105" s="155">
        <f t="shared" si="24"/>
        <v>7</v>
      </c>
      <c r="AE105" s="155">
        <f t="shared" si="24"/>
        <v>5</v>
      </c>
      <c r="AF105" s="155">
        <f t="shared" si="24"/>
        <v>6</v>
      </c>
      <c r="AG105" s="157">
        <f t="shared" si="24"/>
        <v>6</v>
      </c>
      <c r="AH105" s="155">
        <f t="shared" si="24"/>
        <v>7</v>
      </c>
      <c r="AI105" s="155">
        <f t="shared" si="24"/>
        <v>9</v>
      </c>
      <c r="AJ105" s="155">
        <f t="shared" si="24"/>
        <v>7</v>
      </c>
      <c r="AK105" s="155">
        <f t="shared" si="24"/>
        <v>6</v>
      </c>
      <c r="AL105" s="155">
        <f t="shared" si="24"/>
        <v>6</v>
      </c>
      <c r="AM105" s="155">
        <f t="shared" si="24"/>
        <v>5</v>
      </c>
      <c r="AN105" s="157">
        <f t="shared" si="24"/>
        <v>5</v>
      </c>
      <c r="AO105" s="155">
        <f t="shared" si="24"/>
        <v>7</v>
      </c>
      <c r="AP105" s="155">
        <f t="shared" si="24"/>
        <v>6</v>
      </c>
      <c r="AQ105" s="155">
        <f t="shared" si="24"/>
        <v>7</v>
      </c>
      <c r="AR105" s="155">
        <f t="shared" si="24"/>
        <v>6</v>
      </c>
      <c r="AS105" s="155">
        <f t="shared" si="24"/>
        <v>5</v>
      </c>
      <c r="AT105" s="153"/>
      <c r="AU105" s="153"/>
      <c r="AV105" s="153"/>
      <c r="AW105" s="153"/>
      <c r="AX105" s="153"/>
      <c r="AY105" s="153"/>
      <c r="AZ105" s="153"/>
      <c r="BA105" s="153"/>
      <c r="BB105" s="153"/>
      <c r="BC105" s="153"/>
      <c r="BD105" s="153"/>
      <c r="BE105" s="153"/>
      <c r="BF105" s="153"/>
      <c r="BG105" s="153"/>
      <c r="BH105" s="153"/>
      <c r="BI105" s="153"/>
      <c r="BJ105" s="153"/>
      <c r="BK105" s="153"/>
      <c r="BL105" s="153"/>
      <c r="BM105" s="153"/>
      <c r="BN105" s="153"/>
      <c r="BO105" s="153"/>
      <c r="BP105" s="153"/>
    </row>
    <row r="106">
      <c r="A106" s="152" t="s">
        <v>109</v>
      </c>
      <c r="B106" s="153"/>
      <c r="C106" s="154"/>
      <c r="D106" s="155"/>
      <c r="E106" s="156" t="s">
        <v>214</v>
      </c>
      <c r="F106" s="155">
        <f t="shared" ref="F106:AS106" si="25">COUNTIFS($E$3:$E$88,"Com2",F$3:F$88, "&gt;0")</f>
        <v>3</v>
      </c>
      <c r="G106" s="155">
        <f t="shared" si="25"/>
        <v>3</v>
      </c>
      <c r="H106" s="155">
        <f t="shared" si="25"/>
        <v>3</v>
      </c>
      <c r="I106" s="155">
        <f t="shared" si="25"/>
        <v>3</v>
      </c>
      <c r="J106" s="155">
        <f t="shared" si="25"/>
        <v>3</v>
      </c>
      <c r="K106" s="155">
        <f t="shared" si="25"/>
        <v>2</v>
      </c>
      <c r="L106" s="157">
        <f t="shared" si="25"/>
        <v>2</v>
      </c>
      <c r="M106" s="155">
        <f t="shared" si="25"/>
        <v>3</v>
      </c>
      <c r="N106" s="155">
        <f t="shared" si="25"/>
        <v>2</v>
      </c>
      <c r="O106" s="155">
        <f t="shared" si="25"/>
        <v>2</v>
      </c>
      <c r="P106" s="155">
        <f t="shared" si="25"/>
        <v>2</v>
      </c>
      <c r="Q106" s="155">
        <f t="shared" si="25"/>
        <v>2</v>
      </c>
      <c r="R106" s="155">
        <f t="shared" si="25"/>
        <v>2</v>
      </c>
      <c r="S106" s="157">
        <f t="shared" si="25"/>
        <v>1</v>
      </c>
      <c r="T106" s="155">
        <f t="shared" si="25"/>
        <v>1</v>
      </c>
      <c r="U106" s="155">
        <f t="shared" si="25"/>
        <v>0</v>
      </c>
      <c r="V106" s="155">
        <f t="shared" si="25"/>
        <v>0</v>
      </c>
      <c r="W106" s="155">
        <f t="shared" si="25"/>
        <v>1</v>
      </c>
      <c r="X106" s="155">
        <f t="shared" si="25"/>
        <v>2</v>
      </c>
      <c r="Y106" s="155">
        <f t="shared" si="25"/>
        <v>2</v>
      </c>
      <c r="Z106" s="157">
        <f t="shared" si="25"/>
        <v>2</v>
      </c>
      <c r="AA106" s="155">
        <f t="shared" si="25"/>
        <v>2</v>
      </c>
      <c r="AB106" s="155">
        <f t="shared" si="25"/>
        <v>2</v>
      </c>
      <c r="AC106" s="155">
        <f t="shared" si="25"/>
        <v>2</v>
      </c>
      <c r="AD106" s="155">
        <f t="shared" si="25"/>
        <v>2</v>
      </c>
      <c r="AE106" s="155">
        <f t="shared" si="25"/>
        <v>2</v>
      </c>
      <c r="AF106" s="155">
        <f t="shared" si="25"/>
        <v>2</v>
      </c>
      <c r="AG106" s="157">
        <f t="shared" si="25"/>
        <v>1</v>
      </c>
      <c r="AH106" s="155">
        <f t="shared" si="25"/>
        <v>1</v>
      </c>
      <c r="AI106" s="155">
        <f t="shared" si="25"/>
        <v>0</v>
      </c>
      <c r="AJ106" s="155">
        <f t="shared" si="25"/>
        <v>0</v>
      </c>
      <c r="AK106" s="155">
        <f t="shared" si="25"/>
        <v>1</v>
      </c>
      <c r="AL106" s="155">
        <f t="shared" si="25"/>
        <v>1</v>
      </c>
      <c r="AM106" s="155">
        <f t="shared" si="25"/>
        <v>2</v>
      </c>
      <c r="AN106" s="157">
        <f t="shared" si="25"/>
        <v>2</v>
      </c>
      <c r="AO106" s="155">
        <f t="shared" si="25"/>
        <v>2</v>
      </c>
      <c r="AP106" s="155">
        <f t="shared" si="25"/>
        <v>2</v>
      </c>
      <c r="AQ106" s="155">
        <f t="shared" si="25"/>
        <v>2</v>
      </c>
      <c r="AR106" s="155">
        <f t="shared" si="25"/>
        <v>1</v>
      </c>
      <c r="AS106" s="155">
        <f t="shared" si="25"/>
        <v>1</v>
      </c>
      <c r="AT106" s="153"/>
      <c r="AU106" s="153"/>
      <c r="AV106" s="153"/>
      <c r="AW106" s="153"/>
      <c r="AX106" s="153"/>
      <c r="AY106" s="153"/>
      <c r="AZ106" s="153"/>
      <c r="BA106" s="153"/>
      <c r="BB106" s="153"/>
      <c r="BC106" s="153"/>
      <c r="BD106" s="153"/>
      <c r="BE106" s="153"/>
      <c r="BF106" s="153"/>
      <c r="BG106" s="153"/>
      <c r="BH106" s="153"/>
      <c r="BI106" s="153"/>
      <c r="BJ106" s="153"/>
      <c r="BK106" s="153"/>
      <c r="BL106" s="153"/>
      <c r="BM106" s="153"/>
      <c r="BN106" s="153"/>
      <c r="BO106" s="153"/>
      <c r="BP106" s="153"/>
    </row>
    <row r="107">
      <c r="A107" s="152" t="s">
        <v>98</v>
      </c>
      <c r="B107" s="152" t="s">
        <v>563</v>
      </c>
      <c r="C107" s="154">
        <v>3.0</v>
      </c>
      <c r="D107" s="155"/>
      <c r="E107" s="156" t="s">
        <v>146</v>
      </c>
      <c r="F107" s="155">
        <f t="shared" ref="F107:AS107" si="26">COUNTIFS($E$3:$E$88,"HM",F$3:F$88, "&gt;0")</f>
        <v>5</v>
      </c>
      <c r="G107" s="155">
        <f t="shared" si="26"/>
        <v>4</v>
      </c>
      <c r="H107" s="155">
        <f t="shared" si="26"/>
        <v>5</v>
      </c>
      <c r="I107" s="155">
        <f t="shared" si="26"/>
        <v>5</v>
      </c>
      <c r="J107" s="155">
        <f t="shared" si="26"/>
        <v>5</v>
      </c>
      <c r="K107" s="155">
        <f t="shared" si="26"/>
        <v>3</v>
      </c>
      <c r="L107" s="157">
        <f t="shared" si="26"/>
        <v>3</v>
      </c>
      <c r="M107" s="155">
        <f t="shared" si="26"/>
        <v>5</v>
      </c>
      <c r="N107" s="155">
        <f t="shared" si="26"/>
        <v>4</v>
      </c>
      <c r="O107" s="155">
        <f t="shared" si="26"/>
        <v>4</v>
      </c>
      <c r="P107" s="155">
        <f t="shared" si="26"/>
        <v>4</v>
      </c>
      <c r="Q107" s="155">
        <f t="shared" si="26"/>
        <v>5</v>
      </c>
      <c r="R107" s="155">
        <f t="shared" si="26"/>
        <v>3</v>
      </c>
      <c r="S107" s="157">
        <f t="shared" si="26"/>
        <v>2</v>
      </c>
      <c r="T107" s="155">
        <f t="shared" si="26"/>
        <v>5</v>
      </c>
      <c r="U107" s="155">
        <f t="shared" si="26"/>
        <v>5</v>
      </c>
      <c r="V107" s="155">
        <f t="shared" si="26"/>
        <v>5</v>
      </c>
      <c r="W107" s="155">
        <f t="shared" si="26"/>
        <v>4</v>
      </c>
      <c r="X107" s="155">
        <f t="shared" si="26"/>
        <v>3</v>
      </c>
      <c r="Y107" s="155">
        <f t="shared" si="26"/>
        <v>5</v>
      </c>
      <c r="Z107" s="157">
        <f t="shared" si="26"/>
        <v>4</v>
      </c>
      <c r="AA107" s="155">
        <f t="shared" si="26"/>
        <v>4</v>
      </c>
      <c r="AB107" s="155">
        <f t="shared" si="26"/>
        <v>4</v>
      </c>
      <c r="AC107" s="155">
        <f t="shared" si="26"/>
        <v>4</v>
      </c>
      <c r="AD107" s="155">
        <f t="shared" si="26"/>
        <v>3</v>
      </c>
      <c r="AE107" s="155">
        <f t="shared" si="26"/>
        <v>3</v>
      </c>
      <c r="AF107" s="155">
        <f t="shared" si="26"/>
        <v>2</v>
      </c>
      <c r="AG107" s="157">
        <f t="shared" si="26"/>
        <v>2</v>
      </c>
      <c r="AH107" s="155">
        <f t="shared" si="26"/>
        <v>4</v>
      </c>
      <c r="AI107" s="155">
        <f t="shared" si="26"/>
        <v>4</v>
      </c>
      <c r="AJ107" s="155">
        <f t="shared" si="26"/>
        <v>4</v>
      </c>
      <c r="AK107" s="155">
        <f t="shared" si="26"/>
        <v>3</v>
      </c>
      <c r="AL107" s="155">
        <f t="shared" si="26"/>
        <v>4</v>
      </c>
      <c r="AM107" s="155">
        <f t="shared" si="26"/>
        <v>4</v>
      </c>
      <c r="AN107" s="157">
        <f t="shared" si="26"/>
        <v>4</v>
      </c>
      <c r="AO107" s="155">
        <f t="shared" si="26"/>
        <v>4</v>
      </c>
      <c r="AP107" s="155">
        <f t="shared" si="26"/>
        <v>4</v>
      </c>
      <c r="AQ107" s="155">
        <f t="shared" si="26"/>
        <v>4</v>
      </c>
      <c r="AR107" s="155">
        <f t="shared" si="26"/>
        <v>2</v>
      </c>
      <c r="AS107" s="155">
        <f t="shared" si="26"/>
        <v>2</v>
      </c>
      <c r="AT107" s="153"/>
      <c r="AU107" s="153"/>
      <c r="AV107" s="153"/>
      <c r="AW107" s="153"/>
      <c r="AX107" s="153"/>
      <c r="AY107" s="153"/>
      <c r="AZ107" s="153"/>
      <c r="BA107" s="153"/>
      <c r="BB107" s="153"/>
      <c r="BC107" s="153"/>
      <c r="BD107" s="153"/>
      <c r="BE107" s="153"/>
      <c r="BF107" s="153"/>
      <c r="BG107" s="153"/>
      <c r="BH107" s="153"/>
      <c r="BI107" s="153"/>
      <c r="BJ107" s="153"/>
      <c r="BK107" s="153"/>
      <c r="BL107" s="153"/>
      <c r="BM107" s="153"/>
      <c r="BN107" s="153"/>
      <c r="BO107" s="153"/>
      <c r="BP107" s="153"/>
    </row>
    <row r="108">
      <c r="A108" s="152" t="s">
        <v>99</v>
      </c>
      <c r="B108" s="152" t="s">
        <v>563</v>
      </c>
      <c r="C108" s="154">
        <v>3.0</v>
      </c>
      <c r="D108" s="155"/>
      <c r="E108" s="156" t="s">
        <v>112</v>
      </c>
      <c r="F108" s="155">
        <f t="shared" ref="F108:AS108" si="27">COUNTIFS($E$3:$E$88,"HPK",F$3:F$88, "&gt;0")</f>
        <v>4</v>
      </c>
      <c r="G108" s="155">
        <f t="shared" si="27"/>
        <v>4</v>
      </c>
      <c r="H108" s="155">
        <f t="shared" si="27"/>
        <v>4</v>
      </c>
      <c r="I108" s="155">
        <f t="shared" si="27"/>
        <v>4</v>
      </c>
      <c r="J108" s="155">
        <f t="shared" si="27"/>
        <v>4</v>
      </c>
      <c r="K108" s="155">
        <f t="shared" si="27"/>
        <v>3</v>
      </c>
      <c r="L108" s="157">
        <f t="shared" si="27"/>
        <v>3</v>
      </c>
      <c r="M108" s="155">
        <f t="shared" si="27"/>
        <v>4</v>
      </c>
      <c r="N108" s="155">
        <f t="shared" si="27"/>
        <v>3</v>
      </c>
      <c r="O108" s="155">
        <f t="shared" si="27"/>
        <v>4</v>
      </c>
      <c r="P108" s="155">
        <f t="shared" si="27"/>
        <v>3</v>
      </c>
      <c r="Q108" s="155">
        <f t="shared" si="27"/>
        <v>2</v>
      </c>
      <c r="R108" s="155">
        <f t="shared" si="27"/>
        <v>3</v>
      </c>
      <c r="S108" s="157">
        <f t="shared" si="27"/>
        <v>3</v>
      </c>
      <c r="T108" s="155">
        <f t="shared" si="27"/>
        <v>4</v>
      </c>
      <c r="U108" s="155">
        <f t="shared" si="27"/>
        <v>3</v>
      </c>
      <c r="V108" s="155">
        <f t="shared" si="27"/>
        <v>4</v>
      </c>
      <c r="W108" s="155">
        <f t="shared" si="27"/>
        <v>3</v>
      </c>
      <c r="X108" s="155">
        <f t="shared" si="27"/>
        <v>3</v>
      </c>
      <c r="Y108" s="155">
        <f t="shared" si="27"/>
        <v>4</v>
      </c>
      <c r="Z108" s="157">
        <f t="shared" si="27"/>
        <v>3</v>
      </c>
      <c r="AA108" s="155">
        <f t="shared" si="27"/>
        <v>3</v>
      </c>
      <c r="AB108" s="155">
        <f t="shared" si="27"/>
        <v>3</v>
      </c>
      <c r="AC108" s="155">
        <f t="shared" si="27"/>
        <v>2</v>
      </c>
      <c r="AD108" s="155">
        <f t="shared" si="27"/>
        <v>2</v>
      </c>
      <c r="AE108" s="155">
        <f t="shared" si="27"/>
        <v>3</v>
      </c>
      <c r="AF108" s="155">
        <f t="shared" si="27"/>
        <v>4</v>
      </c>
      <c r="AG108" s="157">
        <f t="shared" si="27"/>
        <v>4</v>
      </c>
      <c r="AH108" s="155">
        <f t="shared" si="27"/>
        <v>4</v>
      </c>
      <c r="AI108" s="155">
        <f t="shared" si="27"/>
        <v>3</v>
      </c>
      <c r="AJ108" s="155">
        <f t="shared" si="27"/>
        <v>3</v>
      </c>
      <c r="AK108" s="155">
        <f t="shared" si="27"/>
        <v>2</v>
      </c>
      <c r="AL108" s="155">
        <f t="shared" si="27"/>
        <v>2</v>
      </c>
      <c r="AM108" s="155">
        <f t="shared" si="27"/>
        <v>1</v>
      </c>
      <c r="AN108" s="157">
        <f t="shared" si="27"/>
        <v>2</v>
      </c>
      <c r="AO108" s="155">
        <f t="shared" si="27"/>
        <v>3</v>
      </c>
      <c r="AP108" s="155">
        <f t="shared" si="27"/>
        <v>4</v>
      </c>
      <c r="AQ108" s="155">
        <f t="shared" si="27"/>
        <v>3</v>
      </c>
      <c r="AR108" s="155">
        <f t="shared" si="27"/>
        <v>2</v>
      </c>
      <c r="AS108" s="155">
        <f t="shared" si="27"/>
        <v>2</v>
      </c>
      <c r="AT108" s="153"/>
      <c r="AU108" s="153"/>
      <c r="AV108" s="153"/>
      <c r="AW108" s="153"/>
      <c r="AX108" s="153"/>
      <c r="AY108" s="153"/>
      <c r="AZ108" s="153"/>
      <c r="BA108" s="153"/>
      <c r="BB108" s="153"/>
      <c r="BC108" s="153"/>
      <c r="BD108" s="153"/>
      <c r="BE108" s="153"/>
      <c r="BF108" s="153"/>
      <c r="BG108" s="153"/>
      <c r="BH108" s="153"/>
      <c r="BI108" s="153"/>
      <c r="BJ108" s="153"/>
      <c r="BK108" s="153"/>
      <c r="BL108" s="153"/>
      <c r="BM108" s="153"/>
      <c r="BN108" s="153"/>
      <c r="BO108" s="153"/>
      <c r="BP108" s="153"/>
    </row>
    <row r="109">
      <c r="A109" s="152" t="s">
        <v>100</v>
      </c>
      <c r="B109" s="152" t="s">
        <v>563</v>
      </c>
      <c r="C109" s="154">
        <v>2.0</v>
      </c>
      <c r="D109" s="155"/>
      <c r="E109" s="156" t="s">
        <v>188</v>
      </c>
      <c r="F109" s="155">
        <f t="shared" ref="F109:AS109" si="28">COUNTIFS($E$3:$E$88,"RSP",F$3:F$88, "&gt;0")</f>
        <v>4</v>
      </c>
      <c r="G109" s="155">
        <f t="shared" si="28"/>
        <v>4</v>
      </c>
      <c r="H109" s="155">
        <f t="shared" si="28"/>
        <v>4</v>
      </c>
      <c r="I109" s="155">
        <f t="shared" si="28"/>
        <v>4</v>
      </c>
      <c r="J109" s="155">
        <f t="shared" si="28"/>
        <v>4</v>
      </c>
      <c r="K109" s="155">
        <f t="shared" si="28"/>
        <v>2</v>
      </c>
      <c r="L109" s="157">
        <f t="shared" si="28"/>
        <v>2</v>
      </c>
      <c r="M109" s="155">
        <f t="shared" si="28"/>
        <v>4</v>
      </c>
      <c r="N109" s="155">
        <f t="shared" si="28"/>
        <v>3</v>
      </c>
      <c r="O109" s="155">
        <f t="shared" si="28"/>
        <v>3</v>
      </c>
      <c r="P109" s="155">
        <f t="shared" si="28"/>
        <v>3</v>
      </c>
      <c r="Q109" s="155">
        <f t="shared" si="28"/>
        <v>2</v>
      </c>
      <c r="R109" s="155">
        <f t="shared" si="28"/>
        <v>2</v>
      </c>
      <c r="S109" s="157">
        <f t="shared" si="28"/>
        <v>2</v>
      </c>
      <c r="T109" s="155">
        <f t="shared" si="28"/>
        <v>4</v>
      </c>
      <c r="U109" s="155">
        <f t="shared" si="28"/>
        <v>3</v>
      </c>
      <c r="V109" s="155">
        <f t="shared" si="28"/>
        <v>3</v>
      </c>
      <c r="W109" s="155">
        <f t="shared" si="28"/>
        <v>3</v>
      </c>
      <c r="X109" s="155">
        <f t="shared" si="28"/>
        <v>4</v>
      </c>
      <c r="Y109" s="155">
        <f t="shared" si="28"/>
        <v>4</v>
      </c>
      <c r="Z109" s="157">
        <f t="shared" si="28"/>
        <v>3</v>
      </c>
      <c r="AA109" s="155">
        <f t="shared" si="28"/>
        <v>3</v>
      </c>
      <c r="AB109" s="155">
        <f t="shared" si="28"/>
        <v>3</v>
      </c>
      <c r="AC109" s="155">
        <f t="shared" si="28"/>
        <v>4</v>
      </c>
      <c r="AD109" s="155">
        <f t="shared" si="28"/>
        <v>4</v>
      </c>
      <c r="AE109" s="155">
        <f t="shared" si="28"/>
        <v>3</v>
      </c>
      <c r="AF109" s="155">
        <f t="shared" si="28"/>
        <v>2</v>
      </c>
      <c r="AG109" s="157">
        <f t="shared" si="28"/>
        <v>2</v>
      </c>
      <c r="AH109" s="155">
        <f t="shared" si="28"/>
        <v>3</v>
      </c>
      <c r="AI109" s="155">
        <f t="shared" si="28"/>
        <v>2</v>
      </c>
      <c r="AJ109" s="155">
        <f t="shared" si="28"/>
        <v>3</v>
      </c>
      <c r="AK109" s="155">
        <f t="shared" si="28"/>
        <v>3</v>
      </c>
      <c r="AL109" s="155">
        <f t="shared" si="28"/>
        <v>4</v>
      </c>
      <c r="AM109" s="155">
        <f t="shared" si="28"/>
        <v>4</v>
      </c>
      <c r="AN109" s="157">
        <f t="shared" si="28"/>
        <v>3</v>
      </c>
      <c r="AO109" s="155">
        <f t="shared" si="28"/>
        <v>3</v>
      </c>
      <c r="AP109" s="155">
        <f t="shared" si="28"/>
        <v>3</v>
      </c>
      <c r="AQ109" s="155">
        <f t="shared" si="28"/>
        <v>4</v>
      </c>
      <c r="AR109" s="155">
        <f t="shared" si="28"/>
        <v>4</v>
      </c>
      <c r="AS109" s="155">
        <f t="shared" si="28"/>
        <v>3</v>
      </c>
      <c r="AT109" s="153"/>
      <c r="AU109" s="153"/>
      <c r="AV109" s="153"/>
      <c r="AW109" s="153"/>
      <c r="AX109" s="153"/>
      <c r="AY109" s="153"/>
      <c r="AZ109" s="153"/>
      <c r="BA109" s="153"/>
      <c r="BB109" s="153"/>
      <c r="BC109" s="153"/>
      <c r="BD109" s="153"/>
      <c r="BE109" s="153"/>
      <c r="BF109" s="153"/>
      <c r="BG109" s="153"/>
      <c r="BH109" s="153"/>
      <c r="BI109" s="153"/>
      <c r="BJ109" s="153"/>
      <c r="BK109" s="153"/>
      <c r="BL109" s="153"/>
      <c r="BM109" s="153"/>
      <c r="BN109" s="153"/>
      <c r="BO109" s="153"/>
      <c r="BP109" s="153"/>
    </row>
    <row r="110">
      <c r="A110" s="152" t="s">
        <v>101</v>
      </c>
      <c r="B110" s="153"/>
      <c r="C110" s="154">
        <v>1.0</v>
      </c>
      <c r="D110" s="155"/>
      <c r="E110" s="156" t="s">
        <v>116</v>
      </c>
      <c r="F110" s="155">
        <f t="shared" ref="F110:AS110" si="29">COUNTIFS($E$3:$E$88,"Off1",F$3:F$88, "&gt;0")</f>
        <v>4</v>
      </c>
      <c r="G110" s="155">
        <f t="shared" si="29"/>
        <v>4</v>
      </c>
      <c r="H110" s="155">
        <f t="shared" si="29"/>
        <v>4</v>
      </c>
      <c r="I110" s="155">
        <f t="shared" si="29"/>
        <v>4</v>
      </c>
      <c r="J110" s="155">
        <f t="shared" si="29"/>
        <v>4</v>
      </c>
      <c r="K110" s="155">
        <f t="shared" si="29"/>
        <v>3</v>
      </c>
      <c r="L110" s="157">
        <f t="shared" si="29"/>
        <v>3</v>
      </c>
      <c r="M110" s="155">
        <f t="shared" si="29"/>
        <v>3</v>
      </c>
      <c r="N110" s="155">
        <f t="shared" si="29"/>
        <v>3</v>
      </c>
      <c r="O110" s="155">
        <f t="shared" si="29"/>
        <v>4</v>
      </c>
      <c r="P110" s="155">
        <f t="shared" si="29"/>
        <v>3</v>
      </c>
      <c r="Q110" s="155">
        <f t="shared" si="29"/>
        <v>4</v>
      </c>
      <c r="R110" s="155">
        <f t="shared" si="29"/>
        <v>3</v>
      </c>
      <c r="S110" s="157">
        <f t="shared" si="29"/>
        <v>2</v>
      </c>
      <c r="T110" s="155">
        <f t="shared" si="29"/>
        <v>2</v>
      </c>
      <c r="U110" s="155">
        <f t="shared" si="29"/>
        <v>3</v>
      </c>
      <c r="V110" s="155">
        <f t="shared" si="29"/>
        <v>2</v>
      </c>
      <c r="W110" s="155">
        <f t="shared" si="29"/>
        <v>2</v>
      </c>
      <c r="X110" s="155">
        <f t="shared" si="29"/>
        <v>2</v>
      </c>
      <c r="Y110" s="155">
        <f t="shared" si="29"/>
        <v>3</v>
      </c>
      <c r="Z110" s="157">
        <f t="shared" si="29"/>
        <v>2</v>
      </c>
      <c r="AA110" s="155">
        <f t="shared" si="29"/>
        <v>1</v>
      </c>
      <c r="AB110" s="155">
        <f t="shared" si="29"/>
        <v>3</v>
      </c>
      <c r="AC110" s="155">
        <f t="shared" si="29"/>
        <v>3</v>
      </c>
      <c r="AD110" s="155">
        <f t="shared" si="29"/>
        <v>3</v>
      </c>
      <c r="AE110" s="155">
        <f t="shared" si="29"/>
        <v>3</v>
      </c>
      <c r="AF110" s="155">
        <f t="shared" si="29"/>
        <v>3</v>
      </c>
      <c r="AG110" s="157">
        <f t="shared" si="29"/>
        <v>3</v>
      </c>
      <c r="AH110" s="155">
        <f t="shared" si="29"/>
        <v>2</v>
      </c>
      <c r="AI110" s="155">
        <f t="shared" si="29"/>
        <v>2</v>
      </c>
      <c r="AJ110" s="155">
        <f t="shared" si="29"/>
        <v>3</v>
      </c>
      <c r="AK110" s="155">
        <f t="shared" si="29"/>
        <v>2</v>
      </c>
      <c r="AL110" s="155">
        <f t="shared" si="29"/>
        <v>2</v>
      </c>
      <c r="AM110" s="155">
        <f t="shared" si="29"/>
        <v>3</v>
      </c>
      <c r="AN110" s="157">
        <f t="shared" si="29"/>
        <v>3</v>
      </c>
      <c r="AO110" s="155">
        <f t="shared" si="29"/>
        <v>3</v>
      </c>
      <c r="AP110" s="155">
        <f t="shared" si="29"/>
        <v>4</v>
      </c>
      <c r="AQ110" s="155">
        <f t="shared" si="29"/>
        <v>4</v>
      </c>
      <c r="AR110" s="155">
        <f t="shared" si="29"/>
        <v>4</v>
      </c>
      <c r="AS110" s="155">
        <f t="shared" si="29"/>
        <v>4</v>
      </c>
      <c r="AT110" s="153"/>
      <c r="AU110" s="153"/>
      <c r="AV110" s="153"/>
      <c r="AW110" s="153"/>
      <c r="AX110" s="153"/>
      <c r="AY110" s="153"/>
      <c r="AZ110" s="153"/>
      <c r="BA110" s="153"/>
      <c r="BB110" s="153"/>
      <c r="BC110" s="153"/>
      <c r="BD110" s="153"/>
      <c r="BE110" s="153"/>
      <c r="BF110" s="153"/>
      <c r="BG110" s="153"/>
      <c r="BH110" s="153"/>
      <c r="BI110" s="153"/>
      <c r="BJ110" s="153"/>
      <c r="BK110" s="153"/>
      <c r="BL110" s="153"/>
      <c r="BM110" s="153"/>
      <c r="BN110" s="153"/>
      <c r="BO110" s="153"/>
      <c r="BP110" s="153"/>
    </row>
    <row r="111">
      <c r="A111" s="152" t="s">
        <v>103</v>
      </c>
      <c r="B111" s="153"/>
      <c r="C111" s="154">
        <v>1.0</v>
      </c>
      <c r="D111" s="155"/>
      <c r="E111" s="156" t="s">
        <v>185</v>
      </c>
      <c r="F111" s="155">
        <f t="shared" ref="F111:AS111" si="30">COUNTIFS($E$3:$E$88,"Off2",F$3:F$88, "&gt;0")</f>
        <v>1</v>
      </c>
      <c r="G111" s="155">
        <f t="shared" si="30"/>
        <v>1</v>
      </c>
      <c r="H111" s="155">
        <f t="shared" si="30"/>
        <v>1</v>
      </c>
      <c r="I111" s="155">
        <f t="shared" si="30"/>
        <v>1</v>
      </c>
      <c r="J111" s="155">
        <f t="shared" si="30"/>
        <v>2</v>
      </c>
      <c r="K111" s="155">
        <f t="shared" si="30"/>
        <v>1</v>
      </c>
      <c r="L111" s="157">
        <f t="shared" si="30"/>
        <v>2</v>
      </c>
      <c r="M111" s="155">
        <f t="shared" si="30"/>
        <v>2</v>
      </c>
      <c r="N111" s="155">
        <f t="shared" si="30"/>
        <v>2</v>
      </c>
      <c r="O111" s="155">
        <f t="shared" si="30"/>
        <v>2</v>
      </c>
      <c r="P111" s="155">
        <f t="shared" si="30"/>
        <v>2</v>
      </c>
      <c r="Q111" s="155">
        <f t="shared" si="30"/>
        <v>2</v>
      </c>
      <c r="R111" s="155">
        <f t="shared" si="30"/>
        <v>2</v>
      </c>
      <c r="S111" s="157">
        <f t="shared" si="30"/>
        <v>2</v>
      </c>
      <c r="T111" s="155">
        <f t="shared" si="30"/>
        <v>2</v>
      </c>
      <c r="U111" s="155">
        <f t="shared" si="30"/>
        <v>2</v>
      </c>
      <c r="V111" s="155">
        <f t="shared" si="30"/>
        <v>2</v>
      </c>
      <c r="W111" s="155">
        <f t="shared" si="30"/>
        <v>1</v>
      </c>
      <c r="X111" s="155">
        <f t="shared" si="30"/>
        <v>1</v>
      </c>
      <c r="Y111" s="155">
        <f t="shared" si="30"/>
        <v>2</v>
      </c>
      <c r="Z111" s="157">
        <f t="shared" si="30"/>
        <v>2</v>
      </c>
      <c r="AA111" s="155">
        <f t="shared" si="30"/>
        <v>1</v>
      </c>
      <c r="AB111" s="155">
        <f t="shared" si="30"/>
        <v>1</v>
      </c>
      <c r="AC111" s="155">
        <f t="shared" si="30"/>
        <v>2</v>
      </c>
      <c r="AD111" s="155">
        <f t="shared" si="30"/>
        <v>2</v>
      </c>
      <c r="AE111" s="155">
        <f t="shared" si="30"/>
        <v>1</v>
      </c>
      <c r="AF111" s="155">
        <f t="shared" si="30"/>
        <v>1</v>
      </c>
      <c r="AG111" s="157">
        <f t="shared" si="30"/>
        <v>1</v>
      </c>
      <c r="AH111" s="155">
        <f t="shared" si="30"/>
        <v>2</v>
      </c>
      <c r="AI111" s="155">
        <f t="shared" si="30"/>
        <v>2</v>
      </c>
      <c r="AJ111" s="155">
        <f t="shared" si="30"/>
        <v>2</v>
      </c>
      <c r="AK111" s="155">
        <f t="shared" si="30"/>
        <v>2</v>
      </c>
      <c r="AL111" s="155">
        <f t="shared" si="30"/>
        <v>1</v>
      </c>
      <c r="AM111" s="155">
        <f t="shared" si="30"/>
        <v>1</v>
      </c>
      <c r="AN111" s="157">
        <f t="shared" si="30"/>
        <v>2</v>
      </c>
      <c r="AO111" s="155">
        <f t="shared" si="30"/>
        <v>1</v>
      </c>
      <c r="AP111" s="155">
        <f t="shared" si="30"/>
        <v>2</v>
      </c>
      <c r="AQ111" s="155">
        <f t="shared" si="30"/>
        <v>2</v>
      </c>
      <c r="AR111" s="155">
        <f t="shared" si="30"/>
        <v>2</v>
      </c>
      <c r="AS111" s="155">
        <f t="shared" si="30"/>
        <v>2</v>
      </c>
      <c r="AT111" s="153"/>
      <c r="AU111" s="153"/>
      <c r="AV111" s="153"/>
      <c r="AW111" s="153"/>
      <c r="AX111" s="153"/>
      <c r="AY111" s="153"/>
      <c r="AZ111" s="153"/>
      <c r="BA111" s="153"/>
      <c r="BB111" s="153"/>
      <c r="BC111" s="153"/>
      <c r="BD111" s="153"/>
      <c r="BE111" s="153"/>
      <c r="BF111" s="153"/>
      <c r="BG111" s="153"/>
      <c r="BH111" s="153"/>
      <c r="BI111" s="153"/>
      <c r="BJ111" s="153"/>
      <c r="BK111" s="153"/>
      <c r="BL111" s="153"/>
      <c r="BM111" s="153"/>
      <c r="BN111" s="153"/>
      <c r="BO111" s="153"/>
      <c r="BP111" s="153"/>
    </row>
    <row r="112">
      <c r="A112" s="3"/>
      <c r="C112" s="127"/>
      <c r="D112" s="25"/>
      <c r="F112" s="128"/>
      <c r="G112" s="29"/>
      <c r="H112" s="29"/>
      <c r="I112" s="29"/>
      <c r="J112" s="29"/>
      <c r="K112" s="146"/>
      <c r="L112" s="147"/>
      <c r="M112" s="29"/>
      <c r="N112" s="29"/>
      <c r="O112" s="29"/>
      <c r="P112" s="29"/>
      <c r="Q112" s="29"/>
      <c r="R112" s="146"/>
      <c r="S112" s="147"/>
      <c r="T112" s="29"/>
      <c r="U112" s="29"/>
      <c r="V112" s="29"/>
      <c r="W112" s="29"/>
      <c r="X112" s="29"/>
      <c r="Y112" s="146"/>
      <c r="Z112" s="147"/>
      <c r="AA112" s="29"/>
      <c r="AB112" s="29"/>
      <c r="AC112" s="29"/>
      <c r="AD112" s="29"/>
      <c r="AE112" s="29"/>
      <c r="AF112" s="146"/>
      <c r="AG112" s="147"/>
      <c r="AH112" s="29"/>
      <c r="AI112" s="29"/>
      <c r="AJ112" s="29"/>
      <c r="AK112" s="29"/>
      <c r="AL112" s="29"/>
      <c r="AM112" s="146"/>
      <c r="AN112" s="147"/>
      <c r="AO112" s="29"/>
      <c r="AP112" s="29"/>
      <c r="AQ112" s="29"/>
      <c r="AR112" s="29"/>
      <c r="AS112" s="29"/>
      <c r="AT112" s="29"/>
    </row>
    <row r="113">
      <c r="C113" s="127"/>
      <c r="D113" s="29"/>
      <c r="F113" s="128"/>
      <c r="G113" s="29"/>
      <c r="H113" s="29"/>
      <c r="I113" s="29"/>
      <c r="J113" s="158"/>
      <c r="K113" s="158"/>
      <c r="L113" s="158"/>
      <c r="M113" s="158"/>
      <c r="N113" s="158"/>
      <c r="O113" s="158"/>
      <c r="P113" s="158"/>
      <c r="Q113" s="158"/>
      <c r="R113" s="158"/>
      <c r="S113" s="158" t="str">
        <f>IFERROR(__xludf.DUMMYFUNCTION("TEXTJOIN("", "", TRUE,
  FILTER($B$2:$B$101,
    ISNUMBER(VALUE($A$2:$A$101)),
    S$2:S$101 &lt; 1,
    R$2:R$101&gt;0
  )
)"),"אדלשטין תומר, ברוך ליאור, יוסי פניאס, יורי לוינזון, ינאי כהן, ניר קרניאל, נתנאל רייבי, רועי סלע")</f>
        <v>אדלשטין תומר, ברוך ליאור, יוסי פניאס, יורי לוינזון, ינאי כהן, ניר קרניאל, נתנאל רייבי, רועי סלע</v>
      </c>
      <c r="T113" s="158"/>
      <c r="U113" s="158"/>
      <c r="V113" s="158"/>
      <c r="W113" s="158"/>
      <c r="X113" s="158"/>
      <c r="Y113" s="158"/>
      <c r="Z113" s="158"/>
      <c r="AA113" s="158"/>
      <c r="AB113" s="158"/>
      <c r="AC113" s="158"/>
      <c r="AD113" s="158"/>
      <c r="AE113" s="158"/>
      <c r="AF113" s="158"/>
      <c r="AG113" s="158"/>
      <c r="AH113" s="158"/>
      <c r="AI113" s="158"/>
      <c r="AJ113" s="158"/>
      <c r="AK113" s="158"/>
      <c r="AL113" s="158"/>
      <c r="AM113" s="158"/>
      <c r="AN113" s="158"/>
      <c r="AO113" s="158"/>
      <c r="AP113" s="158"/>
      <c r="AQ113" s="158"/>
      <c r="AR113" s="158">
        <v>5.2834554E8</v>
      </c>
      <c r="AS113" s="158"/>
    </row>
    <row r="114">
      <c r="A114" s="3"/>
      <c r="C114" s="127"/>
      <c r="D114" s="29"/>
      <c r="F114" s="29"/>
      <c r="G114" s="29"/>
      <c r="H114" s="29"/>
      <c r="I114" s="29"/>
      <c r="J114" s="158" t="str">
        <f>IFERROR(__xludf.DUMMYFUNCTION("TEXTJOIN("", "", TRUE,
  FILTER($B$2:$B$101,
    ISNUMBER(VALUE($A$2:$A$101)),
    J$2:J$101 &lt;0,
    I$2:I$101&gt;1
  )
)"),"#N/A")</f>
        <v>#N/A</v>
      </c>
      <c r="K114" s="146"/>
      <c r="L114" s="147"/>
      <c r="M114" s="158"/>
      <c r="N114" s="29"/>
      <c r="O114" s="29"/>
      <c r="P114" s="29"/>
      <c r="Q114" s="29"/>
      <c r="R114" s="146"/>
      <c r="S114" s="147"/>
      <c r="T114" s="29"/>
      <c r="U114" s="29"/>
      <c r="V114" s="29"/>
      <c r="W114" s="29"/>
      <c r="X114" s="29"/>
      <c r="Y114" s="146"/>
      <c r="Z114" s="147"/>
      <c r="AA114" s="29"/>
      <c r="AB114" s="29"/>
      <c r="AC114" s="29"/>
      <c r="AD114" s="29"/>
      <c r="AE114" s="29"/>
      <c r="AF114" s="146"/>
      <c r="AG114" s="147"/>
      <c r="AH114" s="29"/>
      <c r="AI114" s="29"/>
      <c r="AJ114" s="29"/>
      <c r="AK114" s="29"/>
      <c r="AL114" s="29"/>
      <c r="AM114" s="146"/>
      <c r="AN114" s="147"/>
      <c r="AO114" s="29"/>
      <c r="AP114" s="29"/>
      <c r="AQ114" s="29"/>
      <c r="AR114" s="29"/>
      <c r="AS114" s="29"/>
    </row>
    <row r="115">
      <c r="C115" s="127"/>
      <c r="F115" s="136"/>
      <c r="K115" s="159"/>
      <c r="L115" s="160"/>
      <c r="R115" s="159"/>
      <c r="S115" s="160"/>
      <c r="Y115" s="159"/>
      <c r="Z115" s="160"/>
      <c r="AF115" s="159"/>
      <c r="AG115" s="160"/>
      <c r="AM115" s="159"/>
      <c r="AN115" s="160"/>
    </row>
    <row r="116">
      <c r="C116" s="127"/>
      <c r="F116" s="136"/>
      <c r="K116" s="159"/>
      <c r="L116" s="160"/>
      <c r="R116" s="159"/>
      <c r="S116" s="160"/>
      <c r="Y116" s="159"/>
      <c r="Z116" s="160"/>
      <c r="AF116" s="159"/>
      <c r="AG116" s="160"/>
      <c r="AM116" s="159"/>
      <c r="AN116" s="160"/>
    </row>
    <row r="117">
      <c r="C117" s="127"/>
      <c r="F117" s="136"/>
      <c r="K117" s="159"/>
      <c r="L117" s="160"/>
      <c r="R117" s="159"/>
      <c r="S117" s="160"/>
      <c r="Y117" s="159"/>
      <c r="Z117" s="160"/>
      <c r="AF117" s="159"/>
      <c r="AG117" s="160"/>
      <c r="AM117" s="159"/>
      <c r="AN117" s="160"/>
    </row>
    <row r="118">
      <c r="C118" s="127"/>
      <c r="F118" s="136"/>
      <c r="K118" s="159"/>
      <c r="L118" s="160"/>
      <c r="R118" s="159"/>
      <c r="S118" s="160"/>
      <c r="Y118" s="159"/>
      <c r="Z118" s="160"/>
      <c r="AF118" s="159"/>
      <c r="AG118" s="160"/>
      <c r="AM118" s="159"/>
      <c r="AN118" s="160"/>
    </row>
    <row r="119">
      <c r="C119" s="127"/>
      <c r="F119" s="136"/>
      <c r="K119" s="159"/>
      <c r="L119" s="160"/>
      <c r="R119" s="159"/>
      <c r="S119" s="160"/>
      <c r="Y119" s="159"/>
      <c r="Z119" s="160"/>
      <c r="AF119" s="159"/>
      <c r="AG119" s="160"/>
      <c r="AM119" s="159"/>
      <c r="AN119" s="160"/>
    </row>
    <row r="120">
      <c r="C120" s="127"/>
      <c r="F120" s="136"/>
      <c r="K120" s="159"/>
      <c r="L120" s="160"/>
      <c r="R120" s="159"/>
      <c r="S120" s="160"/>
      <c r="Y120" s="159"/>
      <c r="Z120" s="160"/>
      <c r="AF120" s="159"/>
      <c r="AG120" s="160"/>
      <c r="AM120" s="159"/>
      <c r="AN120" s="160"/>
    </row>
    <row r="121">
      <c r="C121" s="127"/>
      <c r="F121" s="136"/>
      <c r="K121" s="159"/>
      <c r="L121" s="160"/>
      <c r="R121" s="159"/>
      <c r="S121" s="160"/>
      <c r="Y121" s="159"/>
      <c r="Z121" s="160"/>
      <c r="AF121" s="159"/>
      <c r="AG121" s="160"/>
      <c r="AM121" s="159"/>
      <c r="AN121" s="160"/>
    </row>
    <row r="122">
      <c r="C122" s="127"/>
      <c r="F122" s="136"/>
      <c r="K122" s="159"/>
      <c r="L122" s="160"/>
      <c r="R122" s="159"/>
      <c r="S122" s="160"/>
      <c r="Y122" s="159"/>
      <c r="Z122" s="160"/>
      <c r="AF122" s="159"/>
      <c r="AG122" s="160"/>
      <c r="AM122" s="159"/>
      <c r="AN122" s="160"/>
    </row>
    <row r="123">
      <c r="C123" s="127"/>
      <c r="F123" s="136"/>
      <c r="K123" s="159"/>
      <c r="L123" s="160"/>
      <c r="R123" s="159"/>
      <c r="S123" s="160"/>
      <c r="Y123" s="159"/>
      <c r="Z123" s="160"/>
      <c r="AF123" s="159"/>
      <c r="AG123" s="160"/>
      <c r="AM123" s="159"/>
      <c r="AN123" s="160"/>
    </row>
    <row r="124">
      <c r="C124" s="127"/>
      <c r="F124" s="136"/>
      <c r="K124" s="159"/>
      <c r="L124" s="160"/>
      <c r="R124" s="159"/>
      <c r="S124" s="160"/>
      <c r="Y124" s="159"/>
      <c r="Z124" s="160"/>
      <c r="AF124" s="159"/>
      <c r="AG124" s="160"/>
      <c r="AM124" s="159"/>
      <c r="AN124" s="160"/>
    </row>
    <row r="125">
      <c r="C125" s="127"/>
      <c r="F125" s="136"/>
      <c r="K125" s="159"/>
      <c r="L125" s="160"/>
      <c r="R125" s="159"/>
      <c r="S125" s="160"/>
      <c r="Y125" s="159"/>
      <c r="Z125" s="160"/>
      <c r="AF125" s="159"/>
      <c r="AG125" s="160"/>
      <c r="AM125" s="159"/>
      <c r="AN125" s="160"/>
    </row>
    <row r="126">
      <c r="C126" s="127"/>
      <c r="F126" s="136"/>
      <c r="K126" s="159"/>
      <c r="L126" s="160"/>
      <c r="R126" s="159"/>
      <c r="S126" s="160"/>
      <c r="Y126" s="159"/>
      <c r="Z126" s="160"/>
      <c r="AF126" s="159"/>
      <c r="AG126" s="160"/>
      <c r="AM126" s="159"/>
      <c r="AN126" s="160"/>
    </row>
    <row r="127">
      <c r="C127" s="127"/>
      <c r="F127" s="136"/>
      <c r="K127" s="159"/>
      <c r="L127" s="160"/>
      <c r="R127" s="159"/>
      <c r="S127" s="160"/>
      <c r="Y127" s="159"/>
      <c r="Z127" s="160"/>
      <c r="AF127" s="159"/>
      <c r="AG127" s="160"/>
      <c r="AM127" s="159"/>
      <c r="AN127" s="160"/>
    </row>
    <row r="128">
      <c r="C128" s="127"/>
      <c r="F128" s="136"/>
      <c r="K128" s="159"/>
      <c r="L128" s="160"/>
      <c r="R128" s="159"/>
      <c r="S128" s="160"/>
      <c r="Y128" s="159"/>
      <c r="Z128" s="160"/>
      <c r="AF128" s="159"/>
      <c r="AG128" s="160"/>
      <c r="AM128" s="159"/>
      <c r="AN128" s="160"/>
    </row>
    <row r="129">
      <c r="C129" s="127"/>
      <c r="F129" s="136"/>
      <c r="K129" s="159"/>
      <c r="L129" s="160"/>
      <c r="R129" s="159"/>
      <c r="S129" s="160"/>
      <c r="Y129" s="159"/>
      <c r="Z129" s="160"/>
      <c r="AF129" s="159"/>
      <c r="AG129" s="160"/>
      <c r="AM129" s="159"/>
      <c r="AN129" s="160"/>
    </row>
    <row r="130">
      <c r="C130" s="127"/>
      <c r="F130" s="136"/>
      <c r="K130" s="159"/>
      <c r="L130" s="160"/>
      <c r="R130" s="159"/>
      <c r="S130" s="160"/>
      <c r="Y130" s="159"/>
      <c r="Z130" s="160"/>
      <c r="AF130" s="159"/>
      <c r="AG130" s="160"/>
      <c r="AM130" s="159"/>
      <c r="AN130" s="160"/>
    </row>
    <row r="131">
      <c r="C131" s="127"/>
      <c r="F131" s="136"/>
      <c r="K131" s="159"/>
      <c r="L131" s="160"/>
      <c r="R131" s="159"/>
      <c r="S131" s="160"/>
      <c r="Y131" s="159"/>
      <c r="Z131" s="160"/>
      <c r="AF131" s="159"/>
      <c r="AG131" s="160"/>
      <c r="AM131" s="159"/>
      <c r="AN131" s="160"/>
    </row>
    <row r="132">
      <c r="C132" s="127"/>
      <c r="F132" s="136"/>
      <c r="K132" s="159"/>
      <c r="L132" s="160"/>
      <c r="R132" s="159"/>
      <c r="S132" s="160"/>
      <c r="Y132" s="159"/>
      <c r="Z132" s="160"/>
      <c r="AF132" s="159"/>
      <c r="AG132" s="160"/>
      <c r="AM132" s="159"/>
      <c r="AN132" s="160"/>
    </row>
    <row r="133">
      <c r="C133" s="127"/>
      <c r="F133" s="136"/>
      <c r="K133" s="159"/>
      <c r="L133" s="160"/>
      <c r="R133" s="159"/>
      <c r="S133" s="160"/>
      <c r="Y133" s="159"/>
      <c r="Z133" s="160"/>
      <c r="AF133" s="159"/>
      <c r="AG133" s="160"/>
      <c r="AM133" s="159"/>
      <c r="AN133" s="160"/>
    </row>
    <row r="134">
      <c r="C134" s="127"/>
      <c r="F134" s="136"/>
      <c r="K134" s="159"/>
      <c r="L134" s="160"/>
      <c r="R134" s="159"/>
      <c r="S134" s="160"/>
      <c r="Y134" s="159"/>
      <c r="Z134" s="160"/>
      <c r="AF134" s="159"/>
      <c r="AG134" s="160"/>
      <c r="AM134" s="159"/>
      <c r="AN134" s="160"/>
    </row>
    <row r="135">
      <c r="C135" s="127"/>
      <c r="F135" s="136"/>
      <c r="K135" s="159"/>
      <c r="L135" s="160"/>
      <c r="R135" s="159"/>
      <c r="S135" s="160"/>
      <c r="Y135" s="159"/>
      <c r="Z135" s="160"/>
      <c r="AF135" s="159"/>
      <c r="AG135" s="160"/>
      <c r="AM135" s="159"/>
      <c r="AN135" s="160"/>
    </row>
    <row r="136">
      <c r="C136" s="127"/>
      <c r="F136" s="136"/>
      <c r="K136" s="159"/>
      <c r="L136" s="160"/>
      <c r="R136" s="159"/>
      <c r="S136" s="160"/>
      <c r="Y136" s="159"/>
      <c r="Z136" s="160"/>
      <c r="AF136" s="159"/>
      <c r="AG136" s="160"/>
      <c r="AM136" s="159"/>
      <c r="AN136" s="160"/>
    </row>
    <row r="137">
      <c r="C137" s="127"/>
      <c r="F137" s="136"/>
      <c r="K137" s="159"/>
      <c r="L137" s="160"/>
      <c r="R137" s="159"/>
      <c r="S137" s="160"/>
      <c r="Y137" s="159"/>
      <c r="Z137" s="160"/>
      <c r="AF137" s="159"/>
      <c r="AG137" s="160"/>
      <c r="AM137" s="159"/>
      <c r="AN137" s="160"/>
    </row>
    <row r="138">
      <c r="C138" s="127"/>
      <c r="F138" s="136"/>
      <c r="K138" s="159"/>
      <c r="L138" s="160"/>
      <c r="R138" s="159"/>
      <c r="S138" s="160"/>
      <c r="Y138" s="159"/>
      <c r="Z138" s="160"/>
      <c r="AF138" s="159"/>
      <c r="AG138" s="160"/>
      <c r="AM138" s="159"/>
      <c r="AN138" s="160"/>
    </row>
    <row r="139">
      <c r="C139" s="127"/>
      <c r="F139" s="136"/>
      <c r="K139" s="159"/>
      <c r="L139" s="160"/>
      <c r="R139" s="159"/>
      <c r="S139" s="160"/>
      <c r="Y139" s="159"/>
      <c r="Z139" s="160"/>
      <c r="AF139" s="159"/>
      <c r="AG139" s="160"/>
      <c r="AM139" s="159"/>
      <c r="AN139" s="160"/>
    </row>
    <row r="140">
      <c r="C140" s="127"/>
      <c r="F140" s="136"/>
      <c r="K140" s="159"/>
      <c r="L140" s="160"/>
      <c r="R140" s="159"/>
      <c r="S140" s="160"/>
      <c r="Y140" s="159"/>
      <c r="Z140" s="160"/>
      <c r="AF140" s="159"/>
      <c r="AG140" s="160"/>
      <c r="AM140" s="159"/>
      <c r="AN140" s="160"/>
    </row>
    <row r="141">
      <c r="C141" s="127"/>
      <c r="F141" s="136"/>
      <c r="K141" s="159"/>
      <c r="L141" s="160"/>
      <c r="R141" s="159"/>
      <c r="S141" s="160"/>
      <c r="Y141" s="159"/>
      <c r="Z141" s="160"/>
      <c r="AF141" s="159"/>
      <c r="AG141" s="160"/>
      <c r="AM141" s="159"/>
      <c r="AN141" s="160"/>
    </row>
    <row r="142">
      <c r="C142" s="127"/>
      <c r="F142" s="136"/>
      <c r="K142" s="159"/>
      <c r="L142" s="160"/>
      <c r="R142" s="159"/>
      <c r="S142" s="160"/>
      <c r="Y142" s="159"/>
      <c r="Z142" s="160"/>
      <c r="AF142" s="159"/>
      <c r="AG142" s="160"/>
      <c r="AM142" s="159"/>
      <c r="AN142" s="160"/>
    </row>
    <row r="143">
      <c r="C143" s="127"/>
      <c r="F143" s="136"/>
      <c r="K143" s="159"/>
      <c r="L143" s="160"/>
      <c r="R143" s="159"/>
      <c r="S143" s="160"/>
      <c r="Y143" s="159"/>
      <c r="Z143" s="160"/>
      <c r="AF143" s="159"/>
      <c r="AG143" s="160"/>
      <c r="AM143" s="159"/>
      <c r="AN143" s="160"/>
    </row>
    <row r="144">
      <c r="C144" s="127"/>
      <c r="F144" s="136"/>
      <c r="K144" s="159"/>
      <c r="L144" s="160"/>
      <c r="R144" s="159"/>
      <c r="S144" s="160"/>
      <c r="Y144" s="159"/>
      <c r="Z144" s="160"/>
      <c r="AF144" s="159"/>
      <c r="AG144" s="160"/>
      <c r="AM144" s="159"/>
      <c r="AN144" s="160"/>
    </row>
    <row r="145">
      <c r="C145" s="127"/>
      <c r="F145" s="136"/>
      <c r="K145" s="159"/>
      <c r="L145" s="160"/>
      <c r="R145" s="159"/>
      <c r="S145" s="160"/>
      <c r="Y145" s="159"/>
      <c r="Z145" s="160"/>
      <c r="AF145" s="159"/>
      <c r="AG145" s="160"/>
      <c r="AM145" s="159"/>
      <c r="AN145" s="160"/>
    </row>
    <row r="146">
      <c r="C146" s="127"/>
      <c r="F146" s="136"/>
      <c r="K146" s="159"/>
      <c r="L146" s="160"/>
      <c r="R146" s="159"/>
      <c r="S146" s="160"/>
      <c r="Y146" s="159"/>
      <c r="Z146" s="160"/>
      <c r="AF146" s="159"/>
      <c r="AG146" s="160"/>
      <c r="AM146" s="159"/>
      <c r="AN146" s="160"/>
    </row>
    <row r="147">
      <c r="C147" s="127"/>
      <c r="F147" s="136"/>
      <c r="K147" s="159"/>
      <c r="L147" s="160"/>
      <c r="R147" s="159"/>
      <c r="S147" s="160"/>
      <c r="Y147" s="159"/>
      <c r="Z147" s="160"/>
      <c r="AF147" s="159"/>
      <c r="AG147" s="160"/>
      <c r="AM147" s="159"/>
      <c r="AN147" s="160"/>
    </row>
    <row r="148">
      <c r="C148" s="127"/>
      <c r="F148" s="136"/>
      <c r="K148" s="159"/>
      <c r="L148" s="160"/>
      <c r="R148" s="159"/>
      <c r="S148" s="160"/>
      <c r="Y148" s="159"/>
      <c r="Z148" s="160"/>
      <c r="AF148" s="159"/>
      <c r="AG148" s="160"/>
      <c r="AM148" s="159"/>
      <c r="AN148" s="160"/>
    </row>
    <row r="149">
      <c r="C149" s="127"/>
      <c r="F149" s="136"/>
      <c r="K149" s="159"/>
      <c r="L149" s="160"/>
      <c r="R149" s="159"/>
      <c r="S149" s="160"/>
      <c r="Y149" s="159"/>
      <c r="Z149" s="160"/>
      <c r="AF149" s="159"/>
      <c r="AG149" s="160"/>
      <c r="AM149" s="159"/>
      <c r="AN149" s="160"/>
    </row>
    <row r="150">
      <c r="C150" s="127"/>
      <c r="F150" s="136"/>
      <c r="K150" s="159"/>
      <c r="L150" s="160"/>
      <c r="R150" s="159"/>
      <c r="S150" s="160"/>
      <c r="Y150" s="159"/>
      <c r="Z150" s="160"/>
      <c r="AF150" s="159"/>
      <c r="AG150" s="160"/>
      <c r="AM150" s="159"/>
      <c r="AN150" s="160"/>
    </row>
    <row r="151">
      <c r="C151" s="127"/>
      <c r="F151" s="136"/>
      <c r="K151" s="159"/>
      <c r="L151" s="160"/>
      <c r="R151" s="159"/>
      <c r="S151" s="160"/>
      <c r="Y151" s="159"/>
      <c r="Z151" s="160"/>
      <c r="AF151" s="159"/>
      <c r="AG151" s="160"/>
      <c r="AM151" s="159"/>
      <c r="AN151" s="160"/>
    </row>
    <row r="152">
      <c r="C152" s="127"/>
      <c r="F152" s="136"/>
      <c r="K152" s="159"/>
      <c r="L152" s="160"/>
      <c r="R152" s="159"/>
      <c r="S152" s="160"/>
      <c r="Y152" s="159"/>
      <c r="Z152" s="160"/>
      <c r="AF152" s="159"/>
      <c r="AG152" s="160"/>
      <c r="AM152" s="159"/>
      <c r="AN152" s="160"/>
    </row>
    <row r="153">
      <c r="C153" s="127"/>
      <c r="F153" s="136"/>
      <c r="K153" s="159"/>
      <c r="L153" s="160"/>
      <c r="R153" s="159"/>
      <c r="S153" s="160"/>
      <c r="Y153" s="159"/>
      <c r="Z153" s="160"/>
      <c r="AF153" s="159"/>
      <c r="AG153" s="160"/>
      <c r="AM153" s="159"/>
      <c r="AN153" s="160"/>
    </row>
    <row r="154">
      <c r="C154" s="127"/>
      <c r="F154" s="136"/>
      <c r="K154" s="159"/>
      <c r="L154" s="160"/>
      <c r="R154" s="159"/>
      <c r="S154" s="160"/>
      <c r="Y154" s="159"/>
      <c r="Z154" s="160"/>
      <c r="AF154" s="159"/>
      <c r="AG154" s="160"/>
      <c r="AM154" s="159"/>
      <c r="AN154" s="160"/>
    </row>
    <row r="155">
      <c r="C155" s="127"/>
      <c r="F155" s="136"/>
      <c r="K155" s="159"/>
      <c r="L155" s="160"/>
      <c r="R155" s="159"/>
      <c r="S155" s="160"/>
      <c r="Y155" s="159"/>
      <c r="Z155" s="160"/>
      <c r="AF155" s="159"/>
      <c r="AG155" s="160"/>
      <c r="AM155" s="159"/>
      <c r="AN155" s="160"/>
    </row>
    <row r="156">
      <c r="C156" s="127"/>
      <c r="F156" s="136"/>
      <c r="K156" s="159"/>
      <c r="L156" s="160"/>
      <c r="R156" s="159"/>
      <c r="S156" s="160"/>
      <c r="Y156" s="159"/>
      <c r="Z156" s="160"/>
      <c r="AF156" s="159"/>
      <c r="AG156" s="160"/>
      <c r="AM156" s="159"/>
      <c r="AN156" s="160"/>
    </row>
    <row r="157">
      <c r="C157" s="127"/>
      <c r="F157" s="136"/>
      <c r="K157" s="159"/>
      <c r="L157" s="160"/>
      <c r="R157" s="159"/>
      <c r="S157" s="160"/>
      <c r="Y157" s="159"/>
      <c r="Z157" s="160"/>
      <c r="AF157" s="159"/>
      <c r="AG157" s="160"/>
      <c r="AM157" s="159"/>
      <c r="AN157" s="160"/>
    </row>
    <row r="158">
      <c r="C158" s="127"/>
      <c r="F158" s="136"/>
      <c r="K158" s="159"/>
      <c r="L158" s="160"/>
      <c r="R158" s="159"/>
      <c r="S158" s="160"/>
      <c r="Y158" s="159"/>
      <c r="Z158" s="160"/>
      <c r="AF158" s="159"/>
      <c r="AG158" s="160"/>
      <c r="AM158" s="159"/>
      <c r="AN158" s="160"/>
    </row>
    <row r="159">
      <c r="C159" s="127"/>
      <c r="F159" s="136"/>
      <c r="K159" s="159"/>
      <c r="L159" s="160"/>
      <c r="R159" s="159"/>
      <c r="S159" s="160"/>
      <c r="Y159" s="159"/>
      <c r="Z159" s="160"/>
      <c r="AF159" s="159"/>
      <c r="AG159" s="160"/>
      <c r="AM159" s="159"/>
      <c r="AN159" s="160"/>
    </row>
    <row r="160">
      <c r="C160" s="127"/>
      <c r="F160" s="136"/>
      <c r="K160" s="159"/>
      <c r="L160" s="160"/>
      <c r="R160" s="159"/>
      <c r="S160" s="160"/>
      <c r="Y160" s="159"/>
      <c r="Z160" s="160"/>
      <c r="AF160" s="159"/>
      <c r="AG160" s="160"/>
      <c r="AM160" s="159"/>
      <c r="AN160" s="160"/>
    </row>
    <row r="161">
      <c r="C161" s="127"/>
      <c r="F161" s="136"/>
      <c r="K161" s="159"/>
      <c r="L161" s="160"/>
      <c r="R161" s="159"/>
      <c r="S161" s="160"/>
      <c r="Y161" s="159"/>
      <c r="Z161" s="160"/>
      <c r="AF161" s="159"/>
      <c r="AG161" s="160"/>
      <c r="AM161" s="159"/>
      <c r="AN161" s="160"/>
    </row>
    <row r="162">
      <c r="C162" s="127"/>
      <c r="F162" s="136"/>
      <c r="K162" s="159"/>
      <c r="L162" s="160"/>
      <c r="R162" s="159"/>
      <c r="S162" s="160"/>
      <c r="Y162" s="159"/>
      <c r="Z162" s="160"/>
      <c r="AF162" s="159"/>
      <c r="AG162" s="160"/>
      <c r="AM162" s="159"/>
      <c r="AN162" s="160"/>
    </row>
    <row r="163">
      <c r="C163" s="127"/>
      <c r="F163" s="136"/>
      <c r="K163" s="159"/>
      <c r="L163" s="160"/>
      <c r="R163" s="159"/>
      <c r="S163" s="160"/>
      <c r="Y163" s="159"/>
      <c r="Z163" s="160"/>
      <c r="AF163" s="159"/>
      <c r="AG163" s="160"/>
      <c r="AM163" s="159"/>
      <c r="AN163" s="160"/>
    </row>
    <row r="164">
      <c r="C164" s="127"/>
      <c r="F164" s="136"/>
      <c r="K164" s="159"/>
      <c r="L164" s="160"/>
      <c r="R164" s="159"/>
      <c r="S164" s="160"/>
      <c r="Y164" s="159"/>
      <c r="Z164" s="160"/>
      <c r="AF164" s="159"/>
      <c r="AG164" s="160"/>
      <c r="AM164" s="159"/>
      <c r="AN164" s="160"/>
    </row>
    <row r="165">
      <c r="C165" s="127"/>
      <c r="F165" s="136"/>
      <c r="K165" s="159"/>
      <c r="L165" s="160"/>
      <c r="R165" s="159"/>
      <c r="S165" s="160"/>
      <c r="Y165" s="159"/>
      <c r="Z165" s="160"/>
      <c r="AF165" s="159"/>
      <c r="AG165" s="160"/>
      <c r="AM165" s="159"/>
      <c r="AN165" s="160"/>
    </row>
    <row r="166">
      <c r="C166" s="127"/>
      <c r="F166" s="136"/>
      <c r="K166" s="159"/>
      <c r="L166" s="160"/>
      <c r="R166" s="159"/>
      <c r="S166" s="160"/>
      <c r="Y166" s="159"/>
      <c r="Z166" s="160"/>
      <c r="AF166" s="159"/>
      <c r="AG166" s="160"/>
      <c r="AM166" s="159"/>
      <c r="AN166" s="160"/>
    </row>
    <row r="167">
      <c r="C167" s="127"/>
      <c r="F167" s="136"/>
      <c r="K167" s="159"/>
      <c r="L167" s="160"/>
      <c r="R167" s="159"/>
      <c r="S167" s="160"/>
      <c r="Y167" s="159"/>
      <c r="Z167" s="160"/>
      <c r="AF167" s="159"/>
      <c r="AG167" s="160"/>
      <c r="AM167" s="159"/>
      <c r="AN167" s="160"/>
    </row>
    <row r="168">
      <c r="C168" s="127"/>
      <c r="F168" s="136"/>
      <c r="K168" s="159"/>
      <c r="L168" s="160"/>
      <c r="R168" s="159"/>
      <c r="S168" s="160"/>
      <c r="Y168" s="159"/>
      <c r="Z168" s="160"/>
      <c r="AF168" s="159"/>
      <c r="AG168" s="160"/>
      <c r="AM168" s="159"/>
      <c r="AN168" s="160"/>
    </row>
    <row r="169">
      <c r="C169" s="127"/>
      <c r="F169" s="136"/>
      <c r="K169" s="159"/>
      <c r="L169" s="160"/>
      <c r="R169" s="159"/>
      <c r="S169" s="160"/>
      <c r="Y169" s="159"/>
      <c r="Z169" s="160"/>
      <c r="AF169" s="159"/>
      <c r="AG169" s="160"/>
      <c r="AM169" s="159"/>
      <c r="AN169" s="160"/>
    </row>
    <row r="170">
      <c r="C170" s="127"/>
      <c r="F170" s="136"/>
      <c r="K170" s="159"/>
      <c r="L170" s="160"/>
      <c r="R170" s="159"/>
      <c r="S170" s="160"/>
      <c r="Y170" s="159"/>
      <c r="Z170" s="160"/>
      <c r="AF170" s="159"/>
      <c r="AG170" s="160"/>
      <c r="AM170" s="159"/>
      <c r="AN170" s="160"/>
    </row>
    <row r="171">
      <c r="C171" s="127"/>
      <c r="F171" s="136"/>
      <c r="K171" s="159"/>
      <c r="L171" s="160"/>
      <c r="R171" s="159"/>
      <c r="S171" s="160"/>
      <c r="Y171" s="159"/>
      <c r="Z171" s="160"/>
      <c r="AF171" s="159"/>
      <c r="AG171" s="160"/>
      <c r="AM171" s="159"/>
      <c r="AN171" s="160"/>
    </row>
    <row r="172">
      <c r="C172" s="127"/>
      <c r="F172" s="136"/>
      <c r="K172" s="159"/>
      <c r="L172" s="160"/>
      <c r="R172" s="159"/>
      <c r="S172" s="160"/>
      <c r="Y172" s="159"/>
      <c r="Z172" s="160"/>
      <c r="AF172" s="159"/>
      <c r="AG172" s="160"/>
      <c r="AM172" s="159"/>
      <c r="AN172" s="160"/>
    </row>
    <row r="173">
      <c r="C173" s="127"/>
      <c r="F173" s="136"/>
      <c r="K173" s="159"/>
      <c r="L173" s="160"/>
      <c r="R173" s="159"/>
      <c r="S173" s="160"/>
      <c r="Y173" s="159"/>
      <c r="Z173" s="160"/>
      <c r="AF173" s="159"/>
      <c r="AG173" s="160"/>
      <c r="AM173" s="159"/>
      <c r="AN173" s="160"/>
    </row>
    <row r="174">
      <c r="C174" s="127"/>
      <c r="F174" s="136"/>
      <c r="K174" s="159"/>
      <c r="L174" s="160"/>
      <c r="R174" s="159"/>
      <c r="S174" s="160"/>
      <c r="Y174" s="159"/>
      <c r="Z174" s="160"/>
      <c r="AF174" s="159"/>
      <c r="AG174" s="160"/>
      <c r="AM174" s="159"/>
      <c r="AN174" s="160"/>
    </row>
    <row r="175">
      <c r="C175" s="127"/>
      <c r="F175" s="136"/>
      <c r="K175" s="159"/>
      <c r="L175" s="160"/>
      <c r="R175" s="159"/>
      <c r="S175" s="160"/>
      <c r="Y175" s="159"/>
      <c r="Z175" s="160"/>
      <c r="AF175" s="159"/>
      <c r="AG175" s="160"/>
      <c r="AM175" s="159"/>
      <c r="AN175" s="160"/>
    </row>
    <row r="176">
      <c r="C176" s="127"/>
      <c r="F176" s="136"/>
      <c r="K176" s="159"/>
      <c r="L176" s="160"/>
      <c r="R176" s="159"/>
      <c r="S176" s="160"/>
      <c r="Y176" s="159"/>
      <c r="Z176" s="160"/>
      <c r="AF176" s="159"/>
      <c r="AG176" s="160"/>
      <c r="AM176" s="159"/>
      <c r="AN176" s="160"/>
    </row>
    <row r="177">
      <c r="C177" s="127"/>
      <c r="F177" s="136"/>
      <c r="K177" s="159"/>
      <c r="L177" s="160"/>
      <c r="R177" s="159"/>
      <c r="S177" s="160"/>
      <c r="Y177" s="159"/>
      <c r="Z177" s="160"/>
      <c r="AF177" s="159"/>
      <c r="AG177" s="160"/>
      <c r="AM177" s="159"/>
      <c r="AN177" s="160"/>
    </row>
    <row r="178">
      <c r="C178" s="127"/>
      <c r="F178" s="136"/>
      <c r="K178" s="159"/>
      <c r="L178" s="160"/>
      <c r="R178" s="159"/>
      <c r="S178" s="160"/>
      <c r="Y178" s="159"/>
      <c r="Z178" s="160"/>
      <c r="AF178" s="159"/>
      <c r="AG178" s="160"/>
      <c r="AM178" s="159"/>
      <c r="AN178" s="160"/>
    </row>
    <row r="179">
      <c r="C179" s="127"/>
      <c r="F179" s="136"/>
      <c r="K179" s="159"/>
      <c r="L179" s="160"/>
      <c r="R179" s="159"/>
      <c r="S179" s="160"/>
      <c r="Y179" s="159"/>
      <c r="Z179" s="160"/>
      <c r="AF179" s="159"/>
      <c r="AG179" s="160"/>
      <c r="AM179" s="159"/>
      <c r="AN179" s="160"/>
    </row>
    <row r="180">
      <c r="C180" s="127"/>
      <c r="F180" s="136"/>
      <c r="K180" s="159"/>
      <c r="L180" s="160"/>
      <c r="R180" s="159"/>
      <c r="S180" s="160"/>
      <c r="Y180" s="159"/>
      <c r="Z180" s="160"/>
      <c r="AF180" s="159"/>
      <c r="AG180" s="160"/>
      <c r="AM180" s="159"/>
      <c r="AN180" s="160"/>
    </row>
    <row r="181">
      <c r="C181" s="127"/>
      <c r="F181" s="136"/>
      <c r="K181" s="159"/>
      <c r="L181" s="160"/>
      <c r="R181" s="159"/>
      <c r="S181" s="160"/>
      <c r="Y181" s="159"/>
      <c r="Z181" s="160"/>
      <c r="AF181" s="159"/>
      <c r="AG181" s="160"/>
      <c r="AM181" s="159"/>
      <c r="AN181" s="160"/>
    </row>
    <row r="182">
      <c r="C182" s="127"/>
      <c r="F182" s="136"/>
      <c r="K182" s="159"/>
      <c r="L182" s="160"/>
      <c r="R182" s="159"/>
      <c r="S182" s="160"/>
      <c r="Y182" s="159"/>
      <c r="Z182" s="160"/>
      <c r="AF182" s="159"/>
      <c r="AG182" s="160"/>
      <c r="AM182" s="159"/>
      <c r="AN182" s="160"/>
    </row>
    <row r="183">
      <c r="C183" s="127"/>
      <c r="F183" s="136"/>
      <c r="K183" s="159"/>
      <c r="L183" s="160"/>
      <c r="R183" s="159"/>
      <c r="S183" s="160"/>
      <c r="Y183" s="159"/>
      <c r="Z183" s="160"/>
      <c r="AF183" s="159"/>
      <c r="AG183" s="160"/>
      <c r="AM183" s="159"/>
      <c r="AN183" s="160"/>
    </row>
    <row r="184">
      <c r="C184" s="127"/>
      <c r="F184" s="136"/>
      <c r="K184" s="159"/>
      <c r="L184" s="160"/>
      <c r="R184" s="159"/>
      <c r="S184" s="160"/>
      <c r="Y184" s="159"/>
      <c r="Z184" s="160"/>
      <c r="AF184" s="159"/>
      <c r="AG184" s="160"/>
      <c r="AM184" s="159"/>
      <c r="AN184" s="160"/>
    </row>
    <row r="185">
      <c r="C185" s="127"/>
      <c r="F185" s="136"/>
      <c r="K185" s="159"/>
      <c r="L185" s="160"/>
      <c r="R185" s="159"/>
      <c r="S185" s="160"/>
      <c r="Y185" s="159"/>
      <c r="Z185" s="160"/>
      <c r="AF185" s="159"/>
      <c r="AG185" s="160"/>
      <c r="AM185" s="159"/>
      <c r="AN185" s="160"/>
    </row>
    <row r="186">
      <c r="C186" s="127"/>
      <c r="F186" s="136"/>
      <c r="K186" s="159"/>
      <c r="L186" s="160"/>
      <c r="R186" s="159"/>
      <c r="S186" s="160"/>
      <c r="Y186" s="159"/>
      <c r="Z186" s="160"/>
      <c r="AF186" s="159"/>
      <c r="AG186" s="160"/>
      <c r="AM186" s="159"/>
      <c r="AN186" s="160"/>
    </row>
    <row r="187">
      <c r="C187" s="127"/>
      <c r="F187" s="136"/>
      <c r="K187" s="159"/>
      <c r="L187" s="160"/>
      <c r="R187" s="159"/>
      <c r="S187" s="160"/>
      <c r="Y187" s="159"/>
      <c r="Z187" s="160"/>
      <c r="AF187" s="159"/>
      <c r="AG187" s="160"/>
      <c r="AM187" s="159"/>
      <c r="AN187" s="160"/>
    </row>
    <row r="188">
      <c r="C188" s="127"/>
      <c r="F188" s="136"/>
      <c r="K188" s="159"/>
      <c r="L188" s="160"/>
      <c r="R188" s="159"/>
      <c r="S188" s="160"/>
      <c r="Y188" s="159"/>
      <c r="Z188" s="160"/>
      <c r="AF188" s="159"/>
      <c r="AG188" s="160"/>
      <c r="AM188" s="159"/>
      <c r="AN188" s="160"/>
    </row>
    <row r="189">
      <c r="C189" s="127"/>
      <c r="F189" s="136"/>
      <c r="K189" s="159"/>
      <c r="L189" s="160"/>
      <c r="R189" s="159"/>
      <c r="S189" s="160"/>
      <c r="Y189" s="159"/>
      <c r="Z189" s="160"/>
      <c r="AF189" s="159"/>
      <c r="AG189" s="160"/>
      <c r="AM189" s="159"/>
      <c r="AN189" s="160"/>
    </row>
    <row r="190">
      <c r="C190" s="127"/>
      <c r="F190" s="136"/>
      <c r="K190" s="159"/>
      <c r="L190" s="160"/>
      <c r="R190" s="159"/>
      <c r="S190" s="160"/>
      <c r="Y190" s="159"/>
      <c r="Z190" s="160"/>
      <c r="AF190" s="159"/>
      <c r="AG190" s="160"/>
      <c r="AM190" s="159"/>
      <c r="AN190" s="160"/>
    </row>
    <row r="191">
      <c r="C191" s="127"/>
      <c r="F191" s="136"/>
      <c r="K191" s="159"/>
      <c r="L191" s="160"/>
      <c r="R191" s="159"/>
      <c r="S191" s="160"/>
      <c r="Y191" s="159"/>
      <c r="Z191" s="160"/>
      <c r="AF191" s="159"/>
      <c r="AG191" s="160"/>
      <c r="AM191" s="159"/>
      <c r="AN191" s="160"/>
    </row>
    <row r="192">
      <c r="C192" s="127"/>
      <c r="F192" s="136"/>
      <c r="K192" s="159"/>
      <c r="L192" s="160"/>
      <c r="R192" s="159"/>
      <c r="S192" s="160"/>
      <c r="Y192" s="159"/>
      <c r="Z192" s="160"/>
      <c r="AF192" s="159"/>
      <c r="AG192" s="160"/>
      <c r="AM192" s="159"/>
      <c r="AN192" s="160"/>
    </row>
    <row r="193">
      <c r="C193" s="127"/>
      <c r="F193" s="136"/>
      <c r="K193" s="159"/>
      <c r="L193" s="160"/>
      <c r="R193" s="159"/>
      <c r="S193" s="160"/>
      <c r="Y193" s="159"/>
      <c r="Z193" s="160"/>
      <c r="AF193" s="159"/>
      <c r="AG193" s="160"/>
      <c r="AM193" s="159"/>
      <c r="AN193" s="160"/>
    </row>
    <row r="194">
      <c r="C194" s="127"/>
      <c r="F194" s="136"/>
      <c r="K194" s="159"/>
      <c r="L194" s="160"/>
      <c r="R194" s="159"/>
      <c r="S194" s="160"/>
      <c r="Y194" s="159"/>
      <c r="Z194" s="160"/>
      <c r="AF194" s="159"/>
      <c r="AG194" s="160"/>
      <c r="AM194" s="159"/>
      <c r="AN194" s="160"/>
    </row>
    <row r="195">
      <c r="C195" s="127"/>
      <c r="F195" s="136"/>
      <c r="K195" s="159"/>
      <c r="L195" s="160"/>
      <c r="R195" s="159"/>
      <c r="S195" s="160"/>
      <c r="Y195" s="159"/>
      <c r="Z195" s="160"/>
      <c r="AF195" s="159"/>
      <c r="AG195" s="160"/>
      <c r="AM195" s="159"/>
      <c r="AN195" s="160"/>
    </row>
    <row r="196">
      <c r="C196" s="127"/>
      <c r="F196" s="136"/>
      <c r="K196" s="159"/>
      <c r="L196" s="160"/>
      <c r="R196" s="159"/>
      <c r="S196" s="160"/>
      <c r="Y196" s="159"/>
      <c r="Z196" s="160"/>
      <c r="AF196" s="159"/>
      <c r="AG196" s="160"/>
      <c r="AM196" s="159"/>
      <c r="AN196" s="160"/>
    </row>
    <row r="197">
      <c r="C197" s="127"/>
      <c r="F197" s="136"/>
      <c r="K197" s="159"/>
      <c r="L197" s="160"/>
      <c r="R197" s="159"/>
      <c r="S197" s="160"/>
      <c r="Y197" s="159"/>
      <c r="Z197" s="160"/>
      <c r="AF197" s="159"/>
      <c r="AG197" s="160"/>
      <c r="AM197" s="159"/>
      <c r="AN197" s="160"/>
    </row>
    <row r="198">
      <c r="C198" s="127"/>
      <c r="F198" s="136"/>
      <c r="K198" s="159"/>
      <c r="L198" s="160"/>
      <c r="R198" s="159"/>
      <c r="S198" s="160"/>
      <c r="Y198" s="159"/>
      <c r="Z198" s="160"/>
      <c r="AF198" s="159"/>
      <c r="AG198" s="160"/>
      <c r="AM198" s="159"/>
      <c r="AN198" s="160"/>
    </row>
    <row r="199">
      <c r="C199" s="127"/>
      <c r="F199" s="136"/>
      <c r="K199" s="159"/>
      <c r="L199" s="160"/>
      <c r="R199" s="159"/>
      <c r="S199" s="160"/>
      <c r="Y199" s="159"/>
      <c r="Z199" s="160"/>
      <c r="AF199" s="159"/>
      <c r="AG199" s="160"/>
      <c r="AM199" s="159"/>
      <c r="AN199" s="160"/>
    </row>
    <row r="200">
      <c r="C200" s="127"/>
      <c r="F200" s="136"/>
      <c r="K200" s="159"/>
      <c r="L200" s="160"/>
      <c r="R200" s="159"/>
      <c r="S200" s="160"/>
      <c r="Y200" s="159"/>
      <c r="Z200" s="160"/>
      <c r="AF200" s="159"/>
      <c r="AG200" s="160"/>
      <c r="AM200" s="159"/>
      <c r="AN200" s="160"/>
    </row>
    <row r="201">
      <c r="C201" s="127"/>
      <c r="F201" s="136"/>
      <c r="K201" s="159"/>
      <c r="L201" s="160"/>
      <c r="R201" s="159"/>
      <c r="S201" s="160"/>
      <c r="Y201" s="159"/>
      <c r="Z201" s="160"/>
      <c r="AF201" s="159"/>
      <c r="AG201" s="160"/>
      <c r="AM201" s="159"/>
      <c r="AN201" s="160"/>
    </row>
    <row r="202">
      <c r="C202" s="127"/>
      <c r="F202" s="136"/>
      <c r="K202" s="159"/>
      <c r="L202" s="160"/>
      <c r="R202" s="159"/>
      <c r="S202" s="160"/>
      <c r="Y202" s="159"/>
      <c r="Z202" s="160"/>
      <c r="AF202" s="159"/>
      <c r="AG202" s="160"/>
      <c r="AM202" s="159"/>
      <c r="AN202" s="160"/>
    </row>
    <row r="203">
      <c r="C203" s="127"/>
      <c r="F203" s="136"/>
      <c r="K203" s="159"/>
      <c r="L203" s="160"/>
      <c r="R203" s="159"/>
      <c r="S203" s="160"/>
      <c r="Y203" s="159"/>
      <c r="Z203" s="160"/>
      <c r="AF203" s="159"/>
      <c r="AG203" s="160"/>
      <c r="AM203" s="159"/>
      <c r="AN203" s="160"/>
    </row>
    <row r="204">
      <c r="C204" s="127"/>
      <c r="F204" s="136"/>
      <c r="K204" s="159"/>
      <c r="L204" s="160"/>
      <c r="R204" s="159"/>
      <c r="S204" s="160"/>
      <c r="Y204" s="159"/>
      <c r="Z204" s="160"/>
      <c r="AF204" s="159"/>
      <c r="AG204" s="160"/>
      <c r="AM204" s="159"/>
      <c r="AN204" s="160"/>
    </row>
    <row r="205">
      <c r="C205" s="127"/>
      <c r="F205" s="136"/>
      <c r="K205" s="159"/>
      <c r="L205" s="160"/>
      <c r="R205" s="159"/>
      <c r="S205" s="160"/>
      <c r="Y205" s="159"/>
      <c r="Z205" s="160"/>
      <c r="AF205" s="159"/>
      <c r="AG205" s="160"/>
      <c r="AM205" s="159"/>
      <c r="AN205" s="160"/>
    </row>
    <row r="206">
      <c r="C206" s="127"/>
      <c r="F206" s="136"/>
      <c r="K206" s="159"/>
      <c r="L206" s="160"/>
      <c r="R206" s="159"/>
      <c r="S206" s="160"/>
      <c r="Y206" s="159"/>
      <c r="Z206" s="160"/>
      <c r="AF206" s="159"/>
      <c r="AG206" s="160"/>
      <c r="AM206" s="159"/>
      <c r="AN206" s="160"/>
    </row>
    <row r="207">
      <c r="C207" s="127"/>
      <c r="F207" s="136"/>
      <c r="K207" s="159"/>
      <c r="L207" s="160"/>
      <c r="R207" s="159"/>
      <c r="S207" s="160"/>
      <c r="Y207" s="159"/>
      <c r="Z207" s="160"/>
      <c r="AF207" s="159"/>
      <c r="AG207" s="160"/>
      <c r="AM207" s="159"/>
      <c r="AN207" s="160"/>
    </row>
    <row r="208">
      <c r="C208" s="127"/>
      <c r="F208" s="136"/>
      <c r="K208" s="159"/>
      <c r="L208" s="160"/>
      <c r="R208" s="159"/>
      <c r="S208" s="160"/>
      <c r="Y208" s="159"/>
      <c r="Z208" s="160"/>
      <c r="AF208" s="159"/>
      <c r="AG208" s="160"/>
      <c r="AM208" s="159"/>
      <c r="AN208" s="160"/>
    </row>
    <row r="209">
      <c r="C209" s="127"/>
      <c r="F209" s="136"/>
      <c r="K209" s="159"/>
      <c r="L209" s="160"/>
      <c r="R209" s="159"/>
      <c r="S209" s="160"/>
      <c r="Y209" s="159"/>
      <c r="Z209" s="160"/>
      <c r="AF209" s="159"/>
      <c r="AG209" s="160"/>
      <c r="AM209" s="159"/>
      <c r="AN209" s="160"/>
    </row>
    <row r="210">
      <c r="C210" s="127"/>
      <c r="F210" s="136"/>
      <c r="K210" s="159"/>
      <c r="L210" s="160"/>
      <c r="R210" s="159"/>
      <c r="S210" s="160"/>
      <c r="Y210" s="159"/>
      <c r="Z210" s="160"/>
      <c r="AF210" s="159"/>
      <c r="AG210" s="160"/>
      <c r="AM210" s="159"/>
      <c r="AN210" s="160"/>
    </row>
    <row r="211">
      <c r="C211" s="127"/>
      <c r="F211" s="136"/>
      <c r="K211" s="159"/>
      <c r="L211" s="160"/>
      <c r="R211" s="159"/>
      <c r="S211" s="160"/>
      <c r="Y211" s="159"/>
      <c r="Z211" s="160"/>
      <c r="AF211" s="159"/>
      <c r="AG211" s="160"/>
      <c r="AM211" s="159"/>
      <c r="AN211" s="160"/>
    </row>
    <row r="212">
      <c r="C212" s="127"/>
      <c r="F212" s="136"/>
      <c r="K212" s="159"/>
      <c r="L212" s="160"/>
      <c r="R212" s="159"/>
      <c r="S212" s="160"/>
      <c r="Y212" s="159"/>
      <c r="Z212" s="160"/>
      <c r="AF212" s="159"/>
      <c r="AG212" s="160"/>
      <c r="AM212" s="159"/>
      <c r="AN212" s="160"/>
    </row>
    <row r="213">
      <c r="C213" s="127"/>
      <c r="F213" s="136"/>
      <c r="K213" s="159"/>
      <c r="L213" s="160"/>
      <c r="R213" s="159"/>
      <c r="S213" s="160"/>
      <c r="Y213" s="159"/>
      <c r="Z213" s="160"/>
      <c r="AF213" s="159"/>
      <c r="AG213" s="160"/>
      <c r="AM213" s="159"/>
      <c r="AN213" s="160"/>
    </row>
    <row r="214">
      <c r="C214" s="127"/>
      <c r="F214" s="136"/>
      <c r="K214" s="159"/>
      <c r="L214" s="160"/>
      <c r="R214" s="159"/>
      <c r="S214" s="160"/>
      <c r="Y214" s="159"/>
      <c r="Z214" s="160"/>
      <c r="AF214" s="159"/>
      <c r="AG214" s="160"/>
      <c r="AM214" s="159"/>
      <c r="AN214" s="160"/>
    </row>
    <row r="215">
      <c r="C215" s="127"/>
      <c r="F215" s="136"/>
      <c r="K215" s="159"/>
      <c r="L215" s="160"/>
      <c r="R215" s="159"/>
      <c r="S215" s="160"/>
      <c r="Y215" s="159"/>
      <c r="Z215" s="160"/>
      <c r="AF215" s="159"/>
      <c r="AG215" s="160"/>
      <c r="AM215" s="159"/>
      <c r="AN215" s="160"/>
    </row>
    <row r="216">
      <c r="C216" s="127"/>
      <c r="F216" s="136"/>
      <c r="K216" s="159"/>
      <c r="L216" s="160"/>
      <c r="R216" s="159"/>
      <c r="S216" s="160"/>
      <c r="Y216" s="159"/>
      <c r="Z216" s="160"/>
      <c r="AF216" s="159"/>
      <c r="AG216" s="160"/>
      <c r="AM216" s="159"/>
      <c r="AN216" s="160"/>
    </row>
    <row r="217">
      <c r="C217" s="127"/>
      <c r="F217" s="136"/>
      <c r="K217" s="159"/>
      <c r="L217" s="160"/>
      <c r="R217" s="159"/>
      <c r="S217" s="160"/>
      <c r="Y217" s="159"/>
      <c r="Z217" s="160"/>
      <c r="AF217" s="159"/>
      <c r="AG217" s="160"/>
      <c r="AM217" s="159"/>
      <c r="AN217" s="160"/>
    </row>
    <row r="218">
      <c r="C218" s="127"/>
      <c r="F218" s="136"/>
      <c r="K218" s="159"/>
      <c r="L218" s="160"/>
      <c r="R218" s="159"/>
      <c r="S218" s="160"/>
      <c r="Y218" s="159"/>
      <c r="Z218" s="160"/>
      <c r="AF218" s="159"/>
      <c r="AG218" s="160"/>
      <c r="AM218" s="159"/>
      <c r="AN218" s="160"/>
    </row>
    <row r="219">
      <c r="C219" s="127"/>
      <c r="F219" s="136"/>
      <c r="K219" s="159"/>
      <c r="L219" s="160"/>
      <c r="R219" s="159"/>
      <c r="S219" s="160"/>
      <c r="Y219" s="159"/>
      <c r="Z219" s="160"/>
      <c r="AF219" s="159"/>
      <c r="AG219" s="160"/>
      <c r="AM219" s="159"/>
      <c r="AN219" s="160"/>
    </row>
    <row r="220">
      <c r="C220" s="127"/>
      <c r="F220" s="136"/>
      <c r="K220" s="159"/>
      <c r="L220" s="160"/>
      <c r="R220" s="159"/>
      <c r="S220" s="160"/>
      <c r="Y220" s="159"/>
      <c r="Z220" s="160"/>
      <c r="AF220" s="159"/>
      <c r="AG220" s="160"/>
      <c r="AM220" s="159"/>
      <c r="AN220" s="160"/>
    </row>
    <row r="221">
      <c r="C221" s="127"/>
      <c r="F221" s="136"/>
      <c r="K221" s="159"/>
      <c r="L221" s="160"/>
      <c r="R221" s="159"/>
      <c r="S221" s="160"/>
      <c r="Y221" s="159"/>
      <c r="Z221" s="160"/>
      <c r="AF221" s="159"/>
      <c r="AG221" s="160"/>
      <c r="AM221" s="159"/>
      <c r="AN221" s="160"/>
    </row>
    <row r="222">
      <c r="C222" s="127"/>
      <c r="F222" s="136"/>
      <c r="K222" s="159"/>
      <c r="L222" s="160"/>
      <c r="R222" s="159"/>
      <c r="S222" s="160"/>
      <c r="Y222" s="159"/>
      <c r="Z222" s="160"/>
      <c r="AF222" s="159"/>
      <c r="AG222" s="160"/>
      <c r="AM222" s="159"/>
      <c r="AN222" s="160"/>
    </row>
    <row r="223">
      <c r="C223" s="127"/>
      <c r="F223" s="136"/>
      <c r="K223" s="159"/>
      <c r="L223" s="160"/>
      <c r="R223" s="159"/>
      <c r="S223" s="160"/>
      <c r="Y223" s="159"/>
      <c r="Z223" s="160"/>
      <c r="AF223" s="159"/>
      <c r="AG223" s="160"/>
      <c r="AM223" s="159"/>
      <c r="AN223" s="160"/>
    </row>
    <row r="224">
      <c r="C224" s="127"/>
      <c r="F224" s="136"/>
      <c r="K224" s="159"/>
      <c r="L224" s="160"/>
      <c r="R224" s="159"/>
      <c r="S224" s="160"/>
      <c r="Y224" s="159"/>
      <c r="Z224" s="160"/>
      <c r="AF224" s="159"/>
      <c r="AG224" s="160"/>
      <c r="AM224" s="159"/>
      <c r="AN224" s="160"/>
    </row>
    <row r="225">
      <c r="C225" s="127"/>
      <c r="F225" s="136"/>
      <c r="K225" s="159"/>
      <c r="L225" s="160"/>
      <c r="R225" s="159"/>
      <c r="S225" s="160"/>
      <c r="Y225" s="159"/>
      <c r="Z225" s="160"/>
      <c r="AF225" s="159"/>
      <c r="AG225" s="160"/>
      <c r="AM225" s="159"/>
      <c r="AN225" s="160"/>
    </row>
    <row r="226">
      <c r="C226" s="127"/>
      <c r="F226" s="136"/>
      <c r="K226" s="159"/>
      <c r="L226" s="160"/>
      <c r="R226" s="159"/>
      <c r="S226" s="160"/>
      <c r="Y226" s="159"/>
      <c r="Z226" s="160"/>
      <c r="AF226" s="159"/>
      <c r="AG226" s="160"/>
      <c r="AM226" s="159"/>
      <c r="AN226" s="160"/>
    </row>
    <row r="227">
      <c r="C227" s="127"/>
      <c r="F227" s="136"/>
      <c r="K227" s="159"/>
      <c r="L227" s="160"/>
      <c r="R227" s="159"/>
      <c r="S227" s="160"/>
      <c r="Y227" s="159"/>
      <c r="Z227" s="160"/>
      <c r="AF227" s="159"/>
      <c r="AG227" s="160"/>
      <c r="AM227" s="159"/>
      <c r="AN227" s="160"/>
    </row>
    <row r="228">
      <c r="C228" s="127"/>
      <c r="F228" s="136"/>
      <c r="K228" s="159"/>
      <c r="L228" s="160"/>
      <c r="R228" s="159"/>
      <c r="S228" s="160"/>
      <c r="Y228" s="159"/>
      <c r="Z228" s="160"/>
      <c r="AF228" s="159"/>
      <c r="AG228" s="160"/>
      <c r="AM228" s="159"/>
      <c r="AN228" s="160"/>
    </row>
    <row r="229">
      <c r="C229" s="127"/>
      <c r="F229" s="136"/>
      <c r="K229" s="159"/>
      <c r="L229" s="160"/>
      <c r="R229" s="159"/>
      <c r="S229" s="160"/>
      <c r="Y229" s="159"/>
      <c r="Z229" s="160"/>
      <c r="AF229" s="159"/>
      <c r="AG229" s="160"/>
      <c r="AM229" s="159"/>
      <c r="AN229" s="160"/>
    </row>
    <row r="230">
      <c r="C230" s="127"/>
      <c r="F230" s="136"/>
      <c r="K230" s="159"/>
      <c r="L230" s="160"/>
      <c r="R230" s="159"/>
      <c r="S230" s="160"/>
      <c r="Y230" s="159"/>
      <c r="Z230" s="160"/>
      <c r="AF230" s="159"/>
      <c r="AG230" s="160"/>
      <c r="AM230" s="159"/>
      <c r="AN230" s="160"/>
    </row>
    <row r="231">
      <c r="C231" s="127"/>
      <c r="F231" s="136"/>
      <c r="K231" s="159"/>
      <c r="L231" s="160"/>
      <c r="R231" s="159"/>
      <c r="S231" s="160"/>
      <c r="Y231" s="159"/>
      <c r="Z231" s="160"/>
      <c r="AF231" s="159"/>
      <c r="AG231" s="160"/>
      <c r="AM231" s="159"/>
      <c r="AN231" s="160"/>
    </row>
    <row r="232">
      <c r="C232" s="127"/>
      <c r="F232" s="136"/>
      <c r="K232" s="159"/>
      <c r="L232" s="160"/>
      <c r="R232" s="159"/>
      <c r="S232" s="160"/>
      <c r="Y232" s="159"/>
      <c r="Z232" s="160"/>
      <c r="AF232" s="159"/>
      <c r="AG232" s="160"/>
      <c r="AM232" s="159"/>
      <c r="AN232" s="160"/>
    </row>
    <row r="233">
      <c r="C233" s="127"/>
      <c r="F233" s="136"/>
      <c r="K233" s="159"/>
      <c r="L233" s="160"/>
      <c r="R233" s="159"/>
      <c r="S233" s="160"/>
      <c r="Y233" s="159"/>
      <c r="Z233" s="160"/>
      <c r="AF233" s="159"/>
      <c r="AG233" s="160"/>
      <c r="AM233" s="159"/>
      <c r="AN233" s="160"/>
    </row>
    <row r="234">
      <c r="C234" s="127"/>
      <c r="F234" s="136"/>
      <c r="K234" s="159"/>
      <c r="L234" s="160"/>
      <c r="R234" s="159"/>
      <c r="S234" s="160"/>
      <c r="Y234" s="159"/>
      <c r="Z234" s="160"/>
      <c r="AF234" s="159"/>
      <c r="AG234" s="160"/>
      <c r="AM234" s="159"/>
      <c r="AN234" s="160"/>
    </row>
    <row r="235">
      <c r="C235" s="127"/>
      <c r="F235" s="136"/>
      <c r="K235" s="159"/>
      <c r="L235" s="160"/>
      <c r="R235" s="159"/>
      <c r="S235" s="160"/>
      <c r="Y235" s="159"/>
      <c r="Z235" s="160"/>
      <c r="AF235" s="159"/>
      <c r="AG235" s="160"/>
      <c r="AM235" s="159"/>
      <c r="AN235" s="160"/>
    </row>
    <row r="236">
      <c r="C236" s="127"/>
      <c r="F236" s="136"/>
      <c r="K236" s="159"/>
      <c r="L236" s="160"/>
      <c r="R236" s="159"/>
      <c r="S236" s="160"/>
      <c r="Y236" s="159"/>
      <c r="Z236" s="160"/>
      <c r="AF236" s="159"/>
      <c r="AG236" s="160"/>
      <c r="AM236" s="159"/>
      <c r="AN236" s="160"/>
    </row>
    <row r="237">
      <c r="C237" s="127"/>
      <c r="F237" s="136"/>
      <c r="K237" s="159"/>
      <c r="L237" s="160"/>
      <c r="R237" s="159"/>
      <c r="S237" s="160"/>
      <c r="Y237" s="159"/>
      <c r="Z237" s="160"/>
      <c r="AF237" s="159"/>
      <c r="AG237" s="160"/>
      <c r="AM237" s="159"/>
      <c r="AN237" s="160"/>
    </row>
    <row r="238">
      <c r="C238" s="127"/>
      <c r="F238" s="136"/>
      <c r="K238" s="159"/>
      <c r="L238" s="160"/>
      <c r="R238" s="159"/>
      <c r="S238" s="160"/>
      <c r="Y238" s="159"/>
      <c r="Z238" s="160"/>
      <c r="AF238" s="159"/>
      <c r="AG238" s="160"/>
      <c r="AM238" s="159"/>
      <c r="AN238" s="160"/>
    </row>
    <row r="239">
      <c r="C239" s="127"/>
      <c r="F239" s="136"/>
      <c r="K239" s="159"/>
      <c r="L239" s="160"/>
      <c r="R239" s="159"/>
      <c r="S239" s="160"/>
      <c r="Y239" s="159"/>
      <c r="Z239" s="160"/>
      <c r="AF239" s="159"/>
      <c r="AG239" s="160"/>
      <c r="AM239" s="159"/>
      <c r="AN239" s="160"/>
    </row>
    <row r="240">
      <c r="C240" s="127"/>
      <c r="F240" s="136"/>
      <c r="K240" s="159"/>
      <c r="L240" s="160"/>
      <c r="R240" s="159"/>
      <c r="S240" s="160"/>
      <c r="Y240" s="159"/>
      <c r="Z240" s="160"/>
      <c r="AF240" s="159"/>
      <c r="AG240" s="160"/>
      <c r="AM240" s="159"/>
      <c r="AN240" s="160"/>
    </row>
    <row r="241">
      <c r="C241" s="127"/>
      <c r="F241" s="136"/>
      <c r="K241" s="159"/>
      <c r="L241" s="160"/>
      <c r="R241" s="159"/>
      <c r="S241" s="160"/>
      <c r="Y241" s="159"/>
      <c r="Z241" s="160"/>
      <c r="AF241" s="159"/>
      <c r="AG241" s="160"/>
      <c r="AM241" s="159"/>
      <c r="AN241" s="160"/>
    </row>
    <row r="242">
      <c r="C242" s="127"/>
      <c r="F242" s="136"/>
      <c r="K242" s="159"/>
      <c r="L242" s="160"/>
      <c r="R242" s="159"/>
      <c r="S242" s="160"/>
      <c r="Y242" s="159"/>
      <c r="Z242" s="160"/>
      <c r="AF242" s="159"/>
      <c r="AG242" s="160"/>
      <c r="AM242" s="159"/>
      <c r="AN242" s="160"/>
    </row>
    <row r="243">
      <c r="C243" s="127"/>
      <c r="F243" s="136"/>
      <c r="K243" s="159"/>
      <c r="L243" s="160"/>
      <c r="R243" s="159"/>
      <c r="S243" s="160"/>
      <c r="Y243" s="159"/>
      <c r="Z243" s="160"/>
      <c r="AF243" s="159"/>
      <c r="AG243" s="160"/>
      <c r="AM243" s="159"/>
      <c r="AN243" s="160"/>
    </row>
    <row r="244">
      <c r="C244" s="127"/>
      <c r="F244" s="136"/>
      <c r="K244" s="159"/>
      <c r="L244" s="160"/>
      <c r="R244" s="159"/>
      <c r="S244" s="160"/>
      <c r="Y244" s="159"/>
      <c r="Z244" s="160"/>
      <c r="AF244" s="159"/>
      <c r="AG244" s="160"/>
      <c r="AM244" s="159"/>
      <c r="AN244" s="160"/>
    </row>
    <row r="245">
      <c r="C245" s="127"/>
      <c r="F245" s="136"/>
      <c r="K245" s="159"/>
      <c r="L245" s="160"/>
      <c r="R245" s="159"/>
      <c r="S245" s="160"/>
      <c r="Y245" s="159"/>
      <c r="Z245" s="160"/>
      <c r="AF245" s="159"/>
      <c r="AG245" s="160"/>
      <c r="AM245" s="159"/>
      <c r="AN245" s="160"/>
    </row>
    <row r="246">
      <c r="C246" s="127"/>
      <c r="F246" s="136"/>
      <c r="K246" s="159"/>
      <c r="L246" s="160"/>
      <c r="R246" s="159"/>
      <c r="S246" s="160"/>
      <c r="Y246" s="159"/>
      <c r="Z246" s="160"/>
      <c r="AF246" s="159"/>
      <c r="AG246" s="160"/>
      <c r="AM246" s="159"/>
      <c r="AN246" s="160"/>
    </row>
    <row r="247">
      <c r="C247" s="127"/>
      <c r="F247" s="136"/>
      <c r="K247" s="159"/>
      <c r="L247" s="160"/>
      <c r="R247" s="159"/>
      <c r="S247" s="160"/>
      <c r="Y247" s="159"/>
      <c r="Z247" s="160"/>
      <c r="AF247" s="159"/>
      <c r="AG247" s="160"/>
      <c r="AM247" s="159"/>
      <c r="AN247" s="160"/>
    </row>
    <row r="248">
      <c r="C248" s="127"/>
      <c r="F248" s="136"/>
      <c r="K248" s="159"/>
      <c r="L248" s="160"/>
      <c r="R248" s="159"/>
      <c r="S248" s="160"/>
      <c r="Y248" s="159"/>
      <c r="Z248" s="160"/>
      <c r="AF248" s="159"/>
      <c r="AG248" s="160"/>
      <c r="AM248" s="159"/>
      <c r="AN248" s="160"/>
    </row>
    <row r="249">
      <c r="C249" s="127"/>
      <c r="F249" s="136"/>
      <c r="K249" s="159"/>
      <c r="L249" s="160"/>
      <c r="R249" s="159"/>
      <c r="S249" s="160"/>
      <c r="Y249" s="159"/>
      <c r="Z249" s="160"/>
      <c r="AF249" s="159"/>
      <c r="AG249" s="160"/>
      <c r="AM249" s="159"/>
      <c r="AN249" s="160"/>
    </row>
    <row r="250">
      <c r="C250" s="127"/>
      <c r="F250" s="136"/>
      <c r="K250" s="159"/>
      <c r="L250" s="160"/>
      <c r="R250" s="159"/>
      <c r="S250" s="160"/>
      <c r="Y250" s="159"/>
      <c r="Z250" s="160"/>
      <c r="AF250" s="159"/>
      <c r="AG250" s="160"/>
      <c r="AM250" s="159"/>
      <c r="AN250" s="160"/>
    </row>
    <row r="251">
      <c r="C251" s="127"/>
      <c r="F251" s="136"/>
      <c r="K251" s="159"/>
      <c r="L251" s="160"/>
      <c r="R251" s="159"/>
      <c r="S251" s="160"/>
      <c r="Y251" s="159"/>
      <c r="Z251" s="160"/>
      <c r="AF251" s="159"/>
      <c r="AG251" s="160"/>
      <c r="AM251" s="159"/>
      <c r="AN251" s="160"/>
    </row>
    <row r="252">
      <c r="C252" s="127"/>
      <c r="F252" s="136"/>
      <c r="K252" s="159"/>
      <c r="L252" s="160"/>
      <c r="R252" s="159"/>
      <c r="S252" s="160"/>
      <c r="Y252" s="159"/>
      <c r="Z252" s="160"/>
      <c r="AF252" s="159"/>
      <c r="AG252" s="160"/>
      <c r="AM252" s="159"/>
      <c r="AN252" s="160"/>
    </row>
    <row r="253">
      <c r="C253" s="127"/>
      <c r="F253" s="136"/>
      <c r="K253" s="159"/>
      <c r="L253" s="160"/>
      <c r="R253" s="159"/>
      <c r="S253" s="160"/>
      <c r="Y253" s="159"/>
      <c r="Z253" s="160"/>
      <c r="AF253" s="159"/>
      <c r="AG253" s="160"/>
      <c r="AM253" s="159"/>
      <c r="AN253" s="160"/>
    </row>
    <row r="254">
      <c r="C254" s="127"/>
      <c r="F254" s="136"/>
      <c r="K254" s="159"/>
      <c r="L254" s="160"/>
      <c r="R254" s="159"/>
      <c r="S254" s="160"/>
      <c r="Y254" s="159"/>
      <c r="Z254" s="160"/>
      <c r="AF254" s="159"/>
      <c r="AG254" s="160"/>
      <c r="AM254" s="159"/>
      <c r="AN254" s="160"/>
    </row>
    <row r="255">
      <c r="C255" s="127"/>
      <c r="F255" s="136"/>
      <c r="K255" s="159"/>
      <c r="L255" s="160"/>
      <c r="R255" s="159"/>
      <c r="S255" s="160"/>
      <c r="Y255" s="159"/>
      <c r="Z255" s="160"/>
      <c r="AF255" s="159"/>
      <c r="AG255" s="160"/>
      <c r="AM255" s="159"/>
      <c r="AN255" s="160"/>
    </row>
    <row r="256">
      <c r="C256" s="127"/>
      <c r="F256" s="136"/>
      <c r="K256" s="159"/>
      <c r="L256" s="160"/>
      <c r="R256" s="159"/>
      <c r="S256" s="160"/>
      <c r="Y256" s="159"/>
      <c r="Z256" s="160"/>
      <c r="AF256" s="159"/>
      <c r="AG256" s="160"/>
      <c r="AM256" s="159"/>
      <c r="AN256" s="160"/>
    </row>
    <row r="257">
      <c r="C257" s="127"/>
      <c r="F257" s="136"/>
      <c r="K257" s="159"/>
      <c r="L257" s="160"/>
      <c r="R257" s="159"/>
      <c r="S257" s="160"/>
      <c r="Y257" s="159"/>
      <c r="Z257" s="160"/>
      <c r="AF257" s="159"/>
      <c r="AG257" s="160"/>
      <c r="AM257" s="159"/>
      <c r="AN257" s="160"/>
    </row>
    <row r="258">
      <c r="C258" s="127"/>
      <c r="F258" s="136"/>
      <c r="K258" s="159"/>
      <c r="L258" s="160"/>
      <c r="R258" s="159"/>
      <c r="S258" s="160"/>
      <c r="Y258" s="159"/>
      <c r="Z258" s="160"/>
      <c r="AF258" s="159"/>
      <c r="AG258" s="160"/>
      <c r="AM258" s="159"/>
      <c r="AN258" s="160"/>
    </row>
    <row r="259">
      <c r="C259" s="127"/>
      <c r="F259" s="136"/>
      <c r="K259" s="159"/>
      <c r="L259" s="160"/>
      <c r="R259" s="159"/>
      <c r="S259" s="160"/>
      <c r="Y259" s="159"/>
      <c r="Z259" s="160"/>
      <c r="AF259" s="159"/>
      <c r="AG259" s="160"/>
      <c r="AM259" s="159"/>
      <c r="AN259" s="160"/>
    </row>
    <row r="260">
      <c r="C260" s="127"/>
      <c r="F260" s="136"/>
      <c r="K260" s="159"/>
      <c r="L260" s="160"/>
      <c r="R260" s="159"/>
      <c r="S260" s="160"/>
      <c r="Y260" s="159"/>
      <c r="Z260" s="160"/>
      <c r="AF260" s="159"/>
      <c r="AG260" s="160"/>
      <c r="AM260" s="159"/>
      <c r="AN260" s="160"/>
    </row>
    <row r="261">
      <c r="C261" s="127"/>
      <c r="F261" s="136"/>
      <c r="K261" s="159"/>
      <c r="L261" s="160"/>
      <c r="R261" s="159"/>
      <c r="S261" s="160"/>
      <c r="Y261" s="159"/>
      <c r="Z261" s="160"/>
      <c r="AF261" s="159"/>
      <c r="AG261" s="160"/>
      <c r="AM261" s="159"/>
      <c r="AN261" s="160"/>
    </row>
    <row r="262">
      <c r="C262" s="127"/>
      <c r="F262" s="136"/>
      <c r="K262" s="159"/>
      <c r="L262" s="160"/>
      <c r="R262" s="159"/>
      <c r="S262" s="160"/>
      <c r="Y262" s="159"/>
      <c r="Z262" s="160"/>
      <c r="AF262" s="159"/>
      <c r="AG262" s="160"/>
      <c r="AM262" s="159"/>
      <c r="AN262" s="160"/>
    </row>
    <row r="263">
      <c r="C263" s="127"/>
      <c r="F263" s="136"/>
      <c r="K263" s="159"/>
      <c r="L263" s="160"/>
      <c r="R263" s="159"/>
      <c r="S263" s="160"/>
      <c r="Y263" s="159"/>
      <c r="Z263" s="160"/>
      <c r="AF263" s="159"/>
      <c r="AG263" s="160"/>
      <c r="AM263" s="159"/>
      <c r="AN263" s="160"/>
    </row>
    <row r="264">
      <c r="C264" s="127"/>
      <c r="F264" s="136"/>
      <c r="K264" s="159"/>
      <c r="L264" s="160"/>
      <c r="R264" s="159"/>
      <c r="S264" s="160"/>
      <c r="Y264" s="159"/>
      <c r="Z264" s="160"/>
      <c r="AF264" s="159"/>
      <c r="AG264" s="160"/>
      <c r="AM264" s="159"/>
      <c r="AN264" s="160"/>
    </row>
    <row r="265">
      <c r="C265" s="127"/>
      <c r="F265" s="136"/>
      <c r="K265" s="159"/>
      <c r="L265" s="160"/>
      <c r="R265" s="159"/>
      <c r="S265" s="160"/>
      <c r="Y265" s="159"/>
      <c r="Z265" s="160"/>
      <c r="AF265" s="159"/>
      <c r="AG265" s="160"/>
      <c r="AM265" s="159"/>
      <c r="AN265" s="160"/>
    </row>
    <row r="266">
      <c r="C266" s="127"/>
      <c r="F266" s="136"/>
      <c r="K266" s="159"/>
      <c r="L266" s="160"/>
      <c r="R266" s="159"/>
      <c r="S266" s="160"/>
      <c r="Y266" s="159"/>
      <c r="Z266" s="160"/>
      <c r="AF266" s="159"/>
      <c r="AG266" s="160"/>
      <c r="AM266" s="159"/>
      <c r="AN266" s="160"/>
    </row>
    <row r="267">
      <c r="C267" s="127"/>
      <c r="F267" s="136"/>
      <c r="K267" s="159"/>
      <c r="L267" s="160"/>
      <c r="R267" s="159"/>
      <c r="S267" s="160"/>
      <c r="Y267" s="159"/>
      <c r="Z267" s="160"/>
      <c r="AF267" s="159"/>
      <c r="AG267" s="160"/>
      <c r="AM267" s="159"/>
      <c r="AN267" s="160"/>
    </row>
    <row r="268">
      <c r="C268" s="127"/>
      <c r="F268" s="136"/>
      <c r="K268" s="159"/>
      <c r="L268" s="160"/>
      <c r="R268" s="159"/>
      <c r="S268" s="160"/>
      <c r="Y268" s="159"/>
      <c r="Z268" s="160"/>
      <c r="AF268" s="159"/>
      <c r="AG268" s="160"/>
      <c r="AM268" s="159"/>
      <c r="AN268" s="160"/>
    </row>
    <row r="269">
      <c r="C269" s="127"/>
      <c r="F269" s="136"/>
      <c r="K269" s="159"/>
      <c r="L269" s="160"/>
      <c r="R269" s="159"/>
      <c r="S269" s="160"/>
      <c r="Y269" s="159"/>
      <c r="Z269" s="160"/>
      <c r="AF269" s="159"/>
      <c r="AG269" s="160"/>
      <c r="AM269" s="159"/>
      <c r="AN269" s="160"/>
    </row>
    <row r="270">
      <c r="C270" s="127"/>
      <c r="F270" s="136"/>
      <c r="K270" s="159"/>
      <c r="L270" s="160"/>
      <c r="R270" s="159"/>
      <c r="S270" s="160"/>
      <c r="Y270" s="159"/>
      <c r="Z270" s="160"/>
      <c r="AF270" s="159"/>
      <c r="AG270" s="160"/>
      <c r="AM270" s="159"/>
      <c r="AN270" s="160"/>
    </row>
    <row r="271">
      <c r="C271" s="127"/>
      <c r="F271" s="136"/>
      <c r="K271" s="159"/>
      <c r="L271" s="160"/>
      <c r="R271" s="159"/>
      <c r="S271" s="160"/>
      <c r="Y271" s="159"/>
      <c r="Z271" s="160"/>
      <c r="AF271" s="159"/>
      <c r="AG271" s="160"/>
      <c r="AM271" s="159"/>
      <c r="AN271" s="160"/>
    </row>
    <row r="272">
      <c r="C272" s="127"/>
      <c r="F272" s="136"/>
      <c r="K272" s="159"/>
      <c r="L272" s="160"/>
      <c r="R272" s="159"/>
      <c r="S272" s="160"/>
      <c r="Y272" s="159"/>
      <c r="Z272" s="160"/>
      <c r="AF272" s="159"/>
      <c r="AG272" s="160"/>
      <c r="AM272" s="159"/>
      <c r="AN272" s="160"/>
    </row>
    <row r="273">
      <c r="C273" s="127"/>
      <c r="F273" s="136"/>
      <c r="K273" s="159"/>
      <c r="L273" s="160"/>
      <c r="R273" s="159"/>
      <c r="S273" s="160"/>
      <c r="Y273" s="159"/>
      <c r="Z273" s="160"/>
      <c r="AF273" s="159"/>
      <c r="AG273" s="160"/>
      <c r="AM273" s="159"/>
      <c r="AN273" s="160"/>
    </row>
    <row r="274">
      <c r="C274" s="127"/>
      <c r="F274" s="136"/>
      <c r="K274" s="159"/>
      <c r="L274" s="160"/>
      <c r="R274" s="159"/>
      <c r="S274" s="160"/>
      <c r="Y274" s="159"/>
      <c r="Z274" s="160"/>
      <c r="AF274" s="159"/>
      <c r="AG274" s="160"/>
      <c r="AM274" s="159"/>
      <c r="AN274" s="160"/>
    </row>
    <row r="275">
      <c r="C275" s="127"/>
      <c r="F275" s="136"/>
      <c r="K275" s="159"/>
      <c r="L275" s="160"/>
      <c r="R275" s="159"/>
      <c r="S275" s="160"/>
      <c r="Y275" s="159"/>
      <c r="Z275" s="160"/>
      <c r="AF275" s="159"/>
      <c r="AG275" s="160"/>
      <c r="AM275" s="159"/>
      <c r="AN275" s="160"/>
    </row>
    <row r="276">
      <c r="C276" s="127"/>
      <c r="F276" s="136"/>
      <c r="K276" s="159"/>
      <c r="L276" s="160"/>
      <c r="R276" s="159"/>
      <c r="S276" s="160"/>
      <c r="Y276" s="159"/>
      <c r="Z276" s="160"/>
      <c r="AF276" s="159"/>
      <c r="AG276" s="160"/>
      <c r="AM276" s="159"/>
      <c r="AN276" s="160"/>
    </row>
    <row r="277">
      <c r="C277" s="127"/>
      <c r="F277" s="136"/>
      <c r="K277" s="159"/>
      <c r="L277" s="160"/>
      <c r="R277" s="159"/>
      <c r="S277" s="160"/>
      <c r="Y277" s="159"/>
      <c r="Z277" s="160"/>
      <c r="AF277" s="159"/>
      <c r="AG277" s="160"/>
      <c r="AM277" s="159"/>
      <c r="AN277" s="160"/>
    </row>
    <row r="278">
      <c r="C278" s="127"/>
      <c r="F278" s="136"/>
      <c r="K278" s="159"/>
      <c r="L278" s="160"/>
      <c r="R278" s="159"/>
      <c r="S278" s="160"/>
      <c r="Y278" s="159"/>
      <c r="Z278" s="160"/>
      <c r="AF278" s="159"/>
      <c r="AG278" s="160"/>
      <c r="AM278" s="159"/>
      <c r="AN278" s="160"/>
    </row>
    <row r="279">
      <c r="C279" s="127"/>
      <c r="F279" s="136"/>
      <c r="K279" s="159"/>
      <c r="L279" s="160"/>
      <c r="R279" s="159"/>
      <c r="S279" s="160"/>
      <c r="Y279" s="159"/>
      <c r="Z279" s="160"/>
      <c r="AF279" s="159"/>
      <c r="AG279" s="160"/>
      <c r="AM279" s="159"/>
      <c r="AN279" s="160"/>
    </row>
    <row r="280">
      <c r="C280" s="127"/>
      <c r="F280" s="136"/>
      <c r="K280" s="159"/>
      <c r="L280" s="160"/>
      <c r="R280" s="159"/>
      <c r="S280" s="160"/>
      <c r="Y280" s="159"/>
      <c r="Z280" s="160"/>
      <c r="AF280" s="159"/>
      <c r="AG280" s="160"/>
      <c r="AM280" s="159"/>
      <c r="AN280" s="160"/>
    </row>
    <row r="281">
      <c r="C281" s="127"/>
      <c r="F281" s="136"/>
      <c r="K281" s="159"/>
      <c r="L281" s="160"/>
      <c r="R281" s="159"/>
      <c r="S281" s="160"/>
      <c r="Y281" s="159"/>
      <c r="Z281" s="160"/>
      <c r="AF281" s="159"/>
      <c r="AG281" s="160"/>
      <c r="AM281" s="159"/>
      <c r="AN281" s="160"/>
    </row>
    <row r="282">
      <c r="C282" s="127"/>
      <c r="F282" s="136"/>
      <c r="K282" s="159"/>
      <c r="L282" s="160"/>
      <c r="R282" s="159"/>
      <c r="S282" s="160"/>
      <c r="Y282" s="159"/>
      <c r="Z282" s="160"/>
      <c r="AF282" s="159"/>
      <c r="AG282" s="160"/>
      <c r="AM282" s="159"/>
      <c r="AN282" s="160"/>
    </row>
    <row r="283">
      <c r="C283" s="127"/>
      <c r="F283" s="136"/>
      <c r="K283" s="159"/>
      <c r="L283" s="160"/>
      <c r="R283" s="159"/>
      <c r="S283" s="160"/>
      <c r="Y283" s="159"/>
      <c r="Z283" s="160"/>
      <c r="AF283" s="159"/>
      <c r="AG283" s="160"/>
      <c r="AM283" s="159"/>
      <c r="AN283" s="160"/>
    </row>
    <row r="284">
      <c r="C284" s="127"/>
      <c r="F284" s="136"/>
      <c r="K284" s="159"/>
      <c r="L284" s="160"/>
      <c r="R284" s="159"/>
      <c r="S284" s="160"/>
      <c r="Y284" s="159"/>
      <c r="Z284" s="160"/>
      <c r="AF284" s="159"/>
      <c r="AG284" s="160"/>
      <c r="AM284" s="159"/>
      <c r="AN284" s="160"/>
    </row>
    <row r="285">
      <c r="C285" s="127"/>
      <c r="F285" s="136"/>
      <c r="K285" s="159"/>
      <c r="L285" s="160"/>
      <c r="R285" s="159"/>
      <c r="S285" s="160"/>
      <c r="Y285" s="159"/>
      <c r="Z285" s="160"/>
      <c r="AF285" s="159"/>
      <c r="AG285" s="160"/>
      <c r="AM285" s="159"/>
      <c r="AN285" s="160"/>
    </row>
    <row r="286">
      <c r="C286" s="127"/>
      <c r="F286" s="136"/>
      <c r="K286" s="159"/>
      <c r="L286" s="160"/>
      <c r="R286" s="159"/>
      <c r="S286" s="160"/>
      <c r="Y286" s="159"/>
      <c r="Z286" s="160"/>
      <c r="AF286" s="159"/>
      <c r="AG286" s="160"/>
      <c r="AM286" s="159"/>
      <c r="AN286" s="160"/>
    </row>
    <row r="287">
      <c r="C287" s="127"/>
      <c r="F287" s="136"/>
      <c r="K287" s="159"/>
      <c r="L287" s="160"/>
      <c r="R287" s="159"/>
      <c r="S287" s="160"/>
      <c r="Y287" s="159"/>
      <c r="Z287" s="160"/>
      <c r="AF287" s="159"/>
      <c r="AG287" s="160"/>
      <c r="AM287" s="159"/>
      <c r="AN287" s="160"/>
    </row>
    <row r="288">
      <c r="C288" s="127"/>
      <c r="F288" s="136"/>
      <c r="K288" s="159"/>
      <c r="L288" s="160"/>
      <c r="R288" s="159"/>
      <c r="S288" s="160"/>
      <c r="Y288" s="159"/>
      <c r="Z288" s="160"/>
      <c r="AF288" s="159"/>
      <c r="AG288" s="160"/>
      <c r="AM288" s="159"/>
      <c r="AN288" s="160"/>
    </row>
    <row r="289">
      <c r="C289" s="127"/>
      <c r="F289" s="136"/>
      <c r="K289" s="159"/>
      <c r="L289" s="160"/>
      <c r="R289" s="159"/>
      <c r="S289" s="160"/>
      <c r="Y289" s="159"/>
      <c r="Z289" s="160"/>
      <c r="AF289" s="159"/>
      <c r="AG289" s="160"/>
      <c r="AM289" s="159"/>
      <c r="AN289" s="160"/>
    </row>
    <row r="290">
      <c r="C290" s="127"/>
      <c r="F290" s="136"/>
      <c r="K290" s="159"/>
      <c r="L290" s="160"/>
      <c r="R290" s="159"/>
      <c r="S290" s="160"/>
      <c r="Y290" s="159"/>
      <c r="Z290" s="160"/>
      <c r="AF290" s="159"/>
      <c r="AG290" s="160"/>
      <c r="AM290" s="159"/>
      <c r="AN290" s="160"/>
    </row>
    <row r="291">
      <c r="C291" s="127"/>
      <c r="F291" s="136"/>
      <c r="K291" s="159"/>
      <c r="L291" s="160"/>
      <c r="R291" s="159"/>
      <c r="S291" s="160"/>
      <c r="Y291" s="159"/>
      <c r="Z291" s="160"/>
      <c r="AF291" s="159"/>
      <c r="AG291" s="160"/>
      <c r="AM291" s="159"/>
      <c r="AN291" s="160"/>
    </row>
    <row r="292">
      <c r="C292" s="127"/>
      <c r="F292" s="136"/>
      <c r="K292" s="159"/>
      <c r="L292" s="160"/>
      <c r="R292" s="159"/>
      <c r="S292" s="160"/>
      <c r="Y292" s="159"/>
      <c r="Z292" s="160"/>
      <c r="AF292" s="159"/>
      <c r="AG292" s="160"/>
      <c r="AM292" s="159"/>
      <c r="AN292" s="160"/>
    </row>
    <row r="293">
      <c r="C293" s="127"/>
      <c r="F293" s="136"/>
      <c r="K293" s="159"/>
      <c r="L293" s="160"/>
      <c r="R293" s="159"/>
      <c r="S293" s="160"/>
      <c r="Y293" s="159"/>
      <c r="Z293" s="160"/>
      <c r="AF293" s="159"/>
      <c r="AG293" s="160"/>
      <c r="AM293" s="159"/>
      <c r="AN293" s="160"/>
    </row>
    <row r="294">
      <c r="C294" s="127"/>
      <c r="F294" s="136"/>
      <c r="K294" s="159"/>
      <c r="L294" s="160"/>
      <c r="R294" s="159"/>
      <c r="S294" s="160"/>
      <c r="Y294" s="159"/>
      <c r="Z294" s="160"/>
      <c r="AF294" s="159"/>
      <c r="AG294" s="160"/>
      <c r="AM294" s="159"/>
      <c r="AN294" s="160"/>
    </row>
    <row r="295">
      <c r="C295" s="127"/>
      <c r="F295" s="136"/>
      <c r="K295" s="159"/>
      <c r="L295" s="160"/>
      <c r="R295" s="159"/>
      <c r="S295" s="160"/>
      <c r="Y295" s="159"/>
      <c r="Z295" s="160"/>
      <c r="AF295" s="159"/>
      <c r="AG295" s="160"/>
      <c r="AM295" s="159"/>
      <c r="AN295" s="160"/>
    </row>
    <row r="296">
      <c r="C296" s="127"/>
      <c r="F296" s="136"/>
      <c r="K296" s="159"/>
      <c r="L296" s="160"/>
      <c r="R296" s="159"/>
      <c r="S296" s="160"/>
      <c r="Y296" s="159"/>
      <c r="Z296" s="160"/>
      <c r="AF296" s="159"/>
      <c r="AG296" s="160"/>
      <c r="AM296" s="159"/>
      <c r="AN296" s="160"/>
    </row>
    <row r="297">
      <c r="C297" s="127"/>
      <c r="F297" s="136"/>
      <c r="K297" s="159"/>
      <c r="L297" s="160"/>
      <c r="R297" s="159"/>
      <c r="S297" s="160"/>
      <c r="Y297" s="159"/>
      <c r="Z297" s="160"/>
      <c r="AF297" s="159"/>
      <c r="AG297" s="160"/>
      <c r="AM297" s="159"/>
      <c r="AN297" s="160"/>
    </row>
    <row r="298">
      <c r="C298" s="127"/>
      <c r="F298" s="136"/>
      <c r="K298" s="159"/>
      <c r="L298" s="160"/>
      <c r="R298" s="159"/>
      <c r="S298" s="160"/>
      <c r="Y298" s="159"/>
      <c r="Z298" s="160"/>
      <c r="AF298" s="159"/>
      <c r="AG298" s="160"/>
      <c r="AM298" s="159"/>
      <c r="AN298" s="160"/>
    </row>
    <row r="299">
      <c r="C299" s="127"/>
      <c r="F299" s="136"/>
      <c r="K299" s="159"/>
      <c r="L299" s="160"/>
      <c r="R299" s="159"/>
      <c r="S299" s="160"/>
      <c r="Y299" s="159"/>
      <c r="Z299" s="160"/>
      <c r="AF299" s="159"/>
      <c r="AG299" s="160"/>
      <c r="AM299" s="159"/>
      <c r="AN299" s="160"/>
    </row>
    <row r="300">
      <c r="C300" s="127"/>
      <c r="F300" s="136"/>
      <c r="K300" s="159"/>
      <c r="L300" s="160"/>
      <c r="R300" s="159"/>
      <c r="S300" s="160"/>
      <c r="Y300" s="159"/>
      <c r="Z300" s="160"/>
      <c r="AF300" s="159"/>
      <c r="AG300" s="160"/>
      <c r="AM300" s="159"/>
      <c r="AN300" s="160"/>
    </row>
    <row r="301">
      <c r="C301" s="127"/>
      <c r="F301" s="136"/>
      <c r="K301" s="159"/>
      <c r="L301" s="160"/>
      <c r="R301" s="159"/>
      <c r="S301" s="160"/>
      <c r="Y301" s="159"/>
      <c r="Z301" s="160"/>
      <c r="AF301" s="159"/>
      <c r="AG301" s="160"/>
      <c r="AM301" s="159"/>
      <c r="AN301" s="160"/>
    </row>
    <row r="302">
      <c r="C302" s="127"/>
      <c r="F302" s="136"/>
      <c r="K302" s="159"/>
      <c r="L302" s="160"/>
      <c r="R302" s="159"/>
      <c r="S302" s="160"/>
      <c r="Y302" s="159"/>
      <c r="Z302" s="160"/>
      <c r="AF302" s="159"/>
      <c r="AG302" s="160"/>
      <c r="AM302" s="159"/>
      <c r="AN302" s="160"/>
    </row>
    <row r="303">
      <c r="C303" s="127"/>
      <c r="F303" s="136"/>
      <c r="K303" s="159"/>
      <c r="L303" s="160"/>
      <c r="R303" s="159"/>
      <c r="S303" s="160"/>
      <c r="Y303" s="159"/>
      <c r="Z303" s="160"/>
      <c r="AF303" s="159"/>
      <c r="AG303" s="160"/>
      <c r="AM303" s="159"/>
      <c r="AN303" s="160"/>
    </row>
    <row r="304">
      <c r="C304" s="127"/>
      <c r="F304" s="136"/>
      <c r="K304" s="159"/>
      <c r="L304" s="160"/>
      <c r="R304" s="159"/>
      <c r="S304" s="160"/>
      <c r="Y304" s="159"/>
      <c r="Z304" s="160"/>
      <c r="AF304" s="159"/>
      <c r="AG304" s="160"/>
      <c r="AM304" s="159"/>
      <c r="AN304" s="160"/>
    </row>
    <row r="305">
      <c r="C305" s="127"/>
      <c r="F305" s="136"/>
      <c r="K305" s="159"/>
      <c r="L305" s="160"/>
      <c r="R305" s="159"/>
      <c r="S305" s="160"/>
      <c r="Y305" s="159"/>
      <c r="Z305" s="160"/>
      <c r="AF305" s="159"/>
      <c r="AG305" s="160"/>
      <c r="AM305" s="159"/>
      <c r="AN305" s="160"/>
    </row>
    <row r="306">
      <c r="C306" s="127"/>
      <c r="F306" s="136"/>
      <c r="K306" s="159"/>
      <c r="L306" s="160"/>
      <c r="R306" s="159"/>
      <c r="S306" s="160"/>
      <c r="Y306" s="159"/>
      <c r="Z306" s="160"/>
      <c r="AF306" s="159"/>
      <c r="AG306" s="160"/>
      <c r="AM306" s="159"/>
      <c r="AN306" s="160"/>
    </row>
    <row r="307">
      <c r="C307" s="127"/>
      <c r="F307" s="136"/>
      <c r="K307" s="159"/>
      <c r="L307" s="160"/>
      <c r="R307" s="159"/>
      <c r="S307" s="160"/>
      <c r="Y307" s="159"/>
      <c r="Z307" s="160"/>
      <c r="AF307" s="159"/>
      <c r="AG307" s="160"/>
      <c r="AM307" s="159"/>
      <c r="AN307" s="160"/>
    </row>
    <row r="308">
      <c r="C308" s="127"/>
      <c r="F308" s="136"/>
      <c r="K308" s="159"/>
      <c r="L308" s="160"/>
      <c r="R308" s="159"/>
      <c r="S308" s="160"/>
      <c r="Y308" s="159"/>
      <c r="Z308" s="160"/>
      <c r="AF308" s="159"/>
      <c r="AG308" s="160"/>
      <c r="AM308" s="159"/>
      <c r="AN308" s="160"/>
    </row>
    <row r="309">
      <c r="C309" s="127"/>
      <c r="F309" s="136"/>
      <c r="K309" s="159"/>
      <c r="L309" s="160"/>
      <c r="R309" s="159"/>
      <c r="S309" s="160"/>
      <c r="Y309" s="159"/>
      <c r="Z309" s="160"/>
      <c r="AF309" s="159"/>
      <c r="AG309" s="160"/>
      <c r="AM309" s="159"/>
      <c r="AN309" s="160"/>
    </row>
    <row r="310">
      <c r="C310" s="127"/>
      <c r="F310" s="136"/>
      <c r="K310" s="159"/>
      <c r="L310" s="160"/>
      <c r="R310" s="159"/>
      <c r="S310" s="160"/>
      <c r="Y310" s="159"/>
      <c r="Z310" s="160"/>
      <c r="AF310" s="159"/>
      <c r="AG310" s="160"/>
      <c r="AM310" s="159"/>
      <c r="AN310" s="160"/>
    </row>
    <row r="311">
      <c r="C311" s="127"/>
      <c r="F311" s="136"/>
      <c r="K311" s="159"/>
      <c r="L311" s="160"/>
      <c r="R311" s="159"/>
      <c r="S311" s="160"/>
      <c r="Y311" s="159"/>
      <c r="Z311" s="160"/>
      <c r="AF311" s="159"/>
      <c r="AG311" s="160"/>
      <c r="AM311" s="159"/>
      <c r="AN311" s="160"/>
    </row>
    <row r="312">
      <c r="C312" s="127"/>
      <c r="F312" s="136"/>
      <c r="K312" s="159"/>
      <c r="L312" s="160"/>
      <c r="R312" s="159"/>
      <c r="S312" s="160"/>
      <c r="Y312" s="159"/>
      <c r="Z312" s="160"/>
      <c r="AF312" s="159"/>
      <c r="AG312" s="160"/>
      <c r="AM312" s="159"/>
      <c r="AN312" s="160"/>
    </row>
    <row r="313">
      <c r="C313" s="127"/>
      <c r="F313" s="136"/>
      <c r="K313" s="159"/>
      <c r="L313" s="160"/>
      <c r="R313" s="159"/>
      <c r="S313" s="160"/>
      <c r="Y313" s="159"/>
      <c r="Z313" s="160"/>
      <c r="AF313" s="159"/>
      <c r="AG313" s="160"/>
      <c r="AM313" s="159"/>
      <c r="AN313" s="160"/>
    </row>
    <row r="314">
      <c r="C314" s="127"/>
      <c r="F314" s="136"/>
      <c r="K314" s="159"/>
      <c r="L314" s="160"/>
      <c r="R314" s="159"/>
      <c r="S314" s="160"/>
      <c r="Y314" s="159"/>
      <c r="Z314" s="160"/>
      <c r="AF314" s="159"/>
      <c r="AG314" s="160"/>
      <c r="AM314" s="159"/>
      <c r="AN314" s="160"/>
    </row>
    <row r="315">
      <c r="C315" s="127"/>
      <c r="F315" s="136"/>
      <c r="K315" s="159"/>
      <c r="L315" s="160"/>
      <c r="R315" s="159"/>
      <c r="S315" s="160"/>
      <c r="Y315" s="159"/>
      <c r="Z315" s="160"/>
      <c r="AF315" s="159"/>
      <c r="AG315" s="160"/>
      <c r="AM315" s="159"/>
      <c r="AN315" s="160"/>
    </row>
    <row r="316">
      <c r="C316" s="127"/>
      <c r="F316" s="136"/>
      <c r="K316" s="159"/>
      <c r="L316" s="160"/>
      <c r="R316" s="159"/>
      <c r="S316" s="160"/>
      <c r="Y316" s="159"/>
      <c r="Z316" s="160"/>
      <c r="AF316" s="159"/>
      <c r="AG316" s="160"/>
      <c r="AM316" s="159"/>
      <c r="AN316" s="160"/>
    </row>
    <row r="317">
      <c r="C317" s="127"/>
      <c r="F317" s="136"/>
      <c r="K317" s="159"/>
      <c r="L317" s="160"/>
      <c r="R317" s="159"/>
      <c r="S317" s="160"/>
      <c r="Y317" s="159"/>
      <c r="Z317" s="160"/>
      <c r="AF317" s="159"/>
      <c r="AG317" s="160"/>
      <c r="AM317" s="159"/>
      <c r="AN317" s="160"/>
    </row>
    <row r="318">
      <c r="C318" s="127"/>
      <c r="F318" s="136"/>
      <c r="K318" s="159"/>
      <c r="L318" s="160"/>
      <c r="R318" s="159"/>
      <c r="S318" s="160"/>
      <c r="Y318" s="159"/>
      <c r="Z318" s="160"/>
      <c r="AF318" s="159"/>
      <c r="AG318" s="160"/>
      <c r="AM318" s="159"/>
      <c r="AN318" s="160"/>
    </row>
    <row r="319">
      <c r="C319" s="127"/>
      <c r="F319" s="136"/>
      <c r="K319" s="159"/>
      <c r="L319" s="160"/>
      <c r="R319" s="159"/>
      <c r="S319" s="160"/>
      <c r="Y319" s="159"/>
      <c r="Z319" s="160"/>
      <c r="AF319" s="159"/>
      <c r="AG319" s="160"/>
      <c r="AM319" s="159"/>
      <c r="AN319" s="160"/>
    </row>
    <row r="320">
      <c r="C320" s="127"/>
      <c r="F320" s="136"/>
      <c r="K320" s="159"/>
      <c r="L320" s="160"/>
      <c r="R320" s="159"/>
      <c r="S320" s="160"/>
      <c r="Y320" s="159"/>
      <c r="Z320" s="160"/>
      <c r="AF320" s="159"/>
      <c r="AG320" s="160"/>
      <c r="AM320" s="159"/>
      <c r="AN320" s="160"/>
    </row>
    <row r="321">
      <c r="C321" s="127"/>
      <c r="F321" s="136"/>
      <c r="K321" s="159"/>
      <c r="L321" s="160"/>
      <c r="R321" s="159"/>
      <c r="S321" s="160"/>
      <c r="Y321" s="159"/>
      <c r="Z321" s="160"/>
      <c r="AF321" s="159"/>
      <c r="AG321" s="160"/>
      <c r="AM321" s="159"/>
      <c r="AN321" s="160"/>
    </row>
    <row r="322">
      <c r="C322" s="127"/>
      <c r="F322" s="136"/>
      <c r="K322" s="159"/>
      <c r="L322" s="160"/>
      <c r="R322" s="159"/>
      <c r="S322" s="160"/>
      <c r="Y322" s="159"/>
      <c r="Z322" s="160"/>
      <c r="AF322" s="159"/>
      <c r="AG322" s="160"/>
      <c r="AM322" s="159"/>
      <c r="AN322" s="160"/>
    </row>
    <row r="323">
      <c r="C323" s="127"/>
      <c r="F323" s="136"/>
      <c r="K323" s="159"/>
      <c r="L323" s="160"/>
      <c r="R323" s="159"/>
      <c r="S323" s="160"/>
      <c r="Y323" s="159"/>
      <c r="Z323" s="160"/>
      <c r="AF323" s="159"/>
      <c r="AG323" s="160"/>
      <c r="AM323" s="159"/>
      <c r="AN323" s="160"/>
    </row>
    <row r="324">
      <c r="C324" s="127"/>
      <c r="F324" s="136"/>
      <c r="K324" s="159"/>
      <c r="L324" s="160"/>
      <c r="R324" s="159"/>
      <c r="S324" s="160"/>
      <c r="Y324" s="159"/>
      <c r="Z324" s="160"/>
      <c r="AF324" s="159"/>
      <c r="AG324" s="160"/>
      <c r="AM324" s="159"/>
      <c r="AN324" s="160"/>
    </row>
    <row r="325">
      <c r="C325" s="127"/>
      <c r="F325" s="136"/>
      <c r="K325" s="159"/>
      <c r="L325" s="160"/>
      <c r="R325" s="159"/>
      <c r="S325" s="160"/>
      <c r="Y325" s="159"/>
      <c r="Z325" s="160"/>
      <c r="AF325" s="159"/>
      <c r="AG325" s="160"/>
      <c r="AM325" s="159"/>
      <c r="AN325" s="160"/>
    </row>
    <row r="326">
      <c r="C326" s="127"/>
      <c r="F326" s="136"/>
      <c r="K326" s="159"/>
      <c r="L326" s="160"/>
      <c r="R326" s="159"/>
      <c r="S326" s="160"/>
      <c r="Y326" s="159"/>
      <c r="Z326" s="160"/>
      <c r="AF326" s="159"/>
      <c r="AG326" s="160"/>
      <c r="AM326" s="159"/>
      <c r="AN326" s="160"/>
    </row>
    <row r="327">
      <c r="C327" s="127"/>
      <c r="F327" s="136"/>
      <c r="K327" s="159"/>
      <c r="L327" s="160"/>
      <c r="R327" s="159"/>
      <c r="S327" s="160"/>
      <c r="Y327" s="159"/>
      <c r="Z327" s="160"/>
      <c r="AF327" s="159"/>
      <c r="AG327" s="160"/>
      <c r="AM327" s="159"/>
      <c r="AN327" s="160"/>
    </row>
    <row r="328">
      <c r="C328" s="127"/>
      <c r="F328" s="136"/>
      <c r="K328" s="159"/>
      <c r="L328" s="160"/>
      <c r="R328" s="159"/>
      <c r="S328" s="160"/>
      <c r="Y328" s="159"/>
      <c r="Z328" s="160"/>
      <c r="AF328" s="159"/>
      <c r="AG328" s="160"/>
      <c r="AM328" s="159"/>
      <c r="AN328" s="160"/>
    </row>
    <row r="329">
      <c r="C329" s="127"/>
      <c r="F329" s="136"/>
      <c r="K329" s="159"/>
      <c r="L329" s="160"/>
      <c r="R329" s="159"/>
      <c r="S329" s="160"/>
      <c r="Y329" s="159"/>
      <c r="Z329" s="160"/>
      <c r="AF329" s="159"/>
      <c r="AG329" s="160"/>
      <c r="AM329" s="159"/>
      <c r="AN329" s="160"/>
    </row>
    <row r="330">
      <c r="C330" s="127"/>
      <c r="F330" s="136"/>
      <c r="K330" s="159"/>
      <c r="L330" s="160"/>
      <c r="R330" s="159"/>
      <c r="S330" s="160"/>
      <c r="Y330" s="159"/>
      <c r="Z330" s="160"/>
      <c r="AF330" s="159"/>
      <c r="AG330" s="160"/>
      <c r="AM330" s="159"/>
      <c r="AN330" s="160"/>
    </row>
    <row r="331">
      <c r="C331" s="127"/>
      <c r="F331" s="136"/>
      <c r="K331" s="159"/>
      <c r="L331" s="160"/>
      <c r="R331" s="159"/>
      <c r="S331" s="160"/>
      <c r="Y331" s="159"/>
      <c r="Z331" s="160"/>
      <c r="AF331" s="159"/>
      <c r="AG331" s="160"/>
      <c r="AM331" s="159"/>
      <c r="AN331" s="160"/>
    </row>
    <row r="332">
      <c r="C332" s="127"/>
      <c r="F332" s="136"/>
      <c r="K332" s="159"/>
      <c r="L332" s="160"/>
      <c r="R332" s="159"/>
      <c r="S332" s="160"/>
      <c r="Y332" s="159"/>
      <c r="Z332" s="160"/>
      <c r="AF332" s="159"/>
      <c r="AG332" s="160"/>
      <c r="AM332" s="159"/>
      <c r="AN332" s="160"/>
    </row>
    <row r="333">
      <c r="C333" s="127"/>
      <c r="F333" s="136"/>
      <c r="K333" s="159"/>
      <c r="L333" s="160"/>
      <c r="R333" s="159"/>
      <c r="S333" s="160"/>
      <c r="Y333" s="159"/>
      <c r="Z333" s="160"/>
      <c r="AF333" s="159"/>
      <c r="AG333" s="160"/>
      <c r="AM333" s="159"/>
      <c r="AN333" s="160"/>
    </row>
    <row r="334">
      <c r="C334" s="127"/>
      <c r="F334" s="136"/>
      <c r="K334" s="159"/>
      <c r="L334" s="160"/>
      <c r="R334" s="159"/>
      <c r="S334" s="160"/>
      <c r="Y334" s="159"/>
      <c r="Z334" s="160"/>
      <c r="AF334" s="159"/>
      <c r="AG334" s="160"/>
      <c r="AM334" s="159"/>
      <c r="AN334" s="160"/>
    </row>
    <row r="335">
      <c r="C335" s="127"/>
      <c r="F335" s="136"/>
      <c r="K335" s="159"/>
      <c r="L335" s="160"/>
      <c r="R335" s="159"/>
      <c r="S335" s="160"/>
      <c r="Y335" s="159"/>
      <c r="Z335" s="160"/>
      <c r="AF335" s="159"/>
      <c r="AG335" s="160"/>
      <c r="AM335" s="159"/>
      <c r="AN335" s="160"/>
    </row>
    <row r="336">
      <c r="C336" s="127"/>
      <c r="F336" s="136"/>
      <c r="K336" s="159"/>
      <c r="L336" s="160"/>
      <c r="R336" s="159"/>
      <c r="S336" s="160"/>
      <c r="Y336" s="159"/>
      <c r="Z336" s="160"/>
      <c r="AF336" s="159"/>
      <c r="AG336" s="160"/>
      <c r="AM336" s="159"/>
      <c r="AN336" s="160"/>
    </row>
    <row r="337">
      <c r="C337" s="127"/>
      <c r="F337" s="136"/>
      <c r="K337" s="159"/>
      <c r="L337" s="160"/>
      <c r="R337" s="159"/>
      <c r="S337" s="160"/>
      <c r="Y337" s="159"/>
      <c r="Z337" s="160"/>
      <c r="AF337" s="159"/>
      <c r="AG337" s="160"/>
      <c r="AM337" s="159"/>
      <c r="AN337" s="160"/>
    </row>
    <row r="338">
      <c r="C338" s="127"/>
      <c r="F338" s="136"/>
      <c r="K338" s="159"/>
      <c r="L338" s="160"/>
      <c r="R338" s="159"/>
      <c r="S338" s="160"/>
      <c r="Y338" s="159"/>
      <c r="Z338" s="160"/>
      <c r="AF338" s="159"/>
      <c r="AG338" s="160"/>
      <c r="AM338" s="159"/>
      <c r="AN338" s="160"/>
    </row>
    <row r="339">
      <c r="C339" s="127"/>
      <c r="F339" s="136"/>
      <c r="K339" s="159"/>
      <c r="L339" s="160"/>
      <c r="R339" s="159"/>
      <c r="S339" s="160"/>
      <c r="Y339" s="159"/>
      <c r="Z339" s="160"/>
      <c r="AF339" s="159"/>
      <c r="AG339" s="160"/>
      <c r="AM339" s="159"/>
      <c r="AN339" s="160"/>
    </row>
    <row r="340">
      <c r="C340" s="127"/>
      <c r="F340" s="136"/>
      <c r="K340" s="159"/>
      <c r="L340" s="160"/>
      <c r="R340" s="159"/>
      <c r="S340" s="160"/>
      <c r="Y340" s="159"/>
      <c r="Z340" s="160"/>
      <c r="AF340" s="159"/>
      <c r="AG340" s="160"/>
      <c r="AM340" s="159"/>
      <c r="AN340" s="160"/>
    </row>
    <row r="341">
      <c r="C341" s="127"/>
      <c r="F341" s="136"/>
      <c r="K341" s="159"/>
      <c r="L341" s="160"/>
      <c r="R341" s="159"/>
      <c r="S341" s="160"/>
      <c r="Y341" s="159"/>
      <c r="Z341" s="160"/>
      <c r="AF341" s="159"/>
      <c r="AG341" s="160"/>
      <c r="AM341" s="159"/>
      <c r="AN341" s="160"/>
    </row>
    <row r="342">
      <c r="C342" s="127"/>
      <c r="F342" s="136"/>
      <c r="K342" s="159"/>
      <c r="L342" s="160"/>
      <c r="R342" s="159"/>
      <c r="S342" s="160"/>
      <c r="Y342" s="159"/>
      <c r="Z342" s="160"/>
      <c r="AF342" s="159"/>
      <c r="AG342" s="160"/>
      <c r="AM342" s="159"/>
      <c r="AN342" s="160"/>
    </row>
    <row r="343">
      <c r="C343" s="127"/>
      <c r="F343" s="136"/>
      <c r="K343" s="159"/>
      <c r="L343" s="160"/>
      <c r="R343" s="159"/>
      <c r="S343" s="160"/>
      <c r="Y343" s="159"/>
      <c r="Z343" s="160"/>
      <c r="AF343" s="159"/>
      <c r="AG343" s="160"/>
      <c r="AM343" s="159"/>
      <c r="AN343" s="160"/>
    </row>
    <row r="344">
      <c r="C344" s="127"/>
      <c r="F344" s="136"/>
      <c r="K344" s="159"/>
      <c r="L344" s="160"/>
      <c r="R344" s="159"/>
      <c r="S344" s="160"/>
      <c r="Y344" s="159"/>
      <c r="Z344" s="160"/>
      <c r="AF344" s="159"/>
      <c r="AG344" s="160"/>
      <c r="AM344" s="159"/>
      <c r="AN344" s="160"/>
    </row>
    <row r="345">
      <c r="C345" s="127"/>
      <c r="F345" s="136"/>
      <c r="K345" s="159"/>
      <c r="L345" s="160"/>
      <c r="R345" s="159"/>
      <c r="S345" s="160"/>
      <c r="Y345" s="159"/>
      <c r="Z345" s="160"/>
      <c r="AF345" s="159"/>
      <c r="AG345" s="160"/>
      <c r="AM345" s="159"/>
      <c r="AN345" s="160"/>
    </row>
    <row r="346">
      <c r="C346" s="127"/>
      <c r="F346" s="136"/>
      <c r="K346" s="159"/>
      <c r="L346" s="160"/>
      <c r="R346" s="159"/>
      <c r="S346" s="160"/>
      <c r="Y346" s="159"/>
      <c r="Z346" s="160"/>
      <c r="AF346" s="159"/>
      <c r="AG346" s="160"/>
      <c r="AM346" s="159"/>
      <c r="AN346" s="160"/>
    </row>
    <row r="347">
      <c r="C347" s="127"/>
      <c r="F347" s="136"/>
      <c r="K347" s="159"/>
      <c r="L347" s="160"/>
      <c r="R347" s="159"/>
      <c r="S347" s="160"/>
      <c r="Y347" s="159"/>
      <c r="Z347" s="160"/>
      <c r="AF347" s="159"/>
      <c r="AG347" s="160"/>
      <c r="AM347" s="159"/>
      <c r="AN347" s="160"/>
    </row>
    <row r="348">
      <c r="C348" s="127"/>
      <c r="F348" s="136"/>
      <c r="K348" s="159"/>
      <c r="L348" s="160"/>
      <c r="R348" s="159"/>
      <c r="S348" s="160"/>
      <c r="Y348" s="159"/>
      <c r="Z348" s="160"/>
      <c r="AF348" s="159"/>
      <c r="AG348" s="160"/>
      <c r="AM348" s="159"/>
      <c r="AN348" s="160"/>
    </row>
    <row r="349">
      <c r="C349" s="127"/>
      <c r="F349" s="136"/>
      <c r="K349" s="159"/>
      <c r="L349" s="160"/>
      <c r="R349" s="159"/>
      <c r="S349" s="160"/>
      <c r="Y349" s="159"/>
      <c r="Z349" s="160"/>
      <c r="AF349" s="159"/>
      <c r="AG349" s="160"/>
      <c r="AM349" s="159"/>
      <c r="AN349" s="160"/>
    </row>
    <row r="350">
      <c r="C350" s="127"/>
      <c r="F350" s="136"/>
      <c r="K350" s="159"/>
      <c r="L350" s="160"/>
      <c r="R350" s="159"/>
      <c r="S350" s="160"/>
      <c r="Y350" s="159"/>
      <c r="Z350" s="160"/>
      <c r="AF350" s="159"/>
      <c r="AG350" s="160"/>
      <c r="AM350" s="159"/>
      <c r="AN350" s="160"/>
    </row>
    <row r="351">
      <c r="C351" s="127"/>
      <c r="F351" s="136"/>
      <c r="K351" s="159"/>
      <c r="L351" s="160"/>
      <c r="R351" s="159"/>
      <c r="S351" s="160"/>
      <c r="Y351" s="159"/>
      <c r="Z351" s="160"/>
      <c r="AF351" s="159"/>
      <c r="AG351" s="160"/>
      <c r="AM351" s="159"/>
      <c r="AN351" s="160"/>
    </row>
    <row r="352">
      <c r="C352" s="127"/>
      <c r="F352" s="136"/>
      <c r="K352" s="159"/>
      <c r="L352" s="160"/>
      <c r="R352" s="159"/>
      <c r="S352" s="160"/>
      <c r="Y352" s="159"/>
      <c r="Z352" s="160"/>
      <c r="AF352" s="159"/>
      <c r="AG352" s="160"/>
      <c r="AM352" s="159"/>
      <c r="AN352" s="160"/>
    </row>
    <row r="353">
      <c r="C353" s="127"/>
      <c r="F353" s="136"/>
      <c r="K353" s="159"/>
      <c r="L353" s="160"/>
      <c r="R353" s="159"/>
      <c r="S353" s="160"/>
      <c r="Y353" s="159"/>
      <c r="Z353" s="160"/>
      <c r="AF353" s="159"/>
      <c r="AG353" s="160"/>
      <c r="AM353" s="159"/>
      <c r="AN353" s="160"/>
    </row>
    <row r="354">
      <c r="C354" s="127"/>
      <c r="F354" s="136"/>
      <c r="K354" s="159"/>
      <c r="L354" s="160"/>
      <c r="R354" s="159"/>
      <c r="S354" s="160"/>
      <c r="Y354" s="159"/>
      <c r="Z354" s="160"/>
      <c r="AF354" s="159"/>
      <c r="AG354" s="160"/>
      <c r="AM354" s="159"/>
      <c r="AN354" s="160"/>
    </row>
    <row r="355">
      <c r="C355" s="127"/>
      <c r="F355" s="136"/>
      <c r="K355" s="159"/>
      <c r="L355" s="160"/>
      <c r="R355" s="159"/>
      <c r="S355" s="160"/>
      <c r="Y355" s="159"/>
      <c r="Z355" s="160"/>
      <c r="AF355" s="159"/>
      <c r="AG355" s="160"/>
      <c r="AM355" s="159"/>
      <c r="AN355" s="160"/>
    </row>
    <row r="356">
      <c r="C356" s="127"/>
      <c r="F356" s="136"/>
      <c r="K356" s="159"/>
      <c r="L356" s="160"/>
      <c r="R356" s="159"/>
      <c r="S356" s="160"/>
      <c r="Y356" s="159"/>
      <c r="Z356" s="160"/>
      <c r="AF356" s="159"/>
      <c r="AG356" s="160"/>
      <c r="AM356" s="159"/>
      <c r="AN356" s="160"/>
    </row>
    <row r="357">
      <c r="C357" s="127"/>
      <c r="F357" s="136"/>
      <c r="K357" s="159"/>
      <c r="L357" s="160"/>
      <c r="R357" s="159"/>
      <c r="S357" s="160"/>
      <c r="Y357" s="159"/>
      <c r="Z357" s="160"/>
      <c r="AF357" s="159"/>
      <c r="AG357" s="160"/>
      <c r="AM357" s="159"/>
      <c r="AN357" s="160"/>
    </row>
    <row r="358">
      <c r="C358" s="127"/>
      <c r="F358" s="136"/>
      <c r="K358" s="159"/>
      <c r="L358" s="160"/>
      <c r="R358" s="159"/>
      <c r="S358" s="160"/>
      <c r="Y358" s="159"/>
      <c r="Z358" s="160"/>
      <c r="AF358" s="159"/>
      <c r="AG358" s="160"/>
      <c r="AM358" s="159"/>
      <c r="AN358" s="160"/>
    </row>
    <row r="359">
      <c r="C359" s="127"/>
      <c r="F359" s="136"/>
      <c r="K359" s="159"/>
      <c r="L359" s="160"/>
      <c r="R359" s="159"/>
      <c r="S359" s="160"/>
      <c r="Y359" s="159"/>
      <c r="Z359" s="160"/>
      <c r="AF359" s="159"/>
      <c r="AG359" s="160"/>
      <c r="AM359" s="159"/>
      <c r="AN359" s="160"/>
    </row>
    <row r="360">
      <c r="C360" s="127"/>
      <c r="F360" s="136"/>
      <c r="K360" s="159"/>
      <c r="L360" s="160"/>
      <c r="R360" s="159"/>
      <c r="S360" s="160"/>
      <c r="Y360" s="159"/>
      <c r="Z360" s="160"/>
      <c r="AF360" s="159"/>
      <c r="AG360" s="160"/>
      <c r="AM360" s="159"/>
      <c r="AN360" s="160"/>
    </row>
    <row r="361">
      <c r="C361" s="127"/>
      <c r="F361" s="136"/>
      <c r="K361" s="159"/>
      <c r="L361" s="160"/>
      <c r="R361" s="159"/>
      <c r="S361" s="160"/>
      <c r="Y361" s="159"/>
      <c r="Z361" s="160"/>
      <c r="AF361" s="159"/>
      <c r="AG361" s="160"/>
      <c r="AM361" s="159"/>
      <c r="AN361" s="160"/>
    </row>
    <row r="362">
      <c r="C362" s="127"/>
      <c r="F362" s="136"/>
      <c r="K362" s="159"/>
      <c r="L362" s="160"/>
      <c r="R362" s="159"/>
      <c r="S362" s="160"/>
      <c r="Y362" s="159"/>
      <c r="Z362" s="160"/>
      <c r="AF362" s="159"/>
      <c r="AG362" s="160"/>
      <c r="AM362" s="159"/>
      <c r="AN362" s="160"/>
    </row>
    <row r="363">
      <c r="C363" s="127"/>
      <c r="F363" s="136"/>
      <c r="K363" s="159"/>
      <c r="L363" s="160"/>
      <c r="R363" s="159"/>
      <c r="S363" s="160"/>
      <c r="Y363" s="159"/>
      <c r="Z363" s="160"/>
      <c r="AF363" s="159"/>
      <c r="AG363" s="160"/>
      <c r="AM363" s="159"/>
      <c r="AN363" s="160"/>
    </row>
    <row r="364">
      <c r="C364" s="127"/>
      <c r="F364" s="136"/>
      <c r="K364" s="159"/>
      <c r="L364" s="160"/>
      <c r="R364" s="159"/>
      <c r="S364" s="160"/>
      <c r="Y364" s="159"/>
      <c r="Z364" s="160"/>
      <c r="AF364" s="159"/>
      <c r="AG364" s="160"/>
      <c r="AM364" s="159"/>
      <c r="AN364" s="160"/>
    </row>
    <row r="365">
      <c r="C365" s="127"/>
      <c r="F365" s="136"/>
      <c r="K365" s="159"/>
      <c r="L365" s="160"/>
      <c r="R365" s="159"/>
      <c r="S365" s="160"/>
      <c r="Y365" s="159"/>
      <c r="Z365" s="160"/>
      <c r="AF365" s="159"/>
      <c r="AG365" s="160"/>
      <c r="AM365" s="159"/>
      <c r="AN365" s="160"/>
    </row>
    <row r="366">
      <c r="C366" s="127"/>
      <c r="F366" s="136"/>
      <c r="K366" s="159"/>
      <c r="L366" s="160"/>
      <c r="R366" s="159"/>
      <c r="S366" s="160"/>
      <c r="Y366" s="159"/>
      <c r="Z366" s="160"/>
      <c r="AF366" s="159"/>
      <c r="AG366" s="160"/>
      <c r="AM366" s="159"/>
      <c r="AN366" s="160"/>
    </row>
    <row r="367">
      <c r="C367" s="127"/>
      <c r="F367" s="136"/>
      <c r="K367" s="159"/>
      <c r="L367" s="160"/>
      <c r="R367" s="159"/>
      <c r="S367" s="160"/>
      <c r="Y367" s="159"/>
      <c r="Z367" s="160"/>
      <c r="AF367" s="159"/>
      <c r="AG367" s="160"/>
      <c r="AM367" s="159"/>
      <c r="AN367" s="160"/>
    </row>
    <row r="368">
      <c r="C368" s="127"/>
      <c r="F368" s="136"/>
      <c r="K368" s="159"/>
      <c r="L368" s="160"/>
      <c r="R368" s="159"/>
      <c r="S368" s="160"/>
      <c r="Y368" s="159"/>
      <c r="Z368" s="160"/>
      <c r="AF368" s="159"/>
      <c r="AG368" s="160"/>
      <c r="AM368" s="159"/>
      <c r="AN368" s="160"/>
    </row>
    <row r="369">
      <c r="C369" s="127"/>
      <c r="F369" s="136"/>
      <c r="K369" s="159"/>
      <c r="L369" s="160"/>
      <c r="R369" s="159"/>
      <c r="S369" s="160"/>
      <c r="Y369" s="159"/>
      <c r="Z369" s="160"/>
      <c r="AF369" s="159"/>
      <c r="AG369" s="160"/>
      <c r="AM369" s="159"/>
      <c r="AN369" s="160"/>
    </row>
    <row r="370">
      <c r="C370" s="127"/>
      <c r="F370" s="136"/>
      <c r="K370" s="159"/>
      <c r="L370" s="160"/>
      <c r="R370" s="159"/>
      <c r="S370" s="160"/>
      <c r="Y370" s="159"/>
      <c r="Z370" s="160"/>
      <c r="AF370" s="159"/>
      <c r="AG370" s="160"/>
      <c r="AM370" s="159"/>
      <c r="AN370" s="160"/>
    </row>
    <row r="371">
      <c r="C371" s="127"/>
      <c r="F371" s="136"/>
      <c r="K371" s="159"/>
      <c r="L371" s="160"/>
      <c r="R371" s="159"/>
      <c r="S371" s="160"/>
      <c r="Y371" s="159"/>
      <c r="Z371" s="160"/>
      <c r="AF371" s="159"/>
      <c r="AG371" s="160"/>
      <c r="AM371" s="159"/>
      <c r="AN371" s="160"/>
    </row>
    <row r="372">
      <c r="C372" s="127"/>
      <c r="F372" s="136"/>
      <c r="K372" s="159"/>
      <c r="L372" s="160"/>
      <c r="R372" s="159"/>
      <c r="S372" s="160"/>
      <c r="Y372" s="159"/>
      <c r="Z372" s="160"/>
      <c r="AF372" s="159"/>
      <c r="AG372" s="160"/>
      <c r="AM372" s="159"/>
      <c r="AN372" s="160"/>
    </row>
    <row r="373">
      <c r="C373" s="127"/>
      <c r="F373" s="136"/>
      <c r="K373" s="159"/>
      <c r="L373" s="160"/>
      <c r="R373" s="159"/>
      <c r="S373" s="160"/>
      <c r="Y373" s="159"/>
      <c r="Z373" s="160"/>
      <c r="AF373" s="159"/>
      <c r="AG373" s="160"/>
      <c r="AM373" s="159"/>
      <c r="AN373" s="160"/>
    </row>
    <row r="374">
      <c r="C374" s="127"/>
      <c r="F374" s="136"/>
      <c r="K374" s="159"/>
      <c r="L374" s="160"/>
      <c r="R374" s="159"/>
      <c r="S374" s="160"/>
      <c r="Y374" s="159"/>
      <c r="Z374" s="160"/>
      <c r="AF374" s="159"/>
      <c r="AG374" s="160"/>
      <c r="AM374" s="159"/>
      <c r="AN374" s="160"/>
    </row>
    <row r="375">
      <c r="C375" s="127"/>
      <c r="F375" s="136"/>
      <c r="K375" s="159"/>
      <c r="L375" s="160"/>
      <c r="R375" s="159"/>
      <c r="S375" s="160"/>
      <c r="Y375" s="159"/>
      <c r="Z375" s="160"/>
      <c r="AF375" s="159"/>
      <c r="AG375" s="160"/>
      <c r="AM375" s="159"/>
      <c r="AN375" s="160"/>
    </row>
    <row r="376">
      <c r="C376" s="127"/>
      <c r="F376" s="136"/>
      <c r="K376" s="159"/>
      <c r="L376" s="160"/>
      <c r="R376" s="159"/>
      <c r="S376" s="160"/>
      <c r="Y376" s="159"/>
      <c r="Z376" s="160"/>
      <c r="AF376" s="159"/>
      <c r="AG376" s="160"/>
      <c r="AM376" s="159"/>
      <c r="AN376" s="160"/>
    </row>
    <row r="377">
      <c r="C377" s="127"/>
      <c r="F377" s="136"/>
      <c r="K377" s="159"/>
      <c r="L377" s="160"/>
      <c r="R377" s="159"/>
      <c r="S377" s="160"/>
      <c r="Y377" s="159"/>
      <c r="Z377" s="160"/>
      <c r="AF377" s="159"/>
      <c r="AG377" s="160"/>
      <c r="AM377" s="159"/>
      <c r="AN377" s="160"/>
    </row>
    <row r="378">
      <c r="C378" s="127"/>
      <c r="F378" s="136"/>
      <c r="K378" s="159"/>
      <c r="L378" s="160"/>
      <c r="R378" s="159"/>
      <c r="S378" s="160"/>
      <c r="Y378" s="159"/>
      <c r="Z378" s="160"/>
      <c r="AF378" s="159"/>
      <c r="AG378" s="160"/>
      <c r="AM378" s="159"/>
      <c r="AN378" s="160"/>
    </row>
    <row r="379">
      <c r="C379" s="127"/>
      <c r="F379" s="136"/>
      <c r="K379" s="159"/>
      <c r="L379" s="160"/>
      <c r="R379" s="159"/>
      <c r="S379" s="160"/>
      <c r="Y379" s="159"/>
      <c r="Z379" s="160"/>
      <c r="AF379" s="159"/>
      <c r="AG379" s="160"/>
      <c r="AM379" s="159"/>
      <c r="AN379" s="160"/>
    </row>
    <row r="380">
      <c r="C380" s="127"/>
      <c r="F380" s="136"/>
      <c r="K380" s="159"/>
      <c r="L380" s="160"/>
      <c r="R380" s="159"/>
      <c r="S380" s="160"/>
      <c r="Y380" s="159"/>
      <c r="Z380" s="160"/>
      <c r="AF380" s="159"/>
      <c r="AG380" s="160"/>
      <c r="AM380" s="159"/>
      <c r="AN380" s="160"/>
    </row>
    <row r="381">
      <c r="C381" s="127"/>
      <c r="F381" s="136"/>
      <c r="K381" s="159"/>
      <c r="L381" s="160"/>
      <c r="R381" s="159"/>
      <c r="S381" s="160"/>
      <c r="Y381" s="159"/>
      <c r="Z381" s="160"/>
      <c r="AF381" s="159"/>
      <c r="AG381" s="160"/>
      <c r="AM381" s="159"/>
      <c r="AN381" s="160"/>
    </row>
    <row r="382">
      <c r="C382" s="127"/>
      <c r="F382" s="136"/>
      <c r="K382" s="159"/>
      <c r="L382" s="160"/>
      <c r="R382" s="159"/>
      <c r="S382" s="160"/>
      <c r="Y382" s="159"/>
      <c r="Z382" s="160"/>
      <c r="AF382" s="159"/>
      <c r="AG382" s="160"/>
      <c r="AM382" s="159"/>
      <c r="AN382" s="160"/>
    </row>
    <row r="383">
      <c r="C383" s="127"/>
      <c r="F383" s="136"/>
      <c r="K383" s="159"/>
      <c r="L383" s="160"/>
      <c r="R383" s="159"/>
      <c r="S383" s="160"/>
      <c r="Y383" s="159"/>
      <c r="Z383" s="160"/>
      <c r="AF383" s="159"/>
      <c r="AG383" s="160"/>
      <c r="AM383" s="159"/>
      <c r="AN383" s="160"/>
    </row>
    <row r="384">
      <c r="C384" s="127"/>
      <c r="F384" s="136"/>
      <c r="K384" s="159"/>
      <c r="L384" s="160"/>
      <c r="R384" s="159"/>
      <c r="S384" s="160"/>
      <c r="Y384" s="159"/>
      <c r="Z384" s="160"/>
      <c r="AF384" s="159"/>
      <c r="AG384" s="160"/>
      <c r="AM384" s="159"/>
      <c r="AN384" s="160"/>
    </row>
    <row r="385">
      <c r="C385" s="127"/>
      <c r="F385" s="136"/>
      <c r="K385" s="159"/>
      <c r="L385" s="160"/>
      <c r="R385" s="159"/>
      <c r="S385" s="160"/>
      <c r="Y385" s="159"/>
      <c r="Z385" s="160"/>
      <c r="AF385" s="159"/>
      <c r="AG385" s="160"/>
      <c r="AM385" s="159"/>
      <c r="AN385" s="160"/>
    </row>
    <row r="386">
      <c r="C386" s="127"/>
      <c r="F386" s="136"/>
      <c r="K386" s="159"/>
      <c r="L386" s="160"/>
      <c r="R386" s="159"/>
      <c r="S386" s="160"/>
      <c r="Y386" s="159"/>
      <c r="Z386" s="160"/>
      <c r="AF386" s="159"/>
      <c r="AG386" s="160"/>
      <c r="AM386" s="159"/>
      <c r="AN386" s="160"/>
    </row>
    <row r="387">
      <c r="C387" s="127"/>
      <c r="F387" s="136"/>
      <c r="K387" s="159"/>
      <c r="L387" s="160"/>
      <c r="R387" s="159"/>
      <c r="S387" s="160"/>
      <c r="Y387" s="159"/>
      <c r="Z387" s="160"/>
      <c r="AF387" s="159"/>
      <c r="AG387" s="160"/>
      <c r="AM387" s="159"/>
      <c r="AN387" s="160"/>
    </row>
    <row r="388">
      <c r="C388" s="127"/>
      <c r="F388" s="136"/>
      <c r="K388" s="159"/>
      <c r="L388" s="160"/>
      <c r="R388" s="159"/>
      <c r="S388" s="160"/>
      <c r="Y388" s="159"/>
      <c r="Z388" s="160"/>
      <c r="AF388" s="159"/>
      <c r="AG388" s="160"/>
      <c r="AM388" s="159"/>
      <c r="AN388" s="160"/>
    </row>
    <row r="389">
      <c r="C389" s="127"/>
      <c r="F389" s="136"/>
      <c r="K389" s="159"/>
      <c r="L389" s="160"/>
      <c r="R389" s="159"/>
      <c r="S389" s="160"/>
      <c r="Y389" s="159"/>
      <c r="Z389" s="160"/>
      <c r="AF389" s="159"/>
      <c r="AG389" s="160"/>
      <c r="AM389" s="159"/>
      <c r="AN389" s="160"/>
    </row>
    <row r="390">
      <c r="C390" s="127"/>
      <c r="F390" s="136"/>
      <c r="K390" s="159"/>
      <c r="L390" s="160"/>
      <c r="R390" s="159"/>
      <c r="S390" s="160"/>
      <c r="Y390" s="159"/>
      <c r="Z390" s="160"/>
      <c r="AF390" s="159"/>
      <c r="AG390" s="160"/>
      <c r="AM390" s="159"/>
      <c r="AN390" s="160"/>
    </row>
    <row r="391">
      <c r="C391" s="127"/>
      <c r="F391" s="136"/>
      <c r="K391" s="159"/>
      <c r="L391" s="160"/>
      <c r="R391" s="159"/>
      <c r="S391" s="160"/>
      <c r="Y391" s="159"/>
      <c r="Z391" s="160"/>
      <c r="AF391" s="159"/>
      <c r="AG391" s="160"/>
      <c r="AM391" s="159"/>
      <c r="AN391" s="160"/>
    </row>
    <row r="392">
      <c r="C392" s="127"/>
      <c r="F392" s="136"/>
      <c r="K392" s="159"/>
      <c r="L392" s="160"/>
      <c r="R392" s="159"/>
      <c r="S392" s="160"/>
      <c r="Y392" s="159"/>
      <c r="Z392" s="160"/>
      <c r="AF392" s="159"/>
      <c r="AG392" s="160"/>
      <c r="AM392" s="159"/>
      <c r="AN392" s="160"/>
    </row>
    <row r="393">
      <c r="C393" s="127"/>
      <c r="F393" s="136"/>
      <c r="K393" s="159"/>
      <c r="L393" s="160"/>
      <c r="R393" s="159"/>
      <c r="S393" s="160"/>
      <c r="Y393" s="159"/>
      <c r="Z393" s="160"/>
      <c r="AF393" s="159"/>
      <c r="AG393" s="160"/>
      <c r="AM393" s="159"/>
      <c r="AN393" s="160"/>
    </row>
    <row r="394">
      <c r="C394" s="127"/>
      <c r="F394" s="136"/>
      <c r="K394" s="159"/>
      <c r="L394" s="160"/>
      <c r="R394" s="159"/>
      <c r="S394" s="160"/>
      <c r="Y394" s="159"/>
      <c r="Z394" s="160"/>
      <c r="AF394" s="159"/>
      <c r="AG394" s="160"/>
      <c r="AM394" s="159"/>
      <c r="AN394" s="160"/>
    </row>
    <row r="395">
      <c r="C395" s="127"/>
      <c r="F395" s="136"/>
      <c r="K395" s="159"/>
      <c r="L395" s="160"/>
      <c r="R395" s="159"/>
      <c r="S395" s="160"/>
      <c r="Y395" s="159"/>
      <c r="Z395" s="160"/>
      <c r="AF395" s="159"/>
      <c r="AG395" s="160"/>
      <c r="AM395" s="159"/>
      <c r="AN395" s="160"/>
    </row>
    <row r="396">
      <c r="C396" s="127"/>
      <c r="F396" s="136"/>
      <c r="K396" s="159"/>
      <c r="L396" s="160"/>
      <c r="R396" s="159"/>
      <c r="S396" s="160"/>
      <c r="Y396" s="159"/>
      <c r="Z396" s="160"/>
      <c r="AF396" s="159"/>
      <c r="AG396" s="160"/>
      <c r="AM396" s="159"/>
      <c r="AN396" s="160"/>
    </row>
    <row r="397">
      <c r="C397" s="127"/>
      <c r="F397" s="136"/>
      <c r="K397" s="159"/>
      <c r="L397" s="160"/>
      <c r="R397" s="159"/>
      <c r="S397" s="160"/>
      <c r="Y397" s="159"/>
      <c r="Z397" s="160"/>
      <c r="AF397" s="159"/>
      <c r="AG397" s="160"/>
      <c r="AM397" s="159"/>
      <c r="AN397" s="160"/>
    </row>
    <row r="398">
      <c r="C398" s="127"/>
      <c r="F398" s="136"/>
      <c r="K398" s="159"/>
      <c r="L398" s="160"/>
      <c r="R398" s="159"/>
      <c r="S398" s="160"/>
      <c r="Y398" s="159"/>
      <c r="Z398" s="160"/>
      <c r="AF398" s="159"/>
      <c r="AG398" s="160"/>
      <c r="AM398" s="159"/>
      <c r="AN398" s="160"/>
    </row>
    <row r="399">
      <c r="C399" s="127"/>
      <c r="F399" s="136"/>
      <c r="K399" s="159"/>
      <c r="L399" s="160"/>
      <c r="R399" s="159"/>
      <c r="S399" s="160"/>
      <c r="Y399" s="159"/>
      <c r="Z399" s="160"/>
      <c r="AF399" s="159"/>
      <c r="AG399" s="160"/>
      <c r="AM399" s="159"/>
      <c r="AN399" s="160"/>
    </row>
    <row r="400">
      <c r="C400" s="127"/>
      <c r="F400" s="136"/>
      <c r="K400" s="159"/>
      <c r="L400" s="160"/>
      <c r="R400" s="159"/>
      <c r="S400" s="160"/>
      <c r="Y400" s="159"/>
      <c r="Z400" s="160"/>
      <c r="AF400" s="159"/>
      <c r="AG400" s="160"/>
      <c r="AM400" s="159"/>
      <c r="AN400" s="160"/>
    </row>
    <row r="401">
      <c r="C401" s="127"/>
      <c r="F401" s="136"/>
      <c r="K401" s="159"/>
      <c r="L401" s="160"/>
      <c r="R401" s="159"/>
      <c r="S401" s="160"/>
      <c r="Y401" s="159"/>
      <c r="Z401" s="160"/>
      <c r="AF401" s="159"/>
      <c r="AG401" s="160"/>
      <c r="AM401" s="159"/>
      <c r="AN401" s="160"/>
    </row>
    <row r="402">
      <c r="C402" s="127"/>
      <c r="F402" s="136"/>
      <c r="K402" s="159"/>
      <c r="L402" s="160"/>
      <c r="R402" s="159"/>
      <c r="S402" s="160"/>
      <c r="Y402" s="159"/>
      <c r="Z402" s="160"/>
      <c r="AF402" s="159"/>
      <c r="AG402" s="160"/>
      <c r="AM402" s="159"/>
      <c r="AN402" s="160"/>
    </row>
    <row r="403">
      <c r="C403" s="127"/>
      <c r="F403" s="136"/>
      <c r="K403" s="159"/>
      <c r="L403" s="160"/>
      <c r="R403" s="159"/>
      <c r="S403" s="160"/>
      <c r="Y403" s="159"/>
      <c r="Z403" s="160"/>
      <c r="AF403" s="159"/>
      <c r="AG403" s="160"/>
      <c r="AM403" s="159"/>
      <c r="AN403" s="160"/>
    </row>
    <row r="404">
      <c r="C404" s="127"/>
      <c r="F404" s="136"/>
      <c r="K404" s="159"/>
      <c r="L404" s="160"/>
      <c r="R404" s="159"/>
      <c r="S404" s="160"/>
      <c r="Y404" s="159"/>
      <c r="Z404" s="160"/>
      <c r="AF404" s="159"/>
      <c r="AG404" s="160"/>
      <c r="AM404" s="159"/>
      <c r="AN404" s="160"/>
    </row>
    <row r="405">
      <c r="C405" s="127"/>
      <c r="F405" s="136"/>
      <c r="K405" s="159"/>
      <c r="L405" s="160"/>
      <c r="R405" s="159"/>
      <c r="S405" s="160"/>
      <c r="Y405" s="159"/>
      <c r="Z405" s="160"/>
      <c r="AF405" s="159"/>
      <c r="AG405" s="160"/>
      <c r="AM405" s="159"/>
      <c r="AN405" s="160"/>
    </row>
    <row r="406">
      <c r="C406" s="127"/>
      <c r="F406" s="136"/>
      <c r="K406" s="159"/>
      <c r="L406" s="160"/>
      <c r="R406" s="159"/>
      <c r="S406" s="160"/>
      <c r="Y406" s="159"/>
      <c r="Z406" s="160"/>
      <c r="AF406" s="159"/>
      <c r="AG406" s="160"/>
      <c r="AM406" s="159"/>
      <c r="AN406" s="160"/>
    </row>
    <row r="407">
      <c r="C407" s="127"/>
      <c r="F407" s="136"/>
      <c r="K407" s="159"/>
      <c r="L407" s="160"/>
      <c r="R407" s="159"/>
      <c r="S407" s="160"/>
      <c r="Y407" s="159"/>
      <c r="Z407" s="160"/>
      <c r="AF407" s="159"/>
      <c r="AG407" s="160"/>
      <c r="AM407" s="159"/>
      <c r="AN407" s="160"/>
    </row>
    <row r="408">
      <c r="C408" s="127"/>
      <c r="F408" s="136"/>
      <c r="K408" s="159"/>
      <c r="L408" s="160"/>
      <c r="R408" s="159"/>
      <c r="S408" s="160"/>
      <c r="Y408" s="159"/>
      <c r="Z408" s="160"/>
      <c r="AF408" s="159"/>
      <c r="AG408" s="160"/>
      <c r="AM408" s="159"/>
      <c r="AN408" s="160"/>
    </row>
    <row r="409">
      <c r="C409" s="127"/>
      <c r="F409" s="136"/>
      <c r="K409" s="159"/>
      <c r="L409" s="160"/>
      <c r="R409" s="159"/>
      <c r="S409" s="160"/>
      <c r="Y409" s="159"/>
      <c r="Z409" s="160"/>
      <c r="AF409" s="159"/>
      <c r="AG409" s="160"/>
      <c r="AM409" s="159"/>
      <c r="AN409" s="160"/>
    </row>
    <row r="410">
      <c r="C410" s="127"/>
      <c r="F410" s="136"/>
      <c r="K410" s="159"/>
      <c r="L410" s="160"/>
      <c r="R410" s="159"/>
      <c r="S410" s="160"/>
      <c r="Y410" s="159"/>
      <c r="Z410" s="160"/>
      <c r="AF410" s="159"/>
      <c r="AG410" s="160"/>
      <c r="AM410" s="159"/>
      <c r="AN410" s="160"/>
    </row>
    <row r="411">
      <c r="C411" s="127"/>
      <c r="F411" s="136"/>
      <c r="K411" s="159"/>
      <c r="L411" s="160"/>
      <c r="R411" s="159"/>
      <c r="S411" s="160"/>
      <c r="Y411" s="159"/>
      <c r="Z411" s="160"/>
      <c r="AF411" s="159"/>
      <c r="AG411" s="160"/>
      <c r="AM411" s="159"/>
      <c r="AN411" s="160"/>
    </row>
    <row r="412">
      <c r="C412" s="127"/>
      <c r="F412" s="136"/>
      <c r="K412" s="159"/>
      <c r="L412" s="160"/>
      <c r="R412" s="159"/>
      <c r="S412" s="160"/>
      <c r="Y412" s="159"/>
      <c r="Z412" s="160"/>
      <c r="AF412" s="159"/>
      <c r="AG412" s="160"/>
      <c r="AM412" s="159"/>
      <c r="AN412" s="160"/>
    </row>
    <row r="413">
      <c r="C413" s="127"/>
      <c r="F413" s="136"/>
      <c r="K413" s="159"/>
      <c r="L413" s="160"/>
      <c r="R413" s="159"/>
      <c r="S413" s="160"/>
      <c r="Y413" s="159"/>
      <c r="Z413" s="160"/>
      <c r="AF413" s="159"/>
      <c r="AG413" s="160"/>
      <c r="AM413" s="159"/>
      <c r="AN413" s="160"/>
    </row>
    <row r="414">
      <c r="C414" s="127"/>
      <c r="F414" s="136"/>
      <c r="K414" s="159"/>
      <c r="L414" s="160"/>
      <c r="R414" s="159"/>
      <c r="S414" s="160"/>
      <c r="Y414" s="159"/>
      <c r="Z414" s="160"/>
      <c r="AF414" s="159"/>
      <c r="AG414" s="160"/>
      <c r="AM414" s="159"/>
      <c r="AN414" s="160"/>
    </row>
    <row r="415">
      <c r="C415" s="127"/>
      <c r="F415" s="136"/>
      <c r="K415" s="159"/>
      <c r="L415" s="160"/>
      <c r="R415" s="159"/>
      <c r="S415" s="160"/>
      <c r="Y415" s="159"/>
      <c r="Z415" s="160"/>
      <c r="AF415" s="159"/>
      <c r="AG415" s="160"/>
      <c r="AM415" s="159"/>
      <c r="AN415" s="160"/>
    </row>
    <row r="416">
      <c r="C416" s="127"/>
      <c r="F416" s="136"/>
      <c r="K416" s="159"/>
      <c r="L416" s="160"/>
      <c r="R416" s="159"/>
      <c r="S416" s="160"/>
      <c r="Y416" s="159"/>
      <c r="Z416" s="160"/>
      <c r="AF416" s="159"/>
      <c r="AG416" s="160"/>
      <c r="AM416" s="159"/>
      <c r="AN416" s="160"/>
    </row>
    <row r="417">
      <c r="C417" s="127"/>
      <c r="F417" s="136"/>
      <c r="K417" s="159"/>
      <c r="L417" s="160"/>
      <c r="R417" s="159"/>
      <c r="S417" s="160"/>
      <c r="Y417" s="159"/>
      <c r="Z417" s="160"/>
      <c r="AF417" s="159"/>
      <c r="AG417" s="160"/>
      <c r="AM417" s="159"/>
      <c r="AN417" s="160"/>
    </row>
    <row r="418">
      <c r="C418" s="127"/>
      <c r="F418" s="136"/>
      <c r="K418" s="159"/>
      <c r="L418" s="160"/>
      <c r="R418" s="159"/>
      <c r="S418" s="160"/>
      <c r="Y418" s="159"/>
      <c r="Z418" s="160"/>
      <c r="AF418" s="159"/>
      <c r="AG418" s="160"/>
      <c r="AM418" s="159"/>
      <c r="AN418" s="160"/>
    </row>
    <row r="419">
      <c r="C419" s="127"/>
      <c r="F419" s="136"/>
      <c r="K419" s="159"/>
      <c r="L419" s="160"/>
      <c r="R419" s="159"/>
      <c r="S419" s="160"/>
      <c r="Y419" s="159"/>
      <c r="Z419" s="160"/>
      <c r="AF419" s="159"/>
      <c r="AG419" s="160"/>
      <c r="AM419" s="159"/>
      <c r="AN419" s="160"/>
    </row>
    <row r="420">
      <c r="C420" s="127"/>
      <c r="F420" s="136"/>
      <c r="K420" s="159"/>
      <c r="L420" s="160"/>
      <c r="R420" s="159"/>
      <c r="S420" s="160"/>
      <c r="Y420" s="159"/>
      <c r="Z420" s="160"/>
      <c r="AF420" s="159"/>
      <c r="AG420" s="160"/>
      <c r="AM420" s="159"/>
      <c r="AN420" s="160"/>
    </row>
    <row r="421">
      <c r="C421" s="127"/>
      <c r="F421" s="136"/>
      <c r="K421" s="159"/>
      <c r="L421" s="160"/>
      <c r="R421" s="159"/>
      <c r="S421" s="160"/>
      <c r="Y421" s="159"/>
      <c r="Z421" s="160"/>
      <c r="AF421" s="159"/>
      <c r="AG421" s="160"/>
      <c r="AM421" s="159"/>
      <c r="AN421" s="160"/>
    </row>
    <row r="422">
      <c r="C422" s="127"/>
      <c r="F422" s="136"/>
      <c r="K422" s="159"/>
      <c r="L422" s="160"/>
      <c r="R422" s="159"/>
      <c r="S422" s="160"/>
      <c r="Y422" s="159"/>
      <c r="Z422" s="160"/>
      <c r="AF422" s="159"/>
      <c r="AG422" s="160"/>
      <c r="AM422" s="159"/>
      <c r="AN422" s="160"/>
    </row>
    <row r="423">
      <c r="C423" s="127"/>
      <c r="F423" s="136"/>
      <c r="K423" s="159"/>
      <c r="L423" s="160"/>
      <c r="R423" s="159"/>
      <c r="S423" s="160"/>
      <c r="Y423" s="159"/>
      <c r="Z423" s="160"/>
      <c r="AF423" s="159"/>
      <c r="AG423" s="160"/>
      <c r="AM423" s="159"/>
      <c r="AN423" s="160"/>
    </row>
    <row r="424">
      <c r="C424" s="127"/>
      <c r="F424" s="136"/>
      <c r="K424" s="159"/>
      <c r="L424" s="160"/>
      <c r="R424" s="159"/>
      <c r="S424" s="160"/>
      <c r="Y424" s="159"/>
      <c r="Z424" s="160"/>
      <c r="AF424" s="159"/>
      <c r="AG424" s="160"/>
      <c r="AM424" s="159"/>
      <c r="AN424" s="160"/>
    </row>
    <row r="425">
      <c r="C425" s="127"/>
      <c r="F425" s="136"/>
      <c r="K425" s="159"/>
      <c r="L425" s="160"/>
      <c r="R425" s="159"/>
      <c r="S425" s="160"/>
      <c r="Y425" s="159"/>
      <c r="Z425" s="160"/>
      <c r="AF425" s="159"/>
      <c r="AG425" s="160"/>
      <c r="AM425" s="159"/>
      <c r="AN425" s="160"/>
    </row>
    <row r="426">
      <c r="C426" s="127"/>
      <c r="F426" s="136"/>
      <c r="K426" s="159"/>
      <c r="L426" s="160"/>
      <c r="R426" s="159"/>
      <c r="S426" s="160"/>
      <c r="Y426" s="159"/>
      <c r="Z426" s="160"/>
      <c r="AF426" s="159"/>
      <c r="AG426" s="160"/>
      <c r="AM426" s="159"/>
      <c r="AN426" s="160"/>
    </row>
    <row r="427">
      <c r="C427" s="127"/>
      <c r="F427" s="136"/>
      <c r="K427" s="159"/>
      <c r="L427" s="160"/>
      <c r="R427" s="159"/>
      <c r="S427" s="160"/>
      <c r="Y427" s="159"/>
      <c r="Z427" s="160"/>
      <c r="AF427" s="159"/>
      <c r="AG427" s="160"/>
      <c r="AM427" s="159"/>
      <c r="AN427" s="160"/>
    </row>
    <row r="428">
      <c r="C428" s="127"/>
      <c r="F428" s="136"/>
      <c r="K428" s="159"/>
      <c r="L428" s="160"/>
      <c r="R428" s="159"/>
      <c r="S428" s="160"/>
      <c r="Y428" s="159"/>
      <c r="Z428" s="160"/>
      <c r="AF428" s="159"/>
      <c r="AG428" s="160"/>
      <c r="AM428" s="159"/>
      <c r="AN428" s="160"/>
    </row>
    <row r="429">
      <c r="C429" s="127"/>
      <c r="F429" s="136"/>
      <c r="K429" s="159"/>
      <c r="L429" s="160"/>
      <c r="R429" s="159"/>
      <c r="S429" s="160"/>
      <c r="Y429" s="159"/>
      <c r="Z429" s="160"/>
      <c r="AF429" s="159"/>
      <c r="AG429" s="160"/>
      <c r="AM429" s="159"/>
      <c r="AN429" s="160"/>
    </row>
    <row r="430">
      <c r="C430" s="127"/>
      <c r="F430" s="136"/>
      <c r="K430" s="159"/>
      <c r="L430" s="160"/>
      <c r="R430" s="159"/>
      <c r="S430" s="160"/>
      <c r="Y430" s="159"/>
      <c r="Z430" s="160"/>
      <c r="AF430" s="159"/>
      <c r="AG430" s="160"/>
      <c r="AM430" s="159"/>
      <c r="AN430" s="160"/>
    </row>
    <row r="431">
      <c r="C431" s="127"/>
      <c r="F431" s="136"/>
      <c r="K431" s="159"/>
      <c r="L431" s="160"/>
      <c r="R431" s="159"/>
      <c r="S431" s="160"/>
      <c r="Y431" s="159"/>
      <c r="Z431" s="160"/>
      <c r="AF431" s="159"/>
      <c r="AG431" s="160"/>
      <c r="AM431" s="159"/>
      <c r="AN431" s="160"/>
    </row>
    <row r="432">
      <c r="C432" s="127"/>
      <c r="F432" s="136"/>
      <c r="K432" s="159"/>
      <c r="L432" s="160"/>
      <c r="R432" s="159"/>
      <c r="S432" s="160"/>
      <c r="Y432" s="159"/>
      <c r="Z432" s="160"/>
      <c r="AF432" s="159"/>
      <c r="AG432" s="160"/>
      <c r="AM432" s="159"/>
      <c r="AN432" s="160"/>
    </row>
    <row r="433">
      <c r="C433" s="127"/>
      <c r="F433" s="136"/>
      <c r="K433" s="159"/>
      <c r="L433" s="160"/>
      <c r="R433" s="159"/>
      <c r="S433" s="160"/>
      <c r="Y433" s="159"/>
      <c r="Z433" s="160"/>
      <c r="AF433" s="159"/>
      <c r="AG433" s="160"/>
      <c r="AM433" s="159"/>
      <c r="AN433" s="160"/>
    </row>
    <row r="434">
      <c r="C434" s="127"/>
      <c r="F434" s="136"/>
      <c r="K434" s="159"/>
      <c r="L434" s="160"/>
      <c r="R434" s="159"/>
      <c r="S434" s="160"/>
      <c r="Y434" s="159"/>
      <c r="Z434" s="160"/>
      <c r="AF434" s="159"/>
      <c r="AG434" s="160"/>
      <c r="AM434" s="159"/>
      <c r="AN434" s="160"/>
    </row>
    <row r="435">
      <c r="C435" s="127"/>
      <c r="F435" s="136"/>
      <c r="K435" s="159"/>
      <c r="L435" s="160"/>
      <c r="R435" s="159"/>
      <c r="S435" s="160"/>
      <c r="Y435" s="159"/>
      <c r="Z435" s="160"/>
      <c r="AF435" s="159"/>
      <c r="AG435" s="160"/>
      <c r="AM435" s="159"/>
      <c r="AN435" s="160"/>
    </row>
    <row r="436">
      <c r="C436" s="127"/>
      <c r="F436" s="136"/>
      <c r="K436" s="159"/>
      <c r="L436" s="160"/>
      <c r="R436" s="159"/>
      <c r="S436" s="160"/>
      <c r="Y436" s="159"/>
      <c r="Z436" s="160"/>
      <c r="AF436" s="159"/>
      <c r="AG436" s="160"/>
      <c r="AM436" s="159"/>
      <c r="AN436" s="160"/>
    </row>
    <row r="437">
      <c r="C437" s="127"/>
      <c r="F437" s="136"/>
      <c r="K437" s="159"/>
      <c r="L437" s="160"/>
      <c r="R437" s="159"/>
      <c r="S437" s="160"/>
      <c r="Y437" s="159"/>
      <c r="Z437" s="160"/>
      <c r="AF437" s="159"/>
      <c r="AG437" s="160"/>
      <c r="AM437" s="159"/>
      <c r="AN437" s="160"/>
    </row>
    <row r="438">
      <c r="C438" s="127"/>
      <c r="F438" s="136"/>
      <c r="K438" s="159"/>
      <c r="L438" s="160"/>
      <c r="R438" s="159"/>
      <c r="S438" s="160"/>
      <c r="Y438" s="159"/>
      <c r="Z438" s="160"/>
      <c r="AF438" s="159"/>
      <c r="AG438" s="160"/>
      <c r="AM438" s="159"/>
      <c r="AN438" s="160"/>
    </row>
    <row r="439">
      <c r="C439" s="127"/>
      <c r="F439" s="136"/>
      <c r="K439" s="159"/>
      <c r="L439" s="160"/>
      <c r="R439" s="159"/>
      <c r="S439" s="160"/>
      <c r="Y439" s="159"/>
      <c r="Z439" s="160"/>
      <c r="AF439" s="159"/>
      <c r="AG439" s="160"/>
      <c r="AM439" s="159"/>
      <c r="AN439" s="160"/>
    </row>
    <row r="440">
      <c r="C440" s="127"/>
      <c r="F440" s="136"/>
      <c r="K440" s="159"/>
      <c r="L440" s="160"/>
      <c r="R440" s="159"/>
      <c r="S440" s="160"/>
      <c r="Y440" s="159"/>
      <c r="Z440" s="160"/>
      <c r="AF440" s="159"/>
      <c r="AG440" s="160"/>
      <c r="AM440" s="159"/>
      <c r="AN440" s="160"/>
    </row>
    <row r="441">
      <c r="C441" s="127"/>
      <c r="F441" s="136"/>
      <c r="K441" s="159"/>
      <c r="L441" s="160"/>
      <c r="R441" s="159"/>
      <c r="S441" s="160"/>
      <c r="Y441" s="159"/>
      <c r="Z441" s="160"/>
      <c r="AF441" s="159"/>
      <c r="AG441" s="160"/>
      <c r="AM441" s="159"/>
      <c r="AN441" s="160"/>
    </row>
    <row r="442">
      <c r="C442" s="127"/>
      <c r="F442" s="136"/>
      <c r="K442" s="159"/>
      <c r="L442" s="160"/>
      <c r="R442" s="159"/>
      <c r="S442" s="160"/>
      <c r="Y442" s="159"/>
      <c r="Z442" s="160"/>
      <c r="AF442" s="159"/>
      <c r="AG442" s="160"/>
      <c r="AM442" s="159"/>
      <c r="AN442" s="160"/>
    </row>
    <row r="443">
      <c r="C443" s="127"/>
      <c r="F443" s="136"/>
      <c r="K443" s="159"/>
      <c r="L443" s="160"/>
      <c r="R443" s="159"/>
      <c r="S443" s="160"/>
      <c r="Y443" s="159"/>
      <c r="Z443" s="160"/>
      <c r="AF443" s="159"/>
      <c r="AG443" s="160"/>
      <c r="AM443" s="159"/>
      <c r="AN443" s="160"/>
    </row>
    <row r="444">
      <c r="C444" s="127"/>
      <c r="F444" s="136"/>
      <c r="K444" s="159"/>
      <c r="L444" s="160"/>
      <c r="R444" s="159"/>
      <c r="S444" s="160"/>
      <c r="Y444" s="159"/>
      <c r="Z444" s="160"/>
      <c r="AF444" s="159"/>
      <c r="AG444" s="160"/>
      <c r="AM444" s="159"/>
      <c r="AN444" s="160"/>
    </row>
    <row r="445">
      <c r="C445" s="127"/>
      <c r="F445" s="136"/>
      <c r="K445" s="159"/>
      <c r="L445" s="160"/>
      <c r="R445" s="159"/>
      <c r="S445" s="160"/>
      <c r="Y445" s="159"/>
      <c r="Z445" s="160"/>
      <c r="AF445" s="159"/>
      <c r="AG445" s="160"/>
      <c r="AM445" s="159"/>
      <c r="AN445" s="160"/>
    </row>
    <row r="446">
      <c r="C446" s="127"/>
      <c r="F446" s="136"/>
      <c r="K446" s="159"/>
      <c r="L446" s="160"/>
      <c r="R446" s="159"/>
      <c r="S446" s="160"/>
      <c r="Y446" s="159"/>
      <c r="Z446" s="160"/>
      <c r="AF446" s="159"/>
      <c r="AG446" s="160"/>
      <c r="AM446" s="159"/>
      <c r="AN446" s="160"/>
    </row>
    <row r="447">
      <c r="C447" s="127"/>
      <c r="F447" s="136"/>
      <c r="K447" s="159"/>
      <c r="L447" s="160"/>
      <c r="R447" s="159"/>
      <c r="S447" s="160"/>
      <c r="Y447" s="159"/>
      <c r="Z447" s="160"/>
      <c r="AF447" s="159"/>
      <c r="AG447" s="160"/>
      <c r="AM447" s="159"/>
      <c r="AN447" s="160"/>
    </row>
    <row r="448">
      <c r="C448" s="127"/>
      <c r="F448" s="136"/>
      <c r="K448" s="159"/>
      <c r="L448" s="160"/>
      <c r="R448" s="159"/>
      <c r="S448" s="160"/>
      <c r="Y448" s="159"/>
      <c r="Z448" s="160"/>
      <c r="AF448" s="159"/>
      <c r="AG448" s="160"/>
      <c r="AM448" s="159"/>
      <c r="AN448" s="160"/>
    </row>
    <row r="449">
      <c r="C449" s="127"/>
      <c r="F449" s="136"/>
      <c r="K449" s="159"/>
      <c r="L449" s="160"/>
      <c r="R449" s="159"/>
      <c r="S449" s="160"/>
      <c r="Y449" s="159"/>
      <c r="Z449" s="160"/>
      <c r="AF449" s="159"/>
      <c r="AG449" s="160"/>
      <c r="AM449" s="159"/>
      <c r="AN449" s="160"/>
    </row>
    <row r="450">
      <c r="C450" s="127"/>
      <c r="F450" s="136"/>
      <c r="K450" s="159"/>
      <c r="L450" s="160"/>
      <c r="R450" s="159"/>
      <c r="S450" s="160"/>
      <c r="Y450" s="159"/>
      <c r="Z450" s="160"/>
      <c r="AF450" s="159"/>
      <c r="AG450" s="160"/>
      <c r="AM450" s="159"/>
      <c r="AN450" s="160"/>
    </row>
    <row r="451">
      <c r="C451" s="127"/>
      <c r="F451" s="136"/>
      <c r="K451" s="159"/>
      <c r="L451" s="160"/>
      <c r="R451" s="159"/>
      <c r="S451" s="160"/>
      <c r="Y451" s="159"/>
      <c r="Z451" s="160"/>
      <c r="AF451" s="159"/>
      <c r="AG451" s="160"/>
      <c r="AM451" s="159"/>
      <c r="AN451" s="160"/>
    </row>
    <row r="452">
      <c r="C452" s="127"/>
      <c r="F452" s="136"/>
      <c r="K452" s="159"/>
      <c r="L452" s="160"/>
      <c r="R452" s="159"/>
      <c r="S452" s="160"/>
      <c r="Y452" s="159"/>
      <c r="Z452" s="160"/>
      <c r="AF452" s="159"/>
      <c r="AG452" s="160"/>
      <c r="AM452" s="159"/>
      <c r="AN452" s="160"/>
    </row>
    <row r="453">
      <c r="C453" s="127"/>
      <c r="F453" s="136"/>
      <c r="K453" s="159"/>
      <c r="L453" s="160"/>
      <c r="R453" s="159"/>
      <c r="S453" s="160"/>
      <c r="Y453" s="159"/>
      <c r="Z453" s="160"/>
      <c r="AF453" s="159"/>
      <c r="AG453" s="160"/>
      <c r="AM453" s="159"/>
      <c r="AN453" s="160"/>
    </row>
    <row r="454">
      <c r="C454" s="127"/>
      <c r="F454" s="136"/>
      <c r="K454" s="159"/>
      <c r="L454" s="160"/>
      <c r="R454" s="159"/>
      <c r="S454" s="160"/>
      <c r="Y454" s="159"/>
      <c r="Z454" s="160"/>
      <c r="AF454" s="159"/>
      <c r="AG454" s="160"/>
      <c r="AM454" s="159"/>
      <c r="AN454" s="160"/>
    </row>
    <row r="455">
      <c r="C455" s="127"/>
      <c r="F455" s="136"/>
      <c r="K455" s="159"/>
      <c r="L455" s="160"/>
      <c r="R455" s="159"/>
      <c r="S455" s="160"/>
      <c r="Y455" s="159"/>
      <c r="Z455" s="160"/>
      <c r="AF455" s="159"/>
      <c r="AG455" s="160"/>
      <c r="AM455" s="159"/>
      <c r="AN455" s="160"/>
    </row>
    <row r="456">
      <c r="C456" s="127"/>
      <c r="F456" s="136"/>
      <c r="K456" s="159"/>
      <c r="L456" s="160"/>
      <c r="R456" s="159"/>
      <c r="S456" s="160"/>
      <c r="Y456" s="159"/>
      <c r="Z456" s="160"/>
      <c r="AF456" s="159"/>
      <c r="AG456" s="160"/>
      <c r="AM456" s="159"/>
      <c r="AN456" s="160"/>
    </row>
    <row r="457">
      <c r="C457" s="127"/>
      <c r="F457" s="136"/>
      <c r="K457" s="159"/>
      <c r="L457" s="160"/>
      <c r="R457" s="159"/>
      <c r="S457" s="160"/>
      <c r="Y457" s="159"/>
      <c r="Z457" s="160"/>
      <c r="AF457" s="159"/>
      <c r="AG457" s="160"/>
      <c r="AM457" s="159"/>
      <c r="AN457" s="160"/>
    </row>
    <row r="458">
      <c r="C458" s="127"/>
      <c r="F458" s="136"/>
      <c r="K458" s="159"/>
      <c r="L458" s="160"/>
      <c r="R458" s="159"/>
      <c r="S458" s="160"/>
      <c r="Y458" s="159"/>
      <c r="Z458" s="160"/>
      <c r="AF458" s="159"/>
      <c r="AG458" s="160"/>
      <c r="AM458" s="159"/>
      <c r="AN458" s="160"/>
    </row>
    <row r="459">
      <c r="C459" s="127"/>
      <c r="F459" s="136"/>
      <c r="K459" s="159"/>
      <c r="L459" s="160"/>
      <c r="R459" s="159"/>
      <c r="S459" s="160"/>
      <c r="Y459" s="159"/>
      <c r="Z459" s="160"/>
      <c r="AF459" s="159"/>
      <c r="AG459" s="160"/>
      <c r="AM459" s="159"/>
      <c r="AN459" s="160"/>
    </row>
    <row r="460">
      <c r="C460" s="127"/>
      <c r="F460" s="136"/>
      <c r="K460" s="159"/>
      <c r="L460" s="160"/>
      <c r="R460" s="159"/>
      <c r="S460" s="160"/>
      <c r="Y460" s="159"/>
      <c r="Z460" s="160"/>
      <c r="AF460" s="159"/>
      <c r="AG460" s="160"/>
      <c r="AM460" s="159"/>
      <c r="AN460" s="160"/>
    </row>
    <row r="461">
      <c r="C461" s="127"/>
      <c r="F461" s="136"/>
      <c r="K461" s="159"/>
      <c r="L461" s="160"/>
      <c r="R461" s="159"/>
      <c r="S461" s="160"/>
      <c r="Y461" s="159"/>
      <c r="Z461" s="160"/>
      <c r="AF461" s="159"/>
      <c r="AG461" s="160"/>
      <c r="AM461" s="159"/>
      <c r="AN461" s="160"/>
    </row>
    <row r="462">
      <c r="C462" s="127"/>
      <c r="F462" s="136"/>
      <c r="K462" s="159"/>
      <c r="L462" s="160"/>
      <c r="R462" s="159"/>
      <c r="S462" s="160"/>
      <c r="Y462" s="159"/>
      <c r="Z462" s="160"/>
      <c r="AF462" s="159"/>
      <c r="AG462" s="160"/>
      <c r="AM462" s="159"/>
      <c r="AN462" s="160"/>
    </row>
    <row r="463">
      <c r="C463" s="127"/>
      <c r="F463" s="136"/>
      <c r="K463" s="159"/>
      <c r="L463" s="160"/>
      <c r="R463" s="159"/>
      <c r="S463" s="160"/>
      <c r="Y463" s="159"/>
      <c r="Z463" s="160"/>
      <c r="AF463" s="159"/>
      <c r="AG463" s="160"/>
      <c r="AM463" s="159"/>
      <c r="AN463" s="160"/>
    </row>
    <row r="464">
      <c r="C464" s="127"/>
      <c r="F464" s="136"/>
      <c r="K464" s="159"/>
      <c r="L464" s="160"/>
      <c r="R464" s="159"/>
      <c r="S464" s="160"/>
      <c r="Y464" s="159"/>
      <c r="Z464" s="160"/>
      <c r="AF464" s="159"/>
      <c r="AG464" s="160"/>
      <c r="AM464" s="159"/>
      <c r="AN464" s="160"/>
    </row>
    <row r="465">
      <c r="C465" s="127"/>
      <c r="F465" s="136"/>
      <c r="K465" s="159"/>
      <c r="L465" s="160"/>
      <c r="R465" s="159"/>
      <c r="S465" s="160"/>
      <c r="Y465" s="159"/>
      <c r="Z465" s="160"/>
      <c r="AF465" s="159"/>
      <c r="AG465" s="160"/>
      <c r="AM465" s="159"/>
      <c r="AN465" s="160"/>
    </row>
    <row r="466">
      <c r="C466" s="127"/>
      <c r="F466" s="136"/>
      <c r="K466" s="159"/>
      <c r="L466" s="160"/>
      <c r="R466" s="159"/>
      <c r="S466" s="160"/>
      <c r="Y466" s="159"/>
      <c r="Z466" s="160"/>
      <c r="AF466" s="159"/>
      <c r="AG466" s="160"/>
      <c r="AM466" s="159"/>
      <c r="AN466" s="160"/>
    </row>
    <row r="467">
      <c r="C467" s="127"/>
      <c r="F467" s="136"/>
      <c r="K467" s="159"/>
      <c r="L467" s="160"/>
      <c r="R467" s="159"/>
      <c r="S467" s="160"/>
      <c r="Y467" s="159"/>
      <c r="Z467" s="160"/>
      <c r="AF467" s="159"/>
      <c r="AG467" s="160"/>
      <c r="AM467" s="159"/>
      <c r="AN467" s="160"/>
    </row>
    <row r="468">
      <c r="C468" s="127"/>
      <c r="F468" s="136"/>
      <c r="K468" s="159"/>
      <c r="L468" s="160"/>
      <c r="R468" s="159"/>
      <c r="S468" s="160"/>
      <c r="Y468" s="159"/>
      <c r="Z468" s="160"/>
      <c r="AF468" s="159"/>
      <c r="AG468" s="160"/>
      <c r="AM468" s="159"/>
      <c r="AN468" s="160"/>
    </row>
    <row r="469">
      <c r="C469" s="127"/>
      <c r="F469" s="136"/>
      <c r="K469" s="159"/>
      <c r="L469" s="160"/>
      <c r="R469" s="159"/>
      <c r="S469" s="160"/>
      <c r="Y469" s="159"/>
      <c r="Z469" s="160"/>
      <c r="AF469" s="159"/>
      <c r="AG469" s="160"/>
      <c r="AM469" s="159"/>
      <c r="AN469" s="160"/>
    </row>
    <row r="470">
      <c r="C470" s="127"/>
      <c r="F470" s="136"/>
      <c r="K470" s="159"/>
      <c r="L470" s="160"/>
      <c r="R470" s="159"/>
      <c r="S470" s="160"/>
      <c r="Y470" s="159"/>
      <c r="Z470" s="160"/>
      <c r="AF470" s="159"/>
      <c r="AG470" s="160"/>
      <c r="AM470" s="159"/>
      <c r="AN470" s="160"/>
    </row>
    <row r="471">
      <c r="C471" s="127"/>
      <c r="F471" s="136"/>
      <c r="K471" s="159"/>
      <c r="L471" s="160"/>
      <c r="R471" s="159"/>
      <c r="S471" s="160"/>
      <c r="Y471" s="159"/>
      <c r="Z471" s="160"/>
      <c r="AF471" s="159"/>
      <c r="AG471" s="160"/>
      <c r="AM471" s="159"/>
      <c r="AN471" s="160"/>
    </row>
    <row r="472">
      <c r="C472" s="127"/>
      <c r="F472" s="136"/>
      <c r="K472" s="159"/>
      <c r="L472" s="160"/>
      <c r="R472" s="159"/>
      <c r="S472" s="160"/>
      <c r="Y472" s="159"/>
      <c r="Z472" s="160"/>
      <c r="AF472" s="159"/>
      <c r="AG472" s="160"/>
      <c r="AM472" s="159"/>
      <c r="AN472" s="160"/>
    </row>
    <row r="473">
      <c r="C473" s="127"/>
      <c r="F473" s="136"/>
      <c r="K473" s="159"/>
      <c r="L473" s="160"/>
      <c r="R473" s="159"/>
      <c r="S473" s="160"/>
      <c r="Y473" s="159"/>
      <c r="Z473" s="160"/>
      <c r="AF473" s="159"/>
      <c r="AG473" s="160"/>
      <c r="AM473" s="159"/>
      <c r="AN473" s="160"/>
    </row>
    <row r="474">
      <c r="C474" s="127"/>
      <c r="F474" s="136"/>
      <c r="K474" s="159"/>
      <c r="L474" s="160"/>
      <c r="R474" s="159"/>
      <c r="S474" s="160"/>
      <c r="Y474" s="159"/>
      <c r="Z474" s="160"/>
      <c r="AF474" s="159"/>
      <c r="AG474" s="160"/>
      <c r="AM474" s="159"/>
      <c r="AN474" s="160"/>
    </row>
    <row r="475">
      <c r="C475" s="127"/>
      <c r="F475" s="136"/>
      <c r="K475" s="159"/>
      <c r="L475" s="160"/>
      <c r="R475" s="159"/>
      <c r="S475" s="160"/>
      <c r="Y475" s="159"/>
      <c r="Z475" s="160"/>
      <c r="AF475" s="159"/>
      <c r="AG475" s="160"/>
      <c r="AM475" s="159"/>
      <c r="AN475" s="160"/>
    </row>
    <row r="476">
      <c r="C476" s="127"/>
      <c r="F476" s="136"/>
      <c r="K476" s="159"/>
      <c r="L476" s="160"/>
      <c r="R476" s="159"/>
      <c r="S476" s="160"/>
      <c r="Y476" s="159"/>
      <c r="Z476" s="160"/>
      <c r="AF476" s="159"/>
      <c r="AG476" s="160"/>
      <c r="AM476" s="159"/>
      <c r="AN476" s="160"/>
    </row>
    <row r="477">
      <c r="C477" s="127"/>
      <c r="F477" s="136"/>
      <c r="K477" s="159"/>
      <c r="L477" s="160"/>
      <c r="R477" s="159"/>
      <c r="S477" s="160"/>
      <c r="Y477" s="159"/>
      <c r="Z477" s="160"/>
      <c r="AF477" s="159"/>
      <c r="AG477" s="160"/>
      <c r="AM477" s="159"/>
      <c r="AN477" s="160"/>
    </row>
    <row r="478">
      <c r="C478" s="127"/>
      <c r="F478" s="136"/>
      <c r="K478" s="159"/>
      <c r="L478" s="160"/>
      <c r="R478" s="159"/>
      <c r="S478" s="160"/>
      <c r="Y478" s="159"/>
      <c r="Z478" s="160"/>
      <c r="AF478" s="159"/>
      <c r="AG478" s="160"/>
      <c r="AM478" s="159"/>
      <c r="AN478" s="160"/>
    </row>
    <row r="479">
      <c r="C479" s="127"/>
      <c r="F479" s="136"/>
      <c r="K479" s="159"/>
      <c r="L479" s="160"/>
      <c r="R479" s="159"/>
      <c r="S479" s="160"/>
      <c r="Y479" s="159"/>
      <c r="Z479" s="160"/>
      <c r="AF479" s="159"/>
      <c r="AG479" s="160"/>
      <c r="AM479" s="159"/>
      <c r="AN479" s="160"/>
    </row>
    <row r="480">
      <c r="C480" s="127"/>
      <c r="F480" s="136"/>
      <c r="K480" s="159"/>
      <c r="L480" s="160"/>
      <c r="R480" s="159"/>
      <c r="S480" s="160"/>
      <c r="Y480" s="159"/>
      <c r="Z480" s="160"/>
      <c r="AF480" s="159"/>
      <c r="AG480" s="160"/>
      <c r="AM480" s="159"/>
      <c r="AN480" s="160"/>
    </row>
    <row r="481">
      <c r="C481" s="127"/>
      <c r="F481" s="136"/>
      <c r="K481" s="159"/>
      <c r="L481" s="160"/>
      <c r="R481" s="159"/>
      <c r="S481" s="160"/>
      <c r="Y481" s="159"/>
      <c r="Z481" s="160"/>
      <c r="AF481" s="159"/>
      <c r="AG481" s="160"/>
      <c r="AM481" s="159"/>
      <c r="AN481" s="160"/>
    </row>
    <row r="482">
      <c r="C482" s="127"/>
      <c r="F482" s="136"/>
      <c r="K482" s="159"/>
      <c r="L482" s="160"/>
      <c r="R482" s="159"/>
      <c r="S482" s="160"/>
      <c r="Y482" s="159"/>
      <c r="Z482" s="160"/>
      <c r="AF482" s="159"/>
      <c r="AG482" s="160"/>
      <c r="AM482" s="159"/>
      <c r="AN482" s="160"/>
    </row>
    <row r="483">
      <c r="C483" s="127"/>
      <c r="F483" s="136"/>
      <c r="K483" s="159"/>
      <c r="L483" s="160"/>
      <c r="R483" s="159"/>
      <c r="S483" s="160"/>
      <c r="Y483" s="159"/>
      <c r="Z483" s="160"/>
      <c r="AF483" s="159"/>
      <c r="AG483" s="160"/>
      <c r="AM483" s="159"/>
      <c r="AN483" s="160"/>
    </row>
    <row r="484">
      <c r="C484" s="127"/>
      <c r="F484" s="136"/>
      <c r="K484" s="159"/>
      <c r="L484" s="160"/>
      <c r="R484" s="159"/>
      <c r="S484" s="160"/>
      <c r="Y484" s="159"/>
      <c r="Z484" s="160"/>
      <c r="AF484" s="159"/>
      <c r="AG484" s="160"/>
      <c r="AM484" s="159"/>
      <c r="AN484" s="160"/>
    </row>
    <row r="485">
      <c r="C485" s="127"/>
      <c r="F485" s="136"/>
      <c r="K485" s="159"/>
      <c r="L485" s="160"/>
      <c r="R485" s="159"/>
      <c r="S485" s="160"/>
      <c r="Y485" s="159"/>
      <c r="Z485" s="160"/>
      <c r="AF485" s="159"/>
      <c r="AG485" s="160"/>
      <c r="AM485" s="159"/>
      <c r="AN485" s="160"/>
    </row>
    <row r="486">
      <c r="C486" s="127"/>
      <c r="F486" s="136"/>
      <c r="K486" s="159"/>
      <c r="L486" s="160"/>
      <c r="R486" s="159"/>
      <c r="S486" s="160"/>
      <c r="Y486" s="159"/>
      <c r="Z486" s="160"/>
      <c r="AF486" s="159"/>
      <c r="AG486" s="160"/>
      <c r="AM486" s="159"/>
      <c r="AN486" s="160"/>
    </row>
    <row r="487">
      <c r="C487" s="127"/>
      <c r="F487" s="136"/>
      <c r="K487" s="159"/>
      <c r="L487" s="160"/>
      <c r="R487" s="159"/>
      <c r="S487" s="160"/>
      <c r="Y487" s="159"/>
      <c r="Z487" s="160"/>
      <c r="AF487" s="159"/>
      <c r="AG487" s="160"/>
      <c r="AM487" s="159"/>
      <c r="AN487" s="160"/>
    </row>
    <row r="488">
      <c r="C488" s="127"/>
      <c r="F488" s="136"/>
      <c r="K488" s="159"/>
      <c r="L488" s="160"/>
      <c r="R488" s="159"/>
      <c r="S488" s="160"/>
      <c r="Y488" s="159"/>
      <c r="Z488" s="160"/>
      <c r="AF488" s="159"/>
      <c r="AG488" s="160"/>
      <c r="AM488" s="159"/>
      <c r="AN488" s="160"/>
    </row>
    <row r="489">
      <c r="C489" s="127"/>
      <c r="F489" s="136"/>
      <c r="K489" s="159"/>
      <c r="L489" s="160"/>
      <c r="R489" s="159"/>
      <c r="S489" s="160"/>
      <c r="Y489" s="159"/>
      <c r="Z489" s="160"/>
      <c r="AF489" s="159"/>
      <c r="AG489" s="160"/>
      <c r="AM489" s="159"/>
      <c r="AN489" s="160"/>
    </row>
    <row r="490">
      <c r="C490" s="127"/>
      <c r="F490" s="136"/>
      <c r="K490" s="159"/>
      <c r="L490" s="160"/>
      <c r="R490" s="159"/>
      <c r="S490" s="160"/>
      <c r="Y490" s="159"/>
      <c r="Z490" s="160"/>
      <c r="AF490" s="159"/>
      <c r="AG490" s="160"/>
      <c r="AM490" s="159"/>
      <c r="AN490" s="160"/>
    </row>
    <row r="491">
      <c r="C491" s="127"/>
      <c r="F491" s="136"/>
      <c r="K491" s="159"/>
      <c r="L491" s="160"/>
      <c r="R491" s="159"/>
      <c r="S491" s="160"/>
      <c r="Y491" s="159"/>
      <c r="Z491" s="160"/>
      <c r="AF491" s="159"/>
      <c r="AG491" s="160"/>
      <c r="AM491" s="159"/>
      <c r="AN491" s="160"/>
    </row>
    <row r="492">
      <c r="C492" s="127"/>
      <c r="F492" s="136"/>
      <c r="K492" s="159"/>
      <c r="L492" s="160"/>
      <c r="R492" s="159"/>
      <c r="S492" s="160"/>
      <c r="Y492" s="159"/>
      <c r="Z492" s="160"/>
      <c r="AF492" s="159"/>
      <c r="AG492" s="160"/>
      <c r="AM492" s="159"/>
      <c r="AN492" s="160"/>
    </row>
    <row r="493">
      <c r="C493" s="127"/>
      <c r="F493" s="136"/>
      <c r="K493" s="159"/>
      <c r="L493" s="160"/>
      <c r="R493" s="159"/>
      <c r="S493" s="160"/>
      <c r="Y493" s="159"/>
      <c r="Z493" s="160"/>
      <c r="AF493" s="159"/>
      <c r="AG493" s="160"/>
      <c r="AM493" s="159"/>
      <c r="AN493" s="160"/>
    </row>
    <row r="494">
      <c r="C494" s="127"/>
      <c r="F494" s="136"/>
      <c r="K494" s="159"/>
      <c r="L494" s="160"/>
      <c r="R494" s="159"/>
      <c r="S494" s="160"/>
      <c r="Y494" s="159"/>
      <c r="Z494" s="160"/>
      <c r="AF494" s="159"/>
      <c r="AG494" s="160"/>
      <c r="AM494" s="159"/>
      <c r="AN494" s="160"/>
    </row>
    <row r="495">
      <c r="C495" s="127"/>
      <c r="F495" s="136"/>
      <c r="K495" s="159"/>
      <c r="L495" s="160"/>
      <c r="R495" s="159"/>
      <c r="S495" s="160"/>
      <c r="Y495" s="159"/>
      <c r="Z495" s="160"/>
      <c r="AF495" s="159"/>
      <c r="AG495" s="160"/>
      <c r="AM495" s="159"/>
      <c r="AN495" s="160"/>
    </row>
    <row r="496">
      <c r="C496" s="127"/>
      <c r="F496" s="136"/>
      <c r="K496" s="159"/>
      <c r="L496" s="160"/>
      <c r="R496" s="159"/>
      <c r="S496" s="160"/>
      <c r="Y496" s="159"/>
      <c r="Z496" s="160"/>
      <c r="AF496" s="159"/>
      <c r="AG496" s="160"/>
      <c r="AM496" s="159"/>
      <c r="AN496" s="160"/>
    </row>
    <row r="497">
      <c r="C497" s="127"/>
      <c r="F497" s="136"/>
      <c r="K497" s="159"/>
      <c r="L497" s="160"/>
      <c r="R497" s="159"/>
      <c r="S497" s="160"/>
      <c r="Y497" s="159"/>
      <c r="Z497" s="160"/>
      <c r="AF497" s="159"/>
      <c r="AG497" s="160"/>
      <c r="AM497" s="159"/>
      <c r="AN497" s="160"/>
    </row>
    <row r="498">
      <c r="C498" s="127"/>
      <c r="F498" s="136"/>
      <c r="K498" s="159"/>
      <c r="L498" s="160"/>
      <c r="R498" s="159"/>
      <c r="S498" s="160"/>
      <c r="Y498" s="159"/>
      <c r="Z498" s="160"/>
      <c r="AF498" s="159"/>
      <c r="AG498" s="160"/>
      <c r="AM498" s="159"/>
      <c r="AN498" s="160"/>
    </row>
    <row r="499">
      <c r="C499" s="127"/>
      <c r="F499" s="136"/>
      <c r="K499" s="159"/>
      <c r="L499" s="160"/>
      <c r="R499" s="159"/>
      <c r="S499" s="160"/>
      <c r="Y499" s="159"/>
      <c r="Z499" s="160"/>
      <c r="AF499" s="159"/>
      <c r="AG499" s="160"/>
      <c r="AM499" s="159"/>
      <c r="AN499" s="160"/>
    </row>
    <row r="500">
      <c r="C500" s="127"/>
      <c r="F500" s="136"/>
      <c r="K500" s="159"/>
      <c r="L500" s="160"/>
      <c r="R500" s="159"/>
      <c r="S500" s="160"/>
      <c r="Y500" s="159"/>
      <c r="Z500" s="160"/>
      <c r="AF500" s="159"/>
      <c r="AG500" s="160"/>
      <c r="AM500" s="159"/>
      <c r="AN500" s="160"/>
    </row>
    <row r="501">
      <c r="C501" s="127"/>
      <c r="F501" s="136"/>
      <c r="K501" s="159"/>
      <c r="L501" s="160"/>
      <c r="R501" s="159"/>
      <c r="S501" s="160"/>
      <c r="Y501" s="159"/>
      <c r="Z501" s="160"/>
      <c r="AF501" s="159"/>
      <c r="AG501" s="160"/>
      <c r="AM501" s="159"/>
      <c r="AN501" s="160"/>
    </row>
    <row r="502">
      <c r="C502" s="127"/>
      <c r="F502" s="136"/>
      <c r="K502" s="159"/>
      <c r="L502" s="160"/>
      <c r="R502" s="159"/>
      <c r="S502" s="160"/>
      <c r="Y502" s="159"/>
      <c r="Z502" s="160"/>
      <c r="AF502" s="159"/>
      <c r="AG502" s="160"/>
      <c r="AM502" s="159"/>
      <c r="AN502" s="160"/>
    </row>
    <row r="503">
      <c r="C503" s="127"/>
      <c r="F503" s="136"/>
      <c r="K503" s="159"/>
      <c r="L503" s="160"/>
      <c r="R503" s="159"/>
      <c r="S503" s="160"/>
      <c r="Y503" s="159"/>
      <c r="Z503" s="160"/>
      <c r="AF503" s="159"/>
      <c r="AG503" s="160"/>
      <c r="AM503" s="159"/>
      <c r="AN503" s="160"/>
    </row>
    <row r="504">
      <c r="C504" s="127"/>
      <c r="F504" s="136"/>
      <c r="K504" s="159"/>
      <c r="L504" s="160"/>
      <c r="R504" s="159"/>
      <c r="S504" s="160"/>
      <c r="Y504" s="159"/>
      <c r="Z504" s="160"/>
      <c r="AF504" s="159"/>
      <c r="AG504" s="160"/>
      <c r="AM504" s="159"/>
      <c r="AN504" s="160"/>
    </row>
    <row r="505">
      <c r="C505" s="127"/>
      <c r="F505" s="136"/>
      <c r="K505" s="159"/>
      <c r="L505" s="160"/>
      <c r="R505" s="159"/>
      <c r="S505" s="160"/>
      <c r="Y505" s="159"/>
      <c r="Z505" s="160"/>
      <c r="AF505" s="159"/>
      <c r="AG505" s="160"/>
      <c r="AM505" s="159"/>
      <c r="AN505" s="160"/>
    </row>
    <row r="506">
      <c r="C506" s="127"/>
      <c r="F506" s="136"/>
      <c r="K506" s="159"/>
      <c r="L506" s="160"/>
      <c r="R506" s="159"/>
      <c r="S506" s="160"/>
      <c r="Y506" s="159"/>
      <c r="Z506" s="160"/>
      <c r="AF506" s="159"/>
      <c r="AG506" s="160"/>
      <c r="AM506" s="159"/>
      <c r="AN506" s="160"/>
    </row>
    <row r="507">
      <c r="C507" s="127"/>
      <c r="F507" s="136"/>
      <c r="K507" s="159"/>
      <c r="L507" s="160"/>
      <c r="R507" s="159"/>
      <c r="S507" s="160"/>
      <c r="Y507" s="159"/>
      <c r="Z507" s="160"/>
      <c r="AF507" s="159"/>
      <c r="AG507" s="160"/>
      <c r="AM507" s="159"/>
      <c r="AN507" s="160"/>
    </row>
    <row r="508">
      <c r="C508" s="127"/>
      <c r="F508" s="136"/>
      <c r="K508" s="159"/>
      <c r="L508" s="160"/>
      <c r="R508" s="159"/>
      <c r="S508" s="160"/>
      <c r="Y508" s="159"/>
      <c r="Z508" s="160"/>
      <c r="AF508" s="159"/>
      <c r="AG508" s="160"/>
      <c r="AM508" s="159"/>
      <c r="AN508" s="160"/>
    </row>
    <row r="509">
      <c r="C509" s="127"/>
      <c r="F509" s="136"/>
      <c r="K509" s="159"/>
      <c r="L509" s="160"/>
      <c r="R509" s="159"/>
      <c r="S509" s="160"/>
      <c r="Y509" s="159"/>
      <c r="Z509" s="160"/>
      <c r="AF509" s="159"/>
      <c r="AG509" s="160"/>
      <c r="AM509" s="159"/>
      <c r="AN509" s="160"/>
    </row>
    <row r="510">
      <c r="C510" s="127"/>
      <c r="F510" s="136"/>
      <c r="K510" s="159"/>
      <c r="L510" s="160"/>
      <c r="R510" s="159"/>
      <c r="S510" s="160"/>
      <c r="Y510" s="159"/>
      <c r="Z510" s="160"/>
      <c r="AF510" s="159"/>
      <c r="AG510" s="160"/>
      <c r="AM510" s="159"/>
      <c r="AN510" s="160"/>
    </row>
    <row r="511">
      <c r="C511" s="127"/>
      <c r="F511" s="136"/>
      <c r="K511" s="159"/>
      <c r="L511" s="160"/>
      <c r="R511" s="159"/>
      <c r="S511" s="160"/>
      <c r="Y511" s="159"/>
      <c r="Z511" s="160"/>
      <c r="AF511" s="159"/>
      <c r="AG511" s="160"/>
      <c r="AM511" s="159"/>
      <c r="AN511" s="160"/>
    </row>
    <row r="512">
      <c r="C512" s="127"/>
      <c r="F512" s="136"/>
      <c r="K512" s="159"/>
      <c r="L512" s="160"/>
      <c r="R512" s="159"/>
      <c r="S512" s="160"/>
      <c r="Y512" s="159"/>
      <c r="Z512" s="160"/>
      <c r="AF512" s="159"/>
      <c r="AG512" s="160"/>
      <c r="AM512" s="159"/>
      <c r="AN512" s="160"/>
    </row>
    <row r="513">
      <c r="C513" s="127"/>
      <c r="F513" s="136"/>
      <c r="K513" s="159"/>
      <c r="L513" s="160"/>
      <c r="R513" s="159"/>
      <c r="S513" s="160"/>
      <c r="Y513" s="159"/>
      <c r="Z513" s="160"/>
      <c r="AF513" s="159"/>
      <c r="AG513" s="160"/>
      <c r="AM513" s="159"/>
      <c r="AN513" s="160"/>
    </row>
    <row r="514">
      <c r="C514" s="127"/>
      <c r="F514" s="136"/>
      <c r="K514" s="159"/>
      <c r="L514" s="160"/>
      <c r="R514" s="159"/>
      <c r="S514" s="160"/>
      <c r="Y514" s="159"/>
      <c r="Z514" s="160"/>
      <c r="AF514" s="159"/>
      <c r="AG514" s="160"/>
      <c r="AM514" s="159"/>
      <c r="AN514" s="160"/>
    </row>
    <row r="515">
      <c r="C515" s="127"/>
      <c r="F515" s="136"/>
      <c r="K515" s="159"/>
      <c r="L515" s="160"/>
      <c r="R515" s="159"/>
      <c r="S515" s="160"/>
      <c r="Y515" s="159"/>
      <c r="Z515" s="160"/>
      <c r="AF515" s="159"/>
      <c r="AG515" s="160"/>
      <c r="AM515" s="159"/>
      <c r="AN515" s="160"/>
    </row>
    <row r="516">
      <c r="C516" s="127"/>
      <c r="F516" s="136"/>
      <c r="K516" s="159"/>
      <c r="L516" s="160"/>
      <c r="R516" s="159"/>
      <c r="S516" s="160"/>
      <c r="Y516" s="159"/>
      <c r="Z516" s="160"/>
      <c r="AF516" s="159"/>
      <c r="AG516" s="160"/>
      <c r="AM516" s="159"/>
      <c r="AN516" s="160"/>
    </row>
    <row r="517">
      <c r="C517" s="127"/>
      <c r="F517" s="136"/>
      <c r="K517" s="159"/>
      <c r="L517" s="160"/>
      <c r="R517" s="159"/>
      <c r="S517" s="160"/>
      <c r="Y517" s="159"/>
      <c r="Z517" s="160"/>
      <c r="AF517" s="159"/>
      <c r="AG517" s="160"/>
      <c r="AM517" s="159"/>
      <c r="AN517" s="160"/>
    </row>
    <row r="518">
      <c r="C518" s="127"/>
      <c r="F518" s="136"/>
      <c r="K518" s="159"/>
      <c r="L518" s="160"/>
      <c r="R518" s="159"/>
      <c r="S518" s="160"/>
      <c r="Y518" s="159"/>
      <c r="Z518" s="160"/>
      <c r="AF518" s="159"/>
      <c r="AG518" s="160"/>
      <c r="AM518" s="159"/>
      <c r="AN518" s="160"/>
    </row>
    <row r="519">
      <c r="C519" s="127"/>
      <c r="F519" s="136"/>
      <c r="K519" s="159"/>
      <c r="L519" s="160"/>
      <c r="R519" s="159"/>
      <c r="S519" s="160"/>
      <c r="Y519" s="159"/>
      <c r="Z519" s="160"/>
      <c r="AF519" s="159"/>
      <c r="AG519" s="160"/>
      <c r="AM519" s="159"/>
      <c r="AN519" s="160"/>
    </row>
    <row r="520">
      <c r="C520" s="127"/>
      <c r="F520" s="136"/>
      <c r="K520" s="159"/>
      <c r="L520" s="160"/>
      <c r="R520" s="159"/>
      <c r="S520" s="160"/>
      <c r="Y520" s="159"/>
      <c r="Z520" s="160"/>
      <c r="AF520" s="159"/>
      <c r="AG520" s="160"/>
      <c r="AM520" s="159"/>
      <c r="AN520" s="160"/>
    </row>
    <row r="521">
      <c r="C521" s="127"/>
      <c r="F521" s="136"/>
      <c r="K521" s="159"/>
      <c r="L521" s="160"/>
      <c r="R521" s="159"/>
      <c r="S521" s="160"/>
      <c r="Y521" s="159"/>
      <c r="Z521" s="160"/>
      <c r="AF521" s="159"/>
      <c r="AG521" s="160"/>
      <c r="AM521" s="159"/>
      <c r="AN521" s="160"/>
    </row>
    <row r="522">
      <c r="C522" s="127"/>
      <c r="F522" s="136"/>
      <c r="K522" s="159"/>
      <c r="L522" s="160"/>
      <c r="R522" s="159"/>
      <c r="S522" s="160"/>
      <c r="Y522" s="159"/>
      <c r="Z522" s="160"/>
      <c r="AF522" s="159"/>
      <c r="AG522" s="160"/>
      <c r="AM522" s="159"/>
      <c r="AN522" s="160"/>
    </row>
    <row r="523">
      <c r="C523" s="127"/>
      <c r="F523" s="136"/>
      <c r="K523" s="159"/>
      <c r="L523" s="160"/>
      <c r="R523" s="159"/>
      <c r="S523" s="160"/>
      <c r="Y523" s="159"/>
      <c r="Z523" s="160"/>
      <c r="AF523" s="159"/>
      <c r="AG523" s="160"/>
      <c r="AM523" s="159"/>
      <c r="AN523" s="160"/>
    </row>
    <row r="524">
      <c r="C524" s="127"/>
      <c r="F524" s="136"/>
      <c r="K524" s="159"/>
      <c r="L524" s="160"/>
      <c r="R524" s="159"/>
      <c r="S524" s="160"/>
      <c r="Y524" s="159"/>
      <c r="Z524" s="160"/>
      <c r="AF524" s="159"/>
      <c r="AG524" s="160"/>
      <c r="AM524" s="159"/>
      <c r="AN524" s="160"/>
    </row>
    <row r="525">
      <c r="C525" s="127"/>
      <c r="F525" s="136"/>
      <c r="K525" s="159"/>
      <c r="L525" s="160"/>
      <c r="R525" s="159"/>
      <c r="S525" s="160"/>
      <c r="Y525" s="159"/>
      <c r="Z525" s="160"/>
      <c r="AF525" s="159"/>
      <c r="AG525" s="160"/>
      <c r="AM525" s="159"/>
      <c r="AN525" s="160"/>
    </row>
    <row r="526">
      <c r="C526" s="127"/>
      <c r="F526" s="136"/>
      <c r="K526" s="159"/>
      <c r="L526" s="160"/>
      <c r="R526" s="159"/>
      <c r="S526" s="160"/>
      <c r="Y526" s="159"/>
      <c r="Z526" s="160"/>
      <c r="AF526" s="159"/>
      <c r="AG526" s="160"/>
      <c r="AM526" s="159"/>
      <c r="AN526" s="160"/>
    </row>
    <row r="527">
      <c r="C527" s="127"/>
      <c r="F527" s="136"/>
      <c r="K527" s="159"/>
      <c r="L527" s="160"/>
      <c r="R527" s="159"/>
      <c r="S527" s="160"/>
      <c r="Y527" s="159"/>
      <c r="Z527" s="160"/>
      <c r="AF527" s="159"/>
      <c r="AG527" s="160"/>
      <c r="AM527" s="159"/>
      <c r="AN527" s="160"/>
    </row>
    <row r="528">
      <c r="C528" s="127"/>
      <c r="F528" s="136"/>
      <c r="K528" s="159"/>
      <c r="L528" s="160"/>
      <c r="R528" s="159"/>
      <c r="S528" s="160"/>
      <c r="Y528" s="159"/>
      <c r="Z528" s="160"/>
      <c r="AF528" s="159"/>
      <c r="AG528" s="160"/>
      <c r="AM528" s="159"/>
      <c r="AN528" s="160"/>
    </row>
    <row r="529">
      <c r="C529" s="127"/>
      <c r="F529" s="136"/>
      <c r="K529" s="159"/>
      <c r="L529" s="160"/>
      <c r="R529" s="159"/>
      <c r="S529" s="160"/>
      <c r="Y529" s="159"/>
      <c r="Z529" s="160"/>
      <c r="AF529" s="159"/>
      <c r="AG529" s="160"/>
      <c r="AM529" s="159"/>
      <c r="AN529" s="160"/>
    </row>
    <row r="530">
      <c r="C530" s="127"/>
      <c r="F530" s="136"/>
      <c r="K530" s="159"/>
      <c r="L530" s="160"/>
      <c r="R530" s="159"/>
      <c r="S530" s="160"/>
      <c r="Y530" s="159"/>
      <c r="Z530" s="160"/>
      <c r="AF530" s="159"/>
      <c r="AG530" s="160"/>
      <c r="AM530" s="159"/>
      <c r="AN530" s="160"/>
    </row>
    <row r="531">
      <c r="C531" s="127"/>
      <c r="F531" s="136"/>
      <c r="K531" s="159"/>
      <c r="L531" s="160"/>
      <c r="R531" s="159"/>
      <c r="S531" s="160"/>
      <c r="Y531" s="159"/>
      <c r="Z531" s="160"/>
      <c r="AF531" s="159"/>
      <c r="AG531" s="160"/>
      <c r="AM531" s="159"/>
      <c r="AN531" s="160"/>
    </row>
    <row r="532">
      <c r="C532" s="127"/>
      <c r="F532" s="136"/>
      <c r="K532" s="159"/>
      <c r="L532" s="160"/>
      <c r="R532" s="159"/>
      <c r="S532" s="160"/>
      <c r="Y532" s="159"/>
      <c r="Z532" s="160"/>
      <c r="AF532" s="159"/>
      <c r="AG532" s="160"/>
      <c r="AM532" s="159"/>
      <c r="AN532" s="160"/>
    </row>
    <row r="533">
      <c r="C533" s="127"/>
      <c r="F533" s="136"/>
      <c r="K533" s="159"/>
      <c r="L533" s="160"/>
      <c r="R533" s="159"/>
      <c r="S533" s="160"/>
      <c r="Y533" s="159"/>
      <c r="Z533" s="160"/>
      <c r="AF533" s="159"/>
      <c r="AG533" s="160"/>
      <c r="AM533" s="159"/>
      <c r="AN533" s="160"/>
    </row>
    <row r="534">
      <c r="C534" s="127"/>
      <c r="F534" s="136"/>
      <c r="K534" s="159"/>
      <c r="L534" s="160"/>
      <c r="R534" s="159"/>
      <c r="S534" s="160"/>
      <c r="Y534" s="159"/>
      <c r="Z534" s="160"/>
      <c r="AF534" s="159"/>
      <c r="AG534" s="160"/>
      <c r="AM534" s="159"/>
      <c r="AN534" s="160"/>
    </row>
    <row r="535">
      <c r="C535" s="127"/>
      <c r="F535" s="136"/>
      <c r="K535" s="159"/>
      <c r="L535" s="160"/>
      <c r="R535" s="159"/>
      <c r="S535" s="160"/>
      <c r="Y535" s="159"/>
      <c r="Z535" s="160"/>
      <c r="AF535" s="159"/>
      <c r="AG535" s="160"/>
      <c r="AM535" s="159"/>
      <c r="AN535" s="160"/>
    </row>
    <row r="536">
      <c r="C536" s="127"/>
      <c r="F536" s="136"/>
      <c r="K536" s="159"/>
      <c r="L536" s="160"/>
      <c r="R536" s="159"/>
      <c r="S536" s="160"/>
      <c r="Y536" s="159"/>
      <c r="Z536" s="160"/>
      <c r="AF536" s="159"/>
      <c r="AG536" s="160"/>
      <c r="AM536" s="159"/>
      <c r="AN536" s="160"/>
    </row>
    <row r="537">
      <c r="C537" s="127"/>
      <c r="F537" s="136"/>
      <c r="K537" s="159"/>
      <c r="L537" s="160"/>
      <c r="R537" s="159"/>
      <c r="S537" s="160"/>
      <c r="Y537" s="159"/>
      <c r="Z537" s="160"/>
      <c r="AF537" s="159"/>
      <c r="AG537" s="160"/>
      <c r="AM537" s="159"/>
      <c r="AN537" s="160"/>
    </row>
    <row r="538">
      <c r="C538" s="127"/>
      <c r="F538" s="136"/>
      <c r="K538" s="159"/>
      <c r="L538" s="160"/>
      <c r="R538" s="159"/>
      <c r="S538" s="160"/>
      <c r="Y538" s="159"/>
      <c r="Z538" s="160"/>
      <c r="AF538" s="159"/>
      <c r="AG538" s="160"/>
      <c r="AM538" s="159"/>
      <c r="AN538" s="160"/>
    </row>
    <row r="539">
      <c r="C539" s="127"/>
      <c r="F539" s="136"/>
      <c r="K539" s="159"/>
      <c r="L539" s="160"/>
      <c r="R539" s="159"/>
      <c r="S539" s="160"/>
      <c r="Y539" s="159"/>
      <c r="Z539" s="160"/>
      <c r="AF539" s="159"/>
      <c r="AG539" s="160"/>
      <c r="AM539" s="159"/>
      <c r="AN539" s="160"/>
    </row>
    <row r="540">
      <c r="C540" s="127"/>
      <c r="F540" s="136"/>
      <c r="K540" s="159"/>
      <c r="L540" s="160"/>
      <c r="R540" s="159"/>
      <c r="S540" s="160"/>
      <c r="Y540" s="159"/>
      <c r="Z540" s="160"/>
      <c r="AF540" s="159"/>
      <c r="AG540" s="160"/>
      <c r="AM540" s="159"/>
      <c r="AN540" s="160"/>
    </row>
    <row r="541">
      <c r="C541" s="127"/>
      <c r="F541" s="136"/>
      <c r="K541" s="159"/>
      <c r="L541" s="160"/>
      <c r="R541" s="159"/>
      <c r="S541" s="160"/>
      <c r="Y541" s="159"/>
      <c r="Z541" s="160"/>
      <c r="AF541" s="159"/>
      <c r="AG541" s="160"/>
      <c r="AM541" s="159"/>
      <c r="AN541" s="160"/>
    </row>
    <row r="542">
      <c r="C542" s="127"/>
      <c r="F542" s="136"/>
      <c r="K542" s="159"/>
      <c r="L542" s="160"/>
      <c r="R542" s="159"/>
      <c r="S542" s="160"/>
      <c r="Y542" s="159"/>
      <c r="Z542" s="160"/>
      <c r="AF542" s="159"/>
      <c r="AG542" s="160"/>
      <c r="AM542" s="159"/>
      <c r="AN542" s="160"/>
    </row>
    <row r="543">
      <c r="C543" s="127"/>
      <c r="F543" s="136"/>
      <c r="K543" s="159"/>
      <c r="L543" s="160"/>
      <c r="R543" s="159"/>
      <c r="S543" s="160"/>
      <c r="Y543" s="159"/>
      <c r="Z543" s="160"/>
      <c r="AF543" s="159"/>
      <c r="AG543" s="160"/>
      <c r="AM543" s="159"/>
      <c r="AN543" s="160"/>
    </row>
    <row r="544">
      <c r="C544" s="127"/>
      <c r="F544" s="136"/>
      <c r="K544" s="159"/>
      <c r="L544" s="160"/>
      <c r="R544" s="159"/>
      <c r="S544" s="160"/>
      <c r="Y544" s="159"/>
      <c r="Z544" s="160"/>
      <c r="AF544" s="159"/>
      <c r="AG544" s="160"/>
      <c r="AM544" s="159"/>
      <c r="AN544" s="160"/>
    </row>
    <row r="545">
      <c r="C545" s="127"/>
      <c r="F545" s="136"/>
      <c r="K545" s="159"/>
      <c r="L545" s="160"/>
      <c r="R545" s="159"/>
      <c r="S545" s="160"/>
      <c r="Y545" s="159"/>
      <c r="Z545" s="160"/>
      <c r="AF545" s="159"/>
      <c r="AG545" s="160"/>
      <c r="AM545" s="159"/>
      <c r="AN545" s="160"/>
    </row>
    <row r="546">
      <c r="C546" s="127"/>
      <c r="F546" s="136"/>
      <c r="K546" s="159"/>
      <c r="L546" s="160"/>
      <c r="R546" s="159"/>
      <c r="S546" s="160"/>
      <c r="Y546" s="159"/>
      <c r="Z546" s="160"/>
      <c r="AF546" s="159"/>
      <c r="AG546" s="160"/>
      <c r="AM546" s="159"/>
      <c r="AN546" s="160"/>
    </row>
    <row r="547">
      <c r="C547" s="127"/>
      <c r="F547" s="136"/>
      <c r="K547" s="159"/>
      <c r="L547" s="160"/>
      <c r="R547" s="159"/>
      <c r="S547" s="160"/>
      <c r="Y547" s="159"/>
      <c r="Z547" s="160"/>
      <c r="AF547" s="159"/>
      <c r="AG547" s="160"/>
      <c r="AM547" s="159"/>
      <c r="AN547" s="160"/>
    </row>
    <row r="548">
      <c r="C548" s="127"/>
      <c r="F548" s="136"/>
      <c r="K548" s="159"/>
      <c r="L548" s="160"/>
      <c r="R548" s="159"/>
      <c r="S548" s="160"/>
      <c r="Y548" s="159"/>
      <c r="Z548" s="160"/>
      <c r="AF548" s="159"/>
      <c r="AG548" s="160"/>
      <c r="AM548" s="159"/>
      <c r="AN548" s="160"/>
    </row>
    <row r="549">
      <c r="C549" s="127"/>
      <c r="F549" s="136"/>
      <c r="K549" s="159"/>
      <c r="L549" s="160"/>
      <c r="R549" s="159"/>
      <c r="S549" s="160"/>
      <c r="Y549" s="159"/>
      <c r="Z549" s="160"/>
      <c r="AF549" s="159"/>
      <c r="AG549" s="160"/>
      <c r="AM549" s="159"/>
      <c r="AN549" s="160"/>
    </row>
    <row r="550">
      <c r="C550" s="127"/>
      <c r="F550" s="136"/>
      <c r="K550" s="159"/>
      <c r="L550" s="160"/>
      <c r="R550" s="159"/>
      <c r="S550" s="160"/>
      <c r="Y550" s="159"/>
      <c r="Z550" s="160"/>
      <c r="AF550" s="159"/>
      <c r="AG550" s="160"/>
      <c r="AM550" s="159"/>
      <c r="AN550" s="160"/>
    </row>
    <row r="551">
      <c r="C551" s="127"/>
      <c r="F551" s="136"/>
      <c r="K551" s="159"/>
      <c r="L551" s="160"/>
      <c r="R551" s="159"/>
      <c r="S551" s="160"/>
      <c r="Y551" s="159"/>
      <c r="Z551" s="160"/>
      <c r="AF551" s="159"/>
      <c r="AG551" s="160"/>
      <c r="AM551" s="159"/>
      <c r="AN551" s="160"/>
    </row>
    <row r="552">
      <c r="C552" s="127"/>
      <c r="F552" s="136"/>
      <c r="K552" s="159"/>
      <c r="L552" s="160"/>
      <c r="R552" s="159"/>
      <c r="S552" s="160"/>
      <c r="Y552" s="159"/>
      <c r="Z552" s="160"/>
      <c r="AF552" s="159"/>
      <c r="AG552" s="160"/>
      <c r="AM552" s="159"/>
      <c r="AN552" s="160"/>
    </row>
    <row r="553">
      <c r="C553" s="127"/>
      <c r="F553" s="136"/>
      <c r="K553" s="159"/>
      <c r="L553" s="160"/>
      <c r="R553" s="159"/>
      <c r="S553" s="160"/>
      <c r="Y553" s="159"/>
      <c r="Z553" s="160"/>
      <c r="AF553" s="159"/>
      <c r="AG553" s="160"/>
      <c r="AM553" s="159"/>
      <c r="AN553" s="160"/>
    </row>
    <row r="554">
      <c r="C554" s="127"/>
      <c r="F554" s="136"/>
      <c r="K554" s="159"/>
      <c r="L554" s="160"/>
      <c r="R554" s="159"/>
      <c r="S554" s="160"/>
      <c r="Y554" s="159"/>
      <c r="Z554" s="160"/>
      <c r="AF554" s="159"/>
      <c r="AG554" s="160"/>
      <c r="AM554" s="159"/>
      <c r="AN554" s="160"/>
    </row>
    <row r="555">
      <c r="C555" s="127"/>
      <c r="F555" s="136"/>
      <c r="K555" s="159"/>
      <c r="L555" s="160"/>
      <c r="R555" s="159"/>
      <c r="S555" s="160"/>
      <c r="Y555" s="159"/>
      <c r="Z555" s="160"/>
      <c r="AF555" s="159"/>
      <c r="AG555" s="160"/>
      <c r="AM555" s="159"/>
      <c r="AN555" s="160"/>
    </row>
    <row r="556">
      <c r="C556" s="127"/>
      <c r="F556" s="136"/>
      <c r="K556" s="159"/>
      <c r="L556" s="160"/>
      <c r="R556" s="159"/>
      <c r="S556" s="160"/>
      <c r="Y556" s="159"/>
      <c r="Z556" s="160"/>
      <c r="AF556" s="159"/>
      <c r="AG556" s="160"/>
      <c r="AM556" s="159"/>
      <c r="AN556" s="160"/>
    </row>
    <row r="557">
      <c r="C557" s="127"/>
      <c r="F557" s="136"/>
      <c r="K557" s="159"/>
      <c r="L557" s="160"/>
      <c r="R557" s="159"/>
      <c r="S557" s="160"/>
      <c r="Y557" s="159"/>
      <c r="Z557" s="160"/>
      <c r="AF557" s="159"/>
      <c r="AG557" s="160"/>
      <c r="AM557" s="159"/>
      <c r="AN557" s="160"/>
    </row>
    <row r="558">
      <c r="C558" s="127"/>
      <c r="F558" s="136"/>
      <c r="K558" s="159"/>
      <c r="L558" s="160"/>
      <c r="R558" s="159"/>
      <c r="S558" s="160"/>
      <c r="Y558" s="159"/>
      <c r="Z558" s="160"/>
      <c r="AF558" s="159"/>
      <c r="AG558" s="160"/>
      <c r="AM558" s="159"/>
      <c r="AN558" s="160"/>
    </row>
    <row r="559">
      <c r="C559" s="127"/>
      <c r="F559" s="136"/>
      <c r="K559" s="159"/>
      <c r="L559" s="160"/>
      <c r="R559" s="159"/>
      <c r="S559" s="160"/>
      <c r="Y559" s="159"/>
      <c r="Z559" s="160"/>
      <c r="AF559" s="159"/>
      <c r="AG559" s="160"/>
      <c r="AM559" s="159"/>
      <c r="AN559" s="160"/>
    </row>
    <row r="560">
      <c r="C560" s="127"/>
      <c r="F560" s="136"/>
      <c r="K560" s="159"/>
      <c r="L560" s="160"/>
      <c r="R560" s="159"/>
      <c r="S560" s="160"/>
      <c r="Y560" s="159"/>
      <c r="Z560" s="160"/>
      <c r="AF560" s="159"/>
      <c r="AG560" s="160"/>
      <c r="AM560" s="159"/>
      <c r="AN560" s="160"/>
    </row>
    <row r="561">
      <c r="C561" s="127"/>
      <c r="F561" s="136"/>
      <c r="K561" s="159"/>
      <c r="L561" s="160"/>
      <c r="R561" s="159"/>
      <c r="S561" s="160"/>
      <c r="Y561" s="159"/>
      <c r="Z561" s="160"/>
      <c r="AF561" s="159"/>
      <c r="AG561" s="160"/>
      <c r="AM561" s="159"/>
      <c r="AN561" s="160"/>
    </row>
    <row r="562">
      <c r="C562" s="127"/>
      <c r="F562" s="136"/>
      <c r="K562" s="159"/>
      <c r="L562" s="160"/>
      <c r="R562" s="159"/>
      <c r="S562" s="160"/>
      <c r="Y562" s="159"/>
      <c r="Z562" s="160"/>
      <c r="AF562" s="159"/>
      <c r="AG562" s="160"/>
      <c r="AM562" s="159"/>
      <c r="AN562" s="160"/>
    </row>
    <row r="563">
      <c r="C563" s="127"/>
      <c r="F563" s="136"/>
      <c r="K563" s="159"/>
      <c r="L563" s="160"/>
      <c r="R563" s="159"/>
      <c r="S563" s="160"/>
      <c r="Y563" s="159"/>
      <c r="Z563" s="160"/>
      <c r="AF563" s="159"/>
      <c r="AG563" s="160"/>
      <c r="AM563" s="159"/>
      <c r="AN563" s="160"/>
    </row>
    <row r="564">
      <c r="C564" s="127"/>
      <c r="F564" s="136"/>
      <c r="K564" s="159"/>
      <c r="L564" s="160"/>
      <c r="R564" s="159"/>
      <c r="S564" s="160"/>
      <c r="Y564" s="159"/>
      <c r="Z564" s="160"/>
      <c r="AF564" s="159"/>
      <c r="AG564" s="160"/>
      <c r="AM564" s="159"/>
      <c r="AN564" s="160"/>
    </row>
    <row r="565">
      <c r="C565" s="127"/>
      <c r="F565" s="136"/>
      <c r="K565" s="159"/>
      <c r="L565" s="160"/>
      <c r="R565" s="159"/>
      <c r="S565" s="160"/>
      <c r="Y565" s="159"/>
      <c r="Z565" s="160"/>
      <c r="AF565" s="159"/>
      <c r="AG565" s="160"/>
      <c r="AM565" s="159"/>
      <c r="AN565" s="160"/>
    </row>
    <row r="566">
      <c r="C566" s="127"/>
      <c r="F566" s="136"/>
      <c r="K566" s="159"/>
      <c r="L566" s="160"/>
      <c r="R566" s="159"/>
      <c r="S566" s="160"/>
      <c r="Y566" s="159"/>
      <c r="Z566" s="160"/>
      <c r="AF566" s="159"/>
      <c r="AG566" s="160"/>
      <c r="AM566" s="159"/>
      <c r="AN566" s="160"/>
    </row>
    <row r="567">
      <c r="C567" s="127"/>
      <c r="F567" s="136"/>
      <c r="K567" s="159"/>
      <c r="L567" s="160"/>
      <c r="R567" s="159"/>
      <c r="S567" s="160"/>
      <c r="Y567" s="159"/>
      <c r="Z567" s="160"/>
      <c r="AF567" s="159"/>
      <c r="AG567" s="160"/>
      <c r="AM567" s="159"/>
      <c r="AN567" s="160"/>
    </row>
    <row r="568">
      <c r="C568" s="127"/>
      <c r="F568" s="136"/>
      <c r="K568" s="159"/>
      <c r="L568" s="160"/>
      <c r="R568" s="159"/>
      <c r="S568" s="160"/>
      <c r="Y568" s="159"/>
      <c r="Z568" s="160"/>
      <c r="AF568" s="159"/>
      <c r="AG568" s="160"/>
      <c r="AM568" s="159"/>
      <c r="AN568" s="160"/>
    </row>
    <row r="569">
      <c r="C569" s="127"/>
      <c r="F569" s="136"/>
      <c r="K569" s="159"/>
      <c r="L569" s="160"/>
      <c r="R569" s="159"/>
      <c r="S569" s="160"/>
      <c r="Y569" s="159"/>
      <c r="Z569" s="160"/>
      <c r="AF569" s="159"/>
      <c r="AG569" s="160"/>
      <c r="AM569" s="159"/>
      <c r="AN569" s="160"/>
    </row>
    <row r="570">
      <c r="C570" s="127"/>
      <c r="F570" s="136"/>
      <c r="K570" s="159"/>
      <c r="L570" s="160"/>
      <c r="R570" s="159"/>
      <c r="S570" s="160"/>
      <c r="Y570" s="159"/>
      <c r="Z570" s="160"/>
      <c r="AF570" s="159"/>
      <c r="AG570" s="160"/>
      <c r="AM570" s="159"/>
      <c r="AN570" s="160"/>
    </row>
    <row r="571">
      <c r="C571" s="127"/>
      <c r="F571" s="136"/>
      <c r="K571" s="159"/>
      <c r="L571" s="160"/>
      <c r="R571" s="159"/>
      <c r="S571" s="160"/>
      <c r="Y571" s="159"/>
      <c r="Z571" s="160"/>
      <c r="AF571" s="159"/>
      <c r="AG571" s="160"/>
      <c r="AM571" s="159"/>
      <c r="AN571" s="160"/>
    </row>
    <row r="572">
      <c r="C572" s="127"/>
      <c r="F572" s="136"/>
      <c r="K572" s="159"/>
      <c r="L572" s="160"/>
      <c r="R572" s="159"/>
      <c r="S572" s="160"/>
      <c r="Y572" s="159"/>
      <c r="Z572" s="160"/>
      <c r="AF572" s="159"/>
      <c r="AG572" s="160"/>
      <c r="AM572" s="159"/>
      <c r="AN572" s="160"/>
    </row>
    <row r="573">
      <c r="C573" s="127"/>
      <c r="F573" s="136"/>
      <c r="K573" s="159"/>
      <c r="L573" s="160"/>
      <c r="R573" s="159"/>
      <c r="S573" s="160"/>
      <c r="Y573" s="159"/>
      <c r="Z573" s="160"/>
      <c r="AF573" s="159"/>
      <c r="AG573" s="160"/>
      <c r="AM573" s="159"/>
      <c r="AN573" s="160"/>
    </row>
    <row r="574">
      <c r="C574" s="127"/>
      <c r="F574" s="136"/>
      <c r="K574" s="159"/>
      <c r="L574" s="160"/>
      <c r="R574" s="159"/>
      <c r="S574" s="160"/>
      <c r="Y574" s="159"/>
      <c r="Z574" s="160"/>
      <c r="AF574" s="159"/>
      <c r="AG574" s="160"/>
      <c r="AM574" s="159"/>
      <c r="AN574" s="160"/>
    </row>
    <row r="575">
      <c r="C575" s="127"/>
      <c r="F575" s="136"/>
      <c r="K575" s="159"/>
      <c r="L575" s="160"/>
      <c r="R575" s="159"/>
      <c r="S575" s="160"/>
      <c r="Y575" s="159"/>
      <c r="Z575" s="160"/>
      <c r="AF575" s="159"/>
      <c r="AG575" s="160"/>
      <c r="AM575" s="159"/>
      <c r="AN575" s="160"/>
    </row>
    <row r="576">
      <c r="C576" s="127"/>
      <c r="F576" s="136"/>
      <c r="K576" s="159"/>
      <c r="L576" s="160"/>
      <c r="R576" s="159"/>
      <c r="S576" s="160"/>
      <c r="Y576" s="159"/>
      <c r="Z576" s="160"/>
      <c r="AF576" s="159"/>
      <c r="AG576" s="160"/>
      <c r="AM576" s="159"/>
      <c r="AN576" s="160"/>
    </row>
    <row r="577">
      <c r="C577" s="127"/>
      <c r="F577" s="136"/>
      <c r="K577" s="159"/>
      <c r="L577" s="160"/>
      <c r="R577" s="159"/>
      <c r="S577" s="160"/>
      <c r="Y577" s="159"/>
      <c r="Z577" s="160"/>
      <c r="AF577" s="159"/>
      <c r="AG577" s="160"/>
      <c r="AM577" s="159"/>
      <c r="AN577" s="160"/>
    </row>
    <row r="578">
      <c r="C578" s="127"/>
      <c r="F578" s="136"/>
      <c r="K578" s="159"/>
      <c r="L578" s="160"/>
      <c r="R578" s="159"/>
      <c r="S578" s="160"/>
      <c r="Y578" s="159"/>
      <c r="Z578" s="160"/>
      <c r="AF578" s="159"/>
      <c r="AG578" s="160"/>
      <c r="AM578" s="159"/>
      <c r="AN578" s="160"/>
    </row>
    <row r="579">
      <c r="C579" s="127"/>
      <c r="F579" s="136"/>
      <c r="K579" s="159"/>
      <c r="L579" s="160"/>
      <c r="R579" s="159"/>
      <c r="S579" s="160"/>
      <c r="Y579" s="159"/>
      <c r="Z579" s="160"/>
      <c r="AF579" s="159"/>
      <c r="AG579" s="160"/>
      <c r="AM579" s="159"/>
      <c r="AN579" s="160"/>
    </row>
    <row r="580">
      <c r="C580" s="127"/>
      <c r="F580" s="136"/>
      <c r="K580" s="159"/>
      <c r="L580" s="160"/>
      <c r="R580" s="159"/>
      <c r="S580" s="160"/>
      <c r="Y580" s="159"/>
      <c r="Z580" s="160"/>
      <c r="AF580" s="159"/>
      <c r="AG580" s="160"/>
      <c r="AM580" s="159"/>
      <c r="AN580" s="160"/>
    </row>
    <row r="581">
      <c r="C581" s="127"/>
      <c r="F581" s="136"/>
      <c r="K581" s="159"/>
      <c r="L581" s="160"/>
      <c r="R581" s="159"/>
      <c r="S581" s="160"/>
      <c r="Y581" s="159"/>
      <c r="Z581" s="160"/>
      <c r="AF581" s="159"/>
      <c r="AG581" s="160"/>
      <c r="AM581" s="159"/>
      <c r="AN581" s="160"/>
    </row>
    <row r="582">
      <c r="C582" s="127"/>
      <c r="F582" s="136"/>
      <c r="K582" s="159"/>
      <c r="L582" s="160"/>
      <c r="R582" s="159"/>
      <c r="S582" s="160"/>
      <c r="Y582" s="159"/>
      <c r="Z582" s="160"/>
      <c r="AF582" s="159"/>
      <c r="AG582" s="160"/>
      <c r="AM582" s="159"/>
      <c r="AN582" s="160"/>
    </row>
    <row r="583">
      <c r="C583" s="127"/>
      <c r="F583" s="136"/>
      <c r="K583" s="159"/>
      <c r="L583" s="160"/>
      <c r="R583" s="159"/>
      <c r="S583" s="160"/>
      <c r="Y583" s="159"/>
      <c r="Z583" s="160"/>
      <c r="AF583" s="159"/>
      <c r="AG583" s="160"/>
      <c r="AM583" s="159"/>
      <c r="AN583" s="160"/>
    </row>
    <row r="584">
      <c r="C584" s="127"/>
      <c r="F584" s="136"/>
      <c r="K584" s="159"/>
      <c r="L584" s="160"/>
      <c r="R584" s="159"/>
      <c r="S584" s="160"/>
      <c r="Y584" s="159"/>
      <c r="Z584" s="160"/>
      <c r="AF584" s="159"/>
      <c r="AG584" s="160"/>
      <c r="AM584" s="159"/>
      <c r="AN584" s="160"/>
    </row>
    <row r="585">
      <c r="C585" s="127"/>
      <c r="F585" s="136"/>
      <c r="K585" s="159"/>
      <c r="L585" s="160"/>
      <c r="R585" s="159"/>
      <c r="S585" s="160"/>
      <c r="Y585" s="159"/>
      <c r="Z585" s="160"/>
      <c r="AF585" s="159"/>
      <c r="AG585" s="160"/>
      <c r="AM585" s="159"/>
      <c r="AN585" s="160"/>
    </row>
    <row r="586">
      <c r="C586" s="127"/>
      <c r="F586" s="136"/>
      <c r="K586" s="159"/>
      <c r="L586" s="160"/>
      <c r="R586" s="159"/>
      <c r="S586" s="160"/>
      <c r="Y586" s="159"/>
      <c r="Z586" s="160"/>
      <c r="AF586" s="159"/>
      <c r="AG586" s="160"/>
      <c r="AM586" s="159"/>
      <c r="AN586" s="160"/>
    </row>
    <row r="587">
      <c r="C587" s="127"/>
      <c r="F587" s="136"/>
      <c r="K587" s="159"/>
      <c r="L587" s="160"/>
      <c r="R587" s="159"/>
      <c r="S587" s="160"/>
      <c r="Y587" s="159"/>
      <c r="Z587" s="160"/>
      <c r="AF587" s="159"/>
      <c r="AG587" s="160"/>
      <c r="AM587" s="159"/>
      <c r="AN587" s="160"/>
    </row>
    <row r="588">
      <c r="C588" s="127"/>
      <c r="F588" s="136"/>
      <c r="K588" s="159"/>
      <c r="L588" s="160"/>
      <c r="R588" s="159"/>
      <c r="S588" s="160"/>
      <c r="Y588" s="159"/>
      <c r="Z588" s="160"/>
      <c r="AF588" s="159"/>
      <c r="AG588" s="160"/>
      <c r="AM588" s="159"/>
      <c r="AN588" s="160"/>
    </row>
    <row r="589">
      <c r="C589" s="127"/>
      <c r="F589" s="136"/>
      <c r="K589" s="159"/>
      <c r="L589" s="160"/>
      <c r="R589" s="159"/>
      <c r="S589" s="160"/>
      <c r="Y589" s="159"/>
      <c r="Z589" s="160"/>
      <c r="AF589" s="159"/>
      <c r="AG589" s="160"/>
      <c r="AM589" s="159"/>
      <c r="AN589" s="160"/>
    </row>
    <row r="590">
      <c r="C590" s="127"/>
      <c r="F590" s="136"/>
      <c r="K590" s="159"/>
      <c r="L590" s="160"/>
      <c r="R590" s="159"/>
      <c r="S590" s="160"/>
      <c r="Y590" s="159"/>
      <c r="Z590" s="160"/>
      <c r="AF590" s="159"/>
      <c r="AG590" s="160"/>
      <c r="AM590" s="159"/>
      <c r="AN590" s="160"/>
    </row>
    <row r="591">
      <c r="C591" s="127"/>
      <c r="F591" s="136"/>
      <c r="K591" s="159"/>
      <c r="L591" s="160"/>
      <c r="R591" s="159"/>
      <c r="S591" s="160"/>
      <c r="Y591" s="159"/>
      <c r="Z591" s="160"/>
      <c r="AF591" s="159"/>
      <c r="AG591" s="160"/>
      <c r="AM591" s="159"/>
      <c r="AN591" s="160"/>
    </row>
    <row r="592">
      <c r="C592" s="127"/>
      <c r="F592" s="136"/>
      <c r="K592" s="159"/>
      <c r="L592" s="160"/>
      <c r="R592" s="159"/>
      <c r="S592" s="160"/>
      <c r="Y592" s="159"/>
      <c r="Z592" s="160"/>
      <c r="AF592" s="159"/>
      <c r="AG592" s="160"/>
      <c r="AM592" s="159"/>
      <c r="AN592" s="160"/>
    </row>
    <row r="593">
      <c r="C593" s="127"/>
      <c r="F593" s="136"/>
      <c r="K593" s="159"/>
      <c r="L593" s="160"/>
      <c r="R593" s="159"/>
      <c r="S593" s="160"/>
      <c r="Y593" s="159"/>
      <c r="Z593" s="160"/>
      <c r="AF593" s="159"/>
      <c r="AG593" s="160"/>
      <c r="AM593" s="159"/>
      <c r="AN593" s="160"/>
    </row>
    <row r="594">
      <c r="C594" s="127"/>
      <c r="F594" s="136"/>
      <c r="K594" s="159"/>
      <c r="L594" s="160"/>
      <c r="R594" s="159"/>
      <c r="S594" s="160"/>
      <c r="Y594" s="159"/>
      <c r="Z594" s="160"/>
      <c r="AF594" s="159"/>
      <c r="AG594" s="160"/>
      <c r="AM594" s="159"/>
      <c r="AN594" s="160"/>
    </row>
    <row r="595">
      <c r="C595" s="127"/>
      <c r="F595" s="136"/>
      <c r="K595" s="159"/>
      <c r="L595" s="160"/>
      <c r="R595" s="159"/>
      <c r="S595" s="160"/>
      <c r="Y595" s="159"/>
      <c r="Z595" s="160"/>
      <c r="AF595" s="159"/>
      <c r="AG595" s="160"/>
      <c r="AM595" s="159"/>
      <c r="AN595" s="160"/>
    </row>
    <row r="596">
      <c r="C596" s="127"/>
      <c r="F596" s="136"/>
      <c r="K596" s="159"/>
      <c r="L596" s="160"/>
      <c r="R596" s="159"/>
      <c r="S596" s="160"/>
      <c r="Y596" s="159"/>
      <c r="Z596" s="160"/>
      <c r="AF596" s="159"/>
      <c r="AG596" s="160"/>
      <c r="AM596" s="159"/>
      <c r="AN596" s="160"/>
    </row>
    <row r="597">
      <c r="C597" s="127"/>
      <c r="F597" s="136"/>
      <c r="K597" s="159"/>
      <c r="L597" s="160"/>
      <c r="R597" s="159"/>
      <c r="S597" s="160"/>
      <c r="Y597" s="159"/>
      <c r="Z597" s="160"/>
      <c r="AF597" s="159"/>
      <c r="AG597" s="160"/>
      <c r="AM597" s="159"/>
      <c r="AN597" s="160"/>
    </row>
    <row r="598">
      <c r="C598" s="127"/>
      <c r="F598" s="136"/>
      <c r="K598" s="159"/>
      <c r="L598" s="160"/>
      <c r="R598" s="159"/>
      <c r="S598" s="160"/>
      <c r="Y598" s="159"/>
      <c r="Z598" s="160"/>
      <c r="AF598" s="159"/>
      <c r="AG598" s="160"/>
      <c r="AM598" s="159"/>
      <c r="AN598" s="160"/>
    </row>
    <row r="599">
      <c r="C599" s="127"/>
      <c r="F599" s="136"/>
      <c r="K599" s="159"/>
      <c r="L599" s="160"/>
      <c r="R599" s="159"/>
      <c r="S599" s="160"/>
      <c r="Y599" s="159"/>
      <c r="Z599" s="160"/>
      <c r="AF599" s="159"/>
      <c r="AG599" s="160"/>
      <c r="AM599" s="159"/>
      <c r="AN599" s="160"/>
    </row>
    <row r="600">
      <c r="C600" s="127"/>
      <c r="F600" s="136"/>
      <c r="K600" s="159"/>
      <c r="L600" s="160"/>
      <c r="R600" s="159"/>
      <c r="S600" s="160"/>
      <c r="Y600" s="159"/>
      <c r="Z600" s="160"/>
      <c r="AF600" s="159"/>
      <c r="AG600" s="160"/>
      <c r="AM600" s="159"/>
      <c r="AN600" s="160"/>
    </row>
    <row r="601">
      <c r="C601" s="127"/>
      <c r="F601" s="136"/>
      <c r="K601" s="159"/>
      <c r="L601" s="160"/>
      <c r="R601" s="159"/>
      <c r="S601" s="160"/>
      <c r="Y601" s="159"/>
      <c r="Z601" s="160"/>
      <c r="AF601" s="159"/>
      <c r="AG601" s="160"/>
      <c r="AM601" s="159"/>
      <c r="AN601" s="160"/>
    </row>
    <row r="602">
      <c r="C602" s="127"/>
      <c r="F602" s="136"/>
      <c r="K602" s="159"/>
      <c r="L602" s="160"/>
      <c r="R602" s="159"/>
      <c r="S602" s="160"/>
      <c r="Y602" s="159"/>
      <c r="Z602" s="160"/>
      <c r="AF602" s="159"/>
      <c r="AG602" s="160"/>
      <c r="AM602" s="159"/>
      <c r="AN602" s="160"/>
    </row>
    <row r="603">
      <c r="C603" s="127"/>
      <c r="F603" s="136"/>
      <c r="K603" s="159"/>
      <c r="L603" s="160"/>
      <c r="R603" s="159"/>
      <c r="S603" s="160"/>
      <c r="Y603" s="159"/>
      <c r="Z603" s="160"/>
      <c r="AF603" s="159"/>
      <c r="AG603" s="160"/>
      <c r="AM603" s="159"/>
      <c r="AN603" s="160"/>
    </row>
    <row r="604">
      <c r="C604" s="127"/>
      <c r="F604" s="136"/>
      <c r="K604" s="159"/>
      <c r="L604" s="160"/>
      <c r="R604" s="159"/>
      <c r="S604" s="160"/>
      <c r="Y604" s="159"/>
      <c r="Z604" s="160"/>
      <c r="AF604" s="159"/>
      <c r="AG604" s="160"/>
      <c r="AM604" s="159"/>
      <c r="AN604" s="160"/>
    </row>
    <row r="605">
      <c r="C605" s="127"/>
      <c r="F605" s="136"/>
      <c r="K605" s="159"/>
      <c r="L605" s="160"/>
      <c r="R605" s="159"/>
      <c r="S605" s="160"/>
      <c r="Y605" s="159"/>
      <c r="Z605" s="160"/>
      <c r="AF605" s="159"/>
      <c r="AG605" s="160"/>
      <c r="AM605" s="159"/>
      <c r="AN605" s="160"/>
    </row>
    <row r="606">
      <c r="C606" s="127"/>
      <c r="F606" s="136"/>
      <c r="K606" s="159"/>
      <c r="L606" s="160"/>
      <c r="R606" s="159"/>
      <c r="S606" s="160"/>
      <c r="Y606" s="159"/>
      <c r="Z606" s="160"/>
      <c r="AF606" s="159"/>
      <c r="AG606" s="160"/>
      <c r="AM606" s="159"/>
      <c r="AN606" s="160"/>
    </row>
    <row r="607">
      <c r="C607" s="127"/>
      <c r="F607" s="136"/>
      <c r="K607" s="159"/>
      <c r="L607" s="160"/>
      <c r="R607" s="159"/>
      <c r="S607" s="160"/>
      <c r="Y607" s="159"/>
      <c r="Z607" s="160"/>
      <c r="AF607" s="159"/>
      <c r="AG607" s="160"/>
      <c r="AM607" s="159"/>
      <c r="AN607" s="160"/>
    </row>
    <row r="608">
      <c r="C608" s="127"/>
      <c r="F608" s="136"/>
      <c r="K608" s="159"/>
      <c r="L608" s="160"/>
      <c r="R608" s="159"/>
      <c r="S608" s="160"/>
      <c r="Y608" s="159"/>
      <c r="Z608" s="160"/>
      <c r="AF608" s="159"/>
      <c r="AG608" s="160"/>
      <c r="AM608" s="159"/>
      <c r="AN608" s="160"/>
    </row>
    <row r="609">
      <c r="C609" s="127"/>
      <c r="F609" s="136"/>
      <c r="K609" s="159"/>
      <c r="L609" s="160"/>
      <c r="R609" s="159"/>
      <c r="S609" s="160"/>
      <c r="Y609" s="159"/>
      <c r="Z609" s="160"/>
      <c r="AF609" s="159"/>
      <c r="AG609" s="160"/>
      <c r="AM609" s="159"/>
      <c r="AN609" s="160"/>
    </row>
    <row r="610">
      <c r="C610" s="127"/>
      <c r="F610" s="136"/>
      <c r="K610" s="159"/>
      <c r="L610" s="160"/>
      <c r="R610" s="159"/>
      <c r="S610" s="160"/>
      <c r="Y610" s="159"/>
      <c r="Z610" s="160"/>
      <c r="AF610" s="159"/>
      <c r="AG610" s="160"/>
      <c r="AM610" s="159"/>
      <c r="AN610" s="160"/>
    </row>
    <row r="611">
      <c r="C611" s="127"/>
      <c r="F611" s="136"/>
      <c r="K611" s="159"/>
      <c r="L611" s="160"/>
      <c r="R611" s="159"/>
      <c r="S611" s="160"/>
      <c r="Y611" s="159"/>
      <c r="Z611" s="160"/>
      <c r="AF611" s="159"/>
      <c r="AG611" s="160"/>
      <c r="AM611" s="159"/>
      <c r="AN611" s="160"/>
    </row>
    <row r="612">
      <c r="C612" s="127"/>
      <c r="F612" s="136"/>
      <c r="K612" s="159"/>
      <c r="L612" s="160"/>
      <c r="R612" s="159"/>
      <c r="S612" s="160"/>
      <c r="Y612" s="159"/>
      <c r="Z612" s="160"/>
      <c r="AF612" s="159"/>
      <c r="AG612" s="160"/>
      <c r="AM612" s="159"/>
      <c r="AN612" s="160"/>
    </row>
    <row r="613">
      <c r="C613" s="127"/>
      <c r="F613" s="136"/>
      <c r="K613" s="159"/>
      <c r="L613" s="160"/>
      <c r="R613" s="159"/>
      <c r="S613" s="160"/>
      <c r="Y613" s="159"/>
      <c r="Z613" s="160"/>
      <c r="AF613" s="159"/>
      <c r="AG613" s="160"/>
      <c r="AM613" s="159"/>
      <c r="AN613" s="160"/>
    </row>
    <row r="614">
      <c r="C614" s="127"/>
      <c r="F614" s="136"/>
      <c r="K614" s="159"/>
      <c r="L614" s="160"/>
      <c r="R614" s="159"/>
      <c r="S614" s="160"/>
      <c r="Y614" s="159"/>
      <c r="Z614" s="160"/>
      <c r="AF614" s="159"/>
      <c r="AG614" s="160"/>
      <c r="AM614" s="159"/>
      <c r="AN614" s="160"/>
    </row>
    <row r="615">
      <c r="C615" s="127"/>
      <c r="F615" s="136"/>
      <c r="K615" s="159"/>
      <c r="L615" s="160"/>
      <c r="R615" s="159"/>
      <c r="S615" s="160"/>
      <c r="Y615" s="159"/>
      <c r="Z615" s="160"/>
      <c r="AF615" s="159"/>
      <c r="AG615" s="160"/>
      <c r="AM615" s="159"/>
      <c r="AN615" s="160"/>
    </row>
    <row r="616">
      <c r="C616" s="127"/>
      <c r="F616" s="136"/>
      <c r="K616" s="159"/>
      <c r="L616" s="160"/>
      <c r="R616" s="159"/>
      <c r="S616" s="160"/>
      <c r="Y616" s="159"/>
      <c r="Z616" s="160"/>
      <c r="AF616" s="159"/>
      <c r="AG616" s="160"/>
      <c r="AM616" s="159"/>
      <c r="AN616" s="160"/>
    </row>
    <row r="617">
      <c r="C617" s="127"/>
      <c r="F617" s="136"/>
      <c r="K617" s="159"/>
      <c r="L617" s="160"/>
      <c r="R617" s="159"/>
      <c r="S617" s="160"/>
      <c r="Y617" s="159"/>
      <c r="Z617" s="160"/>
      <c r="AF617" s="159"/>
      <c r="AG617" s="160"/>
      <c r="AM617" s="159"/>
      <c r="AN617" s="160"/>
    </row>
    <row r="618">
      <c r="C618" s="127"/>
      <c r="F618" s="136"/>
      <c r="K618" s="159"/>
      <c r="L618" s="160"/>
      <c r="R618" s="159"/>
      <c r="S618" s="160"/>
      <c r="Y618" s="159"/>
      <c r="Z618" s="160"/>
      <c r="AF618" s="159"/>
      <c r="AG618" s="160"/>
      <c r="AM618" s="159"/>
      <c r="AN618" s="160"/>
    </row>
    <row r="619">
      <c r="C619" s="127"/>
      <c r="F619" s="136"/>
      <c r="K619" s="159"/>
      <c r="L619" s="160"/>
      <c r="R619" s="159"/>
      <c r="S619" s="160"/>
      <c r="Y619" s="159"/>
      <c r="Z619" s="160"/>
      <c r="AF619" s="159"/>
      <c r="AG619" s="160"/>
      <c r="AM619" s="159"/>
      <c r="AN619" s="160"/>
    </row>
    <row r="620">
      <c r="C620" s="127"/>
      <c r="F620" s="136"/>
      <c r="K620" s="159"/>
      <c r="L620" s="160"/>
      <c r="R620" s="159"/>
      <c r="S620" s="160"/>
      <c r="Y620" s="159"/>
      <c r="Z620" s="160"/>
      <c r="AF620" s="159"/>
      <c r="AG620" s="160"/>
      <c r="AM620" s="159"/>
      <c r="AN620" s="160"/>
    </row>
    <row r="621">
      <c r="C621" s="127"/>
      <c r="F621" s="136"/>
      <c r="K621" s="159"/>
      <c r="L621" s="160"/>
      <c r="R621" s="159"/>
      <c r="S621" s="160"/>
      <c r="Y621" s="159"/>
      <c r="Z621" s="160"/>
      <c r="AF621" s="159"/>
      <c r="AG621" s="160"/>
      <c r="AM621" s="159"/>
      <c r="AN621" s="160"/>
    </row>
    <row r="622">
      <c r="C622" s="127"/>
      <c r="F622" s="136"/>
      <c r="K622" s="159"/>
      <c r="L622" s="160"/>
      <c r="R622" s="159"/>
      <c r="S622" s="160"/>
      <c r="Y622" s="159"/>
      <c r="Z622" s="160"/>
      <c r="AF622" s="159"/>
      <c r="AG622" s="160"/>
      <c r="AM622" s="159"/>
      <c r="AN622" s="160"/>
    </row>
    <row r="623">
      <c r="C623" s="127"/>
      <c r="F623" s="136"/>
      <c r="K623" s="159"/>
      <c r="L623" s="160"/>
      <c r="R623" s="159"/>
      <c r="S623" s="160"/>
      <c r="Y623" s="159"/>
      <c r="Z623" s="160"/>
      <c r="AF623" s="159"/>
      <c r="AG623" s="160"/>
      <c r="AM623" s="159"/>
      <c r="AN623" s="160"/>
    </row>
    <row r="624">
      <c r="C624" s="127"/>
      <c r="F624" s="136"/>
      <c r="K624" s="159"/>
      <c r="L624" s="160"/>
      <c r="R624" s="159"/>
      <c r="S624" s="160"/>
      <c r="Y624" s="159"/>
      <c r="Z624" s="160"/>
      <c r="AF624" s="159"/>
      <c r="AG624" s="160"/>
      <c r="AM624" s="159"/>
      <c r="AN624" s="160"/>
    </row>
    <row r="625">
      <c r="C625" s="127"/>
      <c r="F625" s="136"/>
      <c r="K625" s="159"/>
      <c r="L625" s="160"/>
      <c r="R625" s="159"/>
      <c r="S625" s="160"/>
      <c r="Y625" s="159"/>
      <c r="Z625" s="160"/>
      <c r="AF625" s="159"/>
      <c r="AG625" s="160"/>
      <c r="AM625" s="159"/>
      <c r="AN625" s="160"/>
    </row>
    <row r="626">
      <c r="C626" s="127"/>
      <c r="F626" s="136"/>
      <c r="K626" s="159"/>
      <c r="L626" s="160"/>
      <c r="R626" s="159"/>
      <c r="S626" s="160"/>
      <c r="Y626" s="159"/>
      <c r="Z626" s="160"/>
      <c r="AF626" s="159"/>
      <c r="AG626" s="160"/>
      <c r="AM626" s="159"/>
      <c r="AN626" s="160"/>
    </row>
    <row r="627">
      <c r="C627" s="127"/>
      <c r="F627" s="136"/>
      <c r="K627" s="159"/>
      <c r="L627" s="160"/>
      <c r="R627" s="159"/>
      <c r="S627" s="160"/>
      <c r="Y627" s="159"/>
      <c r="Z627" s="160"/>
      <c r="AF627" s="159"/>
      <c r="AG627" s="160"/>
      <c r="AM627" s="159"/>
      <c r="AN627" s="160"/>
    </row>
    <row r="628">
      <c r="C628" s="127"/>
      <c r="F628" s="136"/>
      <c r="K628" s="159"/>
      <c r="L628" s="160"/>
      <c r="R628" s="159"/>
      <c r="S628" s="160"/>
      <c r="Y628" s="159"/>
      <c r="Z628" s="160"/>
      <c r="AF628" s="159"/>
      <c r="AG628" s="160"/>
      <c r="AM628" s="159"/>
      <c r="AN628" s="160"/>
    </row>
    <row r="629">
      <c r="C629" s="127"/>
      <c r="F629" s="136"/>
      <c r="K629" s="159"/>
      <c r="L629" s="160"/>
      <c r="R629" s="159"/>
      <c r="S629" s="160"/>
      <c r="Y629" s="159"/>
      <c r="Z629" s="160"/>
      <c r="AF629" s="159"/>
      <c r="AG629" s="160"/>
      <c r="AM629" s="159"/>
      <c r="AN629" s="160"/>
    </row>
    <row r="630">
      <c r="C630" s="127"/>
      <c r="F630" s="136"/>
      <c r="K630" s="159"/>
      <c r="L630" s="160"/>
      <c r="R630" s="159"/>
      <c r="S630" s="160"/>
      <c r="Y630" s="159"/>
      <c r="Z630" s="160"/>
      <c r="AF630" s="159"/>
      <c r="AG630" s="160"/>
      <c r="AM630" s="159"/>
      <c r="AN630" s="160"/>
    </row>
    <row r="631">
      <c r="C631" s="127"/>
      <c r="F631" s="136"/>
      <c r="K631" s="159"/>
      <c r="L631" s="160"/>
      <c r="R631" s="159"/>
      <c r="S631" s="160"/>
      <c r="Y631" s="159"/>
      <c r="Z631" s="160"/>
      <c r="AF631" s="159"/>
      <c r="AG631" s="160"/>
      <c r="AM631" s="159"/>
      <c r="AN631" s="160"/>
    </row>
    <row r="632">
      <c r="C632" s="127"/>
      <c r="F632" s="136"/>
      <c r="K632" s="159"/>
      <c r="L632" s="160"/>
      <c r="R632" s="159"/>
      <c r="S632" s="160"/>
      <c r="Y632" s="159"/>
      <c r="Z632" s="160"/>
      <c r="AF632" s="159"/>
      <c r="AG632" s="160"/>
      <c r="AM632" s="159"/>
      <c r="AN632" s="160"/>
    </row>
    <row r="633">
      <c r="C633" s="127"/>
      <c r="F633" s="136"/>
      <c r="K633" s="159"/>
      <c r="L633" s="160"/>
      <c r="R633" s="159"/>
      <c r="S633" s="160"/>
      <c r="Y633" s="159"/>
      <c r="Z633" s="160"/>
      <c r="AF633" s="159"/>
      <c r="AG633" s="160"/>
      <c r="AM633" s="159"/>
      <c r="AN633" s="160"/>
    </row>
    <row r="634">
      <c r="C634" s="127"/>
      <c r="F634" s="136"/>
      <c r="K634" s="159"/>
      <c r="L634" s="160"/>
      <c r="R634" s="159"/>
      <c r="S634" s="160"/>
      <c r="Y634" s="159"/>
      <c r="Z634" s="160"/>
      <c r="AF634" s="159"/>
      <c r="AG634" s="160"/>
      <c r="AM634" s="159"/>
      <c r="AN634" s="160"/>
    </row>
    <row r="635">
      <c r="C635" s="127"/>
      <c r="F635" s="136"/>
      <c r="K635" s="159"/>
      <c r="L635" s="160"/>
      <c r="R635" s="159"/>
      <c r="S635" s="160"/>
      <c r="Y635" s="159"/>
      <c r="Z635" s="160"/>
      <c r="AF635" s="159"/>
      <c r="AG635" s="160"/>
      <c r="AM635" s="159"/>
      <c r="AN635" s="160"/>
    </row>
    <row r="636">
      <c r="C636" s="127"/>
      <c r="F636" s="136"/>
      <c r="K636" s="159"/>
      <c r="L636" s="160"/>
      <c r="R636" s="159"/>
      <c r="S636" s="160"/>
      <c r="Y636" s="159"/>
      <c r="Z636" s="160"/>
      <c r="AF636" s="159"/>
      <c r="AG636" s="160"/>
      <c r="AM636" s="159"/>
      <c r="AN636" s="160"/>
    </row>
    <row r="637">
      <c r="C637" s="127"/>
      <c r="F637" s="136"/>
      <c r="K637" s="159"/>
      <c r="L637" s="160"/>
      <c r="R637" s="159"/>
      <c r="S637" s="160"/>
      <c r="Y637" s="159"/>
      <c r="Z637" s="160"/>
      <c r="AF637" s="159"/>
      <c r="AG637" s="160"/>
      <c r="AM637" s="159"/>
      <c r="AN637" s="160"/>
    </row>
    <row r="638">
      <c r="C638" s="127"/>
      <c r="F638" s="136"/>
      <c r="K638" s="159"/>
      <c r="L638" s="160"/>
      <c r="R638" s="159"/>
      <c r="S638" s="160"/>
      <c r="Y638" s="159"/>
      <c r="Z638" s="160"/>
      <c r="AF638" s="159"/>
      <c r="AG638" s="160"/>
      <c r="AM638" s="159"/>
      <c r="AN638" s="160"/>
    </row>
    <row r="639">
      <c r="C639" s="127"/>
      <c r="F639" s="136"/>
      <c r="K639" s="159"/>
      <c r="L639" s="160"/>
      <c r="R639" s="159"/>
      <c r="S639" s="160"/>
      <c r="Y639" s="159"/>
      <c r="Z639" s="160"/>
      <c r="AF639" s="159"/>
      <c r="AG639" s="160"/>
      <c r="AM639" s="159"/>
      <c r="AN639" s="160"/>
    </row>
    <row r="640">
      <c r="C640" s="127"/>
      <c r="F640" s="136"/>
      <c r="K640" s="159"/>
      <c r="L640" s="160"/>
      <c r="R640" s="159"/>
      <c r="S640" s="160"/>
      <c r="Y640" s="159"/>
      <c r="Z640" s="160"/>
      <c r="AF640" s="159"/>
      <c r="AG640" s="160"/>
      <c r="AM640" s="159"/>
      <c r="AN640" s="160"/>
    </row>
    <row r="641">
      <c r="C641" s="127"/>
      <c r="F641" s="136"/>
      <c r="K641" s="159"/>
      <c r="L641" s="160"/>
      <c r="R641" s="159"/>
      <c r="S641" s="160"/>
      <c r="Y641" s="159"/>
      <c r="Z641" s="160"/>
      <c r="AF641" s="159"/>
      <c r="AG641" s="160"/>
      <c r="AM641" s="159"/>
      <c r="AN641" s="160"/>
    </row>
    <row r="642">
      <c r="C642" s="127"/>
      <c r="F642" s="136"/>
      <c r="K642" s="159"/>
      <c r="L642" s="160"/>
      <c r="R642" s="159"/>
      <c r="S642" s="160"/>
      <c r="Y642" s="159"/>
      <c r="Z642" s="160"/>
      <c r="AF642" s="159"/>
      <c r="AG642" s="160"/>
      <c r="AM642" s="159"/>
      <c r="AN642" s="160"/>
    </row>
    <row r="643">
      <c r="C643" s="127"/>
      <c r="F643" s="136"/>
      <c r="K643" s="159"/>
      <c r="L643" s="160"/>
      <c r="R643" s="159"/>
      <c r="S643" s="160"/>
      <c r="Y643" s="159"/>
      <c r="Z643" s="160"/>
      <c r="AF643" s="159"/>
      <c r="AG643" s="160"/>
      <c r="AM643" s="159"/>
      <c r="AN643" s="160"/>
    </row>
    <row r="644">
      <c r="C644" s="127"/>
      <c r="F644" s="136"/>
      <c r="K644" s="159"/>
      <c r="L644" s="160"/>
      <c r="R644" s="159"/>
      <c r="S644" s="160"/>
      <c r="Y644" s="159"/>
      <c r="Z644" s="160"/>
      <c r="AF644" s="159"/>
      <c r="AG644" s="160"/>
      <c r="AM644" s="159"/>
      <c r="AN644" s="160"/>
    </row>
    <row r="645">
      <c r="C645" s="127"/>
      <c r="F645" s="136"/>
      <c r="K645" s="159"/>
      <c r="L645" s="160"/>
      <c r="R645" s="159"/>
      <c r="S645" s="160"/>
      <c r="Y645" s="159"/>
      <c r="Z645" s="160"/>
      <c r="AF645" s="159"/>
      <c r="AG645" s="160"/>
      <c r="AM645" s="159"/>
      <c r="AN645" s="160"/>
    </row>
    <row r="646">
      <c r="C646" s="127"/>
      <c r="F646" s="136"/>
      <c r="K646" s="159"/>
      <c r="L646" s="160"/>
      <c r="R646" s="159"/>
      <c r="S646" s="160"/>
      <c r="Y646" s="159"/>
      <c r="Z646" s="160"/>
      <c r="AF646" s="159"/>
      <c r="AG646" s="160"/>
      <c r="AM646" s="159"/>
      <c r="AN646" s="160"/>
    </row>
    <row r="647">
      <c r="C647" s="127"/>
      <c r="F647" s="136"/>
      <c r="K647" s="159"/>
      <c r="L647" s="160"/>
      <c r="R647" s="159"/>
      <c r="S647" s="160"/>
      <c r="Y647" s="159"/>
      <c r="Z647" s="160"/>
      <c r="AF647" s="159"/>
      <c r="AG647" s="160"/>
      <c r="AM647" s="159"/>
      <c r="AN647" s="160"/>
    </row>
    <row r="648">
      <c r="C648" s="127"/>
      <c r="F648" s="136"/>
      <c r="K648" s="159"/>
      <c r="L648" s="160"/>
      <c r="R648" s="159"/>
      <c r="S648" s="160"/>
      <c r="Y648" s="159"/>
      <c r="Z648" s="160"/>
      <c r="AF648" s="159"/>
      <c r="AG648" s="160"/>
      <c r="AM648" s="159"/>
      <c r="AN648" s="160"/>
    </row>
    <row r="649">
      <c r="C649" s="127"/>
      <c r="F649" s="136"/>
      <c r="K649" s="159"/>
      <c r="L649" s="160"/>
      <c r="R649" s="159"/>
      <c r="S649" s="160"/>
      <c r="Y649" s="159"/>
      <c r="Z649" s="160"/>
      <c r="AF649" s="159"/>
      <c r="AG649" s="160"/>
      <c r="AM649" s="159"/>
      <c r="AN649" s="160"/>
    </row>
    <row r="650">
      <c r="C650" s="127"/>
      <c r="F650" s="136"/>
      <c r="K650" s="159"/>
      <c r="L650" s="160"/>
      <c r="R650" s="159"/>
      <c r="S650" s="160"/>
      <c r="Y650" s="159"/>
      <c r="Z650" s="160"/>
      <c r="AF650" s="159"/>
      <c r="AG650" s="160"/>
      <c r="AM650" s="159"/>
      <c r="AN650" s="160"/>
    </row>
    <row r="651">
      <c r="C651" s="127"/>
      <c r="F651" s="136"/>
      <c r="K651" s="159"/>
      <c r="L651" s="160"/>
      <c r="R651" s="159"/>
      <c r="S651" s="160"/>
      <c r="Y651" s="159"/>
      <c r="Z651" s="160"/>
      <c r="AF651" s="159"/>
      <c r="AG651" s="160"/>
      <c r="AM651" s="159"/>
      <c r="AN651" s="160"/>
    </row>
    <row r="652">
      <c r="C652" s="127"/>
      <c r="F652" s="136"/>
      <c r="K652" s="159"/>
      <c r="L652" s="160"/>
      <c r="R652" s="159"/>
      <c r="S652" s="160"/>
      <c r="Y652" s="159"/>
      <c r="Z652" s="160"/>
      <c r="AF652" s="159"/>
      <c r="AG652" s="160"/>
      <c r="AM652" s="159"/>
      <c r="AN652" s="160"/>
    </row>
    <row r="653">
      <c r="C653" s="127"/>
      <c r="F653" s="136"/>
      <c r="K653" s="159"/>
      <c r="L653" s="160"/>
      <c r="R653" s="159"/>
      <c r="S653" s="160"/>
      <c r="Y653" s="159"/>
      <c r="Z653" s="160"/>
      <c r="AF653" s="159"/>
      <c r="AG653" s="160"/>
      <c r="AM653" s="159"/>
      <c r="AN653" s="160"/>
    </row>
    <row r="654">
      <c r="C654" s="127"/>
      <c r="F654" s="136"/>
      <c r="K654" s="159"/>
      <c r="L654" s="160"/>
      <c r="R654" s="159"/>
      <c r="S654" s="160"/>
      <c r="Y654" s="159"/>
      <c r="Z654" s="160"/>
      <c r="AF654" s="159"/>
      <c r="AG654" s="160"/>
      <c r="AM654" s="159"/>
      <c r="AN654" s="160"/>
    </row>
    <row r="655">
      <c r="C655" s="127"/>
      <c r="F655" s="136"/>
      <c r="K655" s="159"/>
      <c r="L655" s="160"/>
      <c r="R655" s="159"/>
      <c r="S655" s="160"/>
      <c r="Y655" s="159"/>
      <c r="Z655" s="160"/>
      <c r="AF655" s="159"/>
      <c r="AG655" s="160"/>
      <c r="AM655" s="159"/>
      <c r="AN655" s="160"/>
    </row>
    <row r="656">
      <c r="C656" s="127"/>
      <c r="F656" s="136"/>
      <c r="K656" s="159"/>
      <c r="L656" s="160"/>
      <c r="R656" s="159"/>
      <c r="S656" s="160"/>
      <c r="Y656" s="159"/>
      <c r="Z656" s="160"/>
      <c r="AF656" s="159"/>
      <c r="AG656" s="160"/>
      <c r="AM656" s="159"/>
      <c r="AN656" s="160"/>
    </row>
    <row r="657">
      <c r="C657" s="127"/>
      <c r="F657" s="136"/>
      <c r="K657" s="159"/>
      <c r="L657" s="160"/>
      <c r="R657" s="159"/>
      <c r="S657" s="160"/>
      <c r="Y657" s="159"/>
      <c r="Z657" s="160"/>
      <c r="AF657" s="159"/>
      <c r="AG657" s="160"/>
      <c r="AM657" s="159"/>
      <c r="AN657" s="160"/>
    </row>
    <row r="658">
      <c r="C658" s="127"/>
      <c r="F658" s="136"/>
      <c r="K658" s="159"/>
      <c r="L658" s="160"/>
      <c r="R658" s="159"/>
      <c r="S658" s="160"/>
      <c r="Y658" s="159"/>
      <c r="Z658" s="160"/>
      <c r="AF658" s="159"/>
      <c r="AG658" s="160"/>
      <c r="AM658" s="159"/>
      <c r="AN658" s="160"/>
    </row>
    <row r="659">
      <c r="C659" s="127"/>
      <c r="F659" s="136"/>
      <c r="K659" s="159"/>
      <c r="L659" s="160"/>
      <c r="R659" s="159"/>
      <c r="S659" s="160"/>
      <c r="Y659" s="159"/>
      <c r="Z659" s="160"/>
      <c r="AF659" s="159"/>
      <c r="AG659" s="160"/>
      <c r="AM659" s="159"/>
      <c r="AN659" s="160"/>
    </row>
    <row r="660">
      <c r="C660" s="127"/>
      <c r="F660" s="136"/>
      <c r="K660" s="159"/>
      <c r="L660" s="160"/>
      <c r="R660" s="159"/>
      <c r="S660" s="160"/>
      <c r="Y660" s="159"/>
      <c r="Z660" s="160"/>
      <c r="AF660" s="159"/>
      <c r="AG660" s="160"/>
      <c r="AM660" s="159"/>
      <c r="AN660" s="160"/>
    </row>
    <row r="661">
      <c r="C661" s="127"/>
      <c r="F661" s="136"/>
      <c r="K661" s="159"/>
      <c r="L661" s="160"/>
      <c r="R661" s="159"/>
      <c r="S661" s="160"/>
      <c r="Y661" s="159"/>
      <c r="Z661" s="160"/>
      <c r="AF661" s="159"/>
      <c r="AG661" s="160"/>
      <c r="AM661" s="159"/>
      <c r="AN661" s="160"/>
    </row>
    <row r="662">
      <c r="C662" s="127"/>
      <c r="F662" s="136"/>
      <c r="K662" s="159"/>
      <c r="L662" s="160"/>
      <c r="R662" s="159"/>
      <c r="S662" s="160"/>
      <c r="Y662" s="159"/>
      <c r="Z662" s="160"/>
      <c r="AF662" s="159"/>
      <c r="AG662" s="160"/>
      <c r="AM662" s="159"/>
      <c r="AN662" s="160"/>
    </row>
    <row r="663">
      <c r="C663" s="127"/>
      <c r="F663" s="136"/>
      <c r="K663" s="159"/>
      <c r="L663" s="160"/>
      <c r="R663" s="159"/>
      <c r="S663" s="160"/>
      <c r="Y663" s="159"/>
      <c r="Z663" s="160"/>
      <c r="AF663" s="159"/>
      <c r="AG663" s="160"/>
      <c r="AM663" s="159"/>
      <c r="AN663" s="160"/>
    </row>
    <row r="664">
      <c r="C664" s="127"/>
      <c r="F664" s="136"/>
      <c r="K664" s="159"/>
      <c r="L664" s="160"/>
      <c r="R664" s="159"/>
      <c r="S664" s="160"/>
      <c r="Y664" s="159"/>
      <c r="Z664" s="160"/>
      <c r="AF664" s="159"/>
      <c r="AG664" s="160"/>
      <c r="AM664" s="159"/>
      <c r="AN664" s="160"/>
    </row>
    <row r="665">
      <c r="C665" s="127"/>
      <c r="F665" s="136"/>
      <c r="K665" s="159"/>
      <c r="L665" s="160"/>
      <c r="R665" s="159"/>
      <c r="S665" s="160"/>
      <c r="Y665" s="159"/>
      <c r="Z665" s="160"/>
      <c r="AF665" s="159"/>
      <c r="AG665" s="160"/>
      <c r="AM665" s="159"/>
      <c r="AN665" s="160"/>
    </row>
    <row r="666">
      <c r="C666" s="127"/>
      <c r="F666" s="136"/>
      <c r="K666" s="159"/>
      <c r="L666" s="160"/>
      <c r="R666" s="159"/>
      <c r="S666" s="160"/>
      <c r="Y666" s="159"/>
      <c r="Z666" s="160"/>
      <c r="AF666" s="159"/>
      <c r="AG666" s="160"/>
      <c r="AM666" s="159"/>
      <c r="AN666" s="160"/>
    </row>
    <row r="667">
      <c r="C667" s="127"/>
      <c r="F667" s="136"/>
      <c r="K667" s="159"/>
      <c r="L667" s="160"/>
      <c r="R667" s="159"/>
      <c r="S667" s="160"/>
      <c r="Y667" s="159"/>
      <c r="Z667" s="160"/>
      <c r="AF667" s="159"/>
      <c r="AG667" s="160"/>
      <c r="AM667" s="159"/>
      <c r="AN667" s="160"/>
    </row>
    <row r="668">
      <c r="C668" s="127"/>
      <c r="F668" s="136"/>
      <c r="K668" s="159"/>
      <c r="L668" s="160"/>
      <c r="R668" s="159"/>
      <c r="S668" s="160"/>
      <c r="Y668" s="159"/>
      <c r="Z668" s="160"/>
      <c r="AF668" s="159"/>
      <c r="AG668" s="160"/>
      <c r="AM668" s="159"/>
      <c r="AN668" s="160"/>
    </row>
    <row r="669">
      <c r="C669" s="127"/>
      <c r="F669" s="136"/>
      <c r="K669" s="159"/>
      <c r="L669" s="160"/>
      <c r="R669" s="159"/>
      <c r="S669" s="160"/>
      <c r="Y669" s="159"/>
      <c r="Z669" s="160"/>
      <c r="AF669" s="159"/>
      <c r="AG669" s="160"/>
      <c r="AM669" s="159"/>
      <c r="AN669" s="160"/>
    </row>
    <row r="670">
      <c r="C670" s="127"/>
      <c r="F670" s="136"/>
      <c r="K670" s="159"/>
      <c r="L670" s="160"/>
      <c r="R670" s="159"/>
      <c r="S670" s="160"/>
      <c r="Y670" s="159"/>
      <c r="Z670" s="160"/>
      <c r="AF670" s="159"/>
      <c r="AG670" s="160"/>
      <c r="AM670" s="159"/>
      <c r="AN670" s="160"/>
    </row>
    <row r="671">
      <c r="C671" s="127"/>
      <c r="F671" s="136"/>
      <c r="K671" s="159"/>
      <c r="L671" s="160"/>
      <c r="R671" s="159"/>
      <c r="S671" s="160"/>
      <c r="Y671" s="159"/>
      <c r="Z671" s="160"/>
      <c r="AF671" s="159"/>
      <c r="AG671" s="160"/>
      <c r="AM671" s="159"/>
      <c r="AN671" s="160"/>
    </row>
    <row r="672">
      <c r="C672" s="127"/>
      <c r="F672" s="136"/>
      <c r="K672" s="159"/>
      <c r="L672" s="160"/>
      <c r="R672" s="159"/>
      <c r="S672" s="160"/>
      <c r="Y672" s="159"/>
      <c r="Z672" s="160"/>
      <c r="AF672" s="159"/>
      <c r="AG672" s="160"/>
      <c r="AM672" s="159"/>
      <c r="AN672" s="160"/>
    </row>
    <row r="673">
      <c r="C673" s="127"/>
      <c r="F673" s="136"/>
      <c r="K673" s="159"/>
      <c r="L673" s="160"/>
      <c r="R673" s="159"/>
      <c r="S673" s="160"/>
      <c r="Y673" s="159"/>
      <c r="Z673" s="160"/>
      <c r="AF673" s="159"/>
      <c r="AG673" s="160"/>
      <c r="AM673" s="159"/>
      <c r="AN673" s="160"/>
    </row>
    <row r="674">
      <c r="C674" s="127"/>
      <c r="F674" s="136"/>
      <c r="K674" s="159"/>
      <c r="L674" s="160"/>
      <c r="R674" s="159"/>
      <c r="S674" s="160"/>
      <c r="Y674" s="159"/>
      <c r="Z674" s="160"/>
      <c r="AF674" s="159"/>
      <c r="AG674" s="160"/>
      <c r="AM674" s="159"/>
      <c r="AN674" s="160"/>
    </row>
    <row r="675">
      <c r="C675" s="127"/>
      <c r="F675" s="136"/>
      <c r="K675" s="159"/>
      <c r="L675" s="160"/>
      <c r="R675" s="159"/>
      <c r="S675" s="160"/>
      <c r="Y675" s="159"/>
      <c r="Z675" s="160"/>
      <c r="AF675" s="159"/>
      <c r="AG675" s="160"/>
      <c r="AM675" s="159"/>
      <c r="AN675" s="160"/>
    </row>
    <row r="676">
      <c r="C676" s="127"/>
      <c r="F676" s="136"/>
      <c r="K676" s="159"/>
      <c r="L676" s="160"/>
      <c r="R676" s="159"/>
      <c r="S676" s="160"/>
      <c r="Y676" s="159"/>
      <c r="Z676" s="160"/>
      <c r="AF676" s="159"/>
      <c r="AG676" s="160"/>
      <c r="AM676" s="159"/>
      <c r="AN676" s="160"/>
    </row>
    <row r="677">
      <c r="C677" s="127"/>
      <c r="F677" s="136"/>
      <c r="K677" s="159"/>
      <c r="L677" s="160"/>
      <c r="R677" s="159"/>
      <c r="S677" s="160"/>
      <c r="Y677" s="159"/>
      <c r="Z677" s="160"/>
      <c r="AF677" s="159"/>
      <c r="AG677" s="160"/>
      <c r="AM677" s="159"/>
      <c r="AN677" s="160"/>
    </row>
    <row r="678">
      <c r="C678" s="127"/>
      <c r="F678" s="136"/>
      <c r="K678" s="159"/>
      <c r="L678" s="160"/>
      <c r="R678" s="159"/>
      <c r="S678" s="160"/>
      <c r="Y678" s="159"/>
      <c r="Z678" s="160"/>
      <c r="AF678" s="159"/>
      <c r="AG678" s="160"/>
      <c r="AM678" s="159"/>
      <c r="AN678" s="160"/>
    </row>
    <row r="679">
      <c r="C679" s="127"/>
      <c r="F679" s="136"/>
      <c r="K679" s="159"/>
      <c r="L679" s="160"/>
      <c r="R679" s="159"/>
      <c r="S679" s="160"/>
      <c r="Y679" s="159"/>
      <c r="Z679" s="160"/>
      <c r="AF679" s="159"/>
      <c r="AG679" s="160"/>
      <c r="AM679" s="159"/>
      <c r="AN679" s="160"/>
    </row>
    <row r="680">
      <c r="C680" s="127"/>
      <c r="F680" s="136"/>
      <c r="K680" s="159"/>
      <c r="L680" s="160"/>
      <c r="R680" s="159"/>
      <c r="S680" s="160"/>
      <c r="Y680" s="159"/>
      <c r="Z680" s="160"/>
      <c r="AF680" s="159"/>
      <c r="AG680" s="160"/>
      <c r="AM680" s="159"/>
      <c r="AN680" s="160"/>
    </row>
    <row r="681">
      <c r="C681" s="127"/>
      <c r="F681" s="136"/>
      <c r="K681" s="159"/>
      <c r="L681" s="160"/>
      <c r="R681" s="159"/>
      <c r="S681" s="160"/>
      <c r="Y681" s="159"/>
      <c r="Z681" s="160"/>
      <c r="AF681" s="159"/>
      <c r="AG681" s="160"/>
      <c r="AM681" s="159"/>
      <c r="AN681" s="160"/>
    </row>
    <row r="682">
      <c r="C682" s="127"/>
      <c r="F682" s="136"/>
      <c r="K682" s="159"/>
      <c r="L682" s="160"/>
      <c r="R682" s="159"/>
      <c r="S682" s="160"/>
      <c r="Y682" s="159"/>
      <c r="Z682" s="160"/>
      <c r="AF682" s="159"/>
      <c r="AG682" s="160"/>
      <c r="AM682" s="159"/>
      <c r="AN682" s="160"/>
    </row>
    <row r="683">
      <c r="C683" s="127"/>
      <c r="F683" s="136"/>
      <c r="K683" s="159"/>
      <c r="L683" s="160"/>
      <c r="R683" s="159"/>
      <c r="S683" s="160"/>
      <c r="Y683" s="159"/>
      <c r="Z683" s="160"/>
      <c r="AF683" s="159"/>
      <c r="AG683" s="160"/>
      <c r="AM683" s="159"/>
      <c r="AN683" s="160"/>
    </row>
    <row r="684">
      <c r="C684" s="127"/>
      <c r="F684" s="136"/>
      <c r="K684" s="159"/>
      <c r="L684" s="160"/>
      <c r="R684" s="159"/>
      <c r="S684" s="160"/>
      <c r="Y684" s="159"/>
      <c r="Z684" s="160"/>
      <c r="AF684" s="159"/>
      <c r="AG684" s="160"/>
      <c r="AM684" s="159"/>
      <c r="AN684" s="160"/>
    </row>
    <row r="685">
      <c r="C685" s="127"/>
      <c r="F685" s="136"/>
      <c r="K685" s="159"/>
      <c r="L685" s="160"/>
      <c r="R685" s="159"/>
      <c r="S685" s="160"/>
      <c r="Y685" s="159"/>
      <c r="Z685" s="160"/>
      <c r="AF685" s="159"/>
      <c r="AG685" s="160"/>
      <c r="AM685" s="159"/>
      <c r="AN685" s="160"/>
    </row>
    <row r="686">
      <c r="C686" s="127"/>
      <c r="F686" s="136"/>
      <c r="K686" s="159"/>
      <c r="L686" s="160"/>
      <c r="R686" s="159"/>
      <c r="S686" s="160"/>
      <c r="Y686" s="159"/>
      <c r="Z686" s="160"/>
      <c r="AF686" s="159"/>
      <c r="AG686" s="160"/>
      <c r="AM686" s="159"/>
      <c r="AN686" s="160"/>
    </row>
    <row r="687">
      <c r="C687" s="127"/>
      <c r="F687" s="136"/>
      <c r="K687" s="159"/>
      <c r="L687" s="160"/>
      <c r="R687" s="159"/>
      <c r="S687" s="160"/>
      <c r="Y687" s="159"/>
      <c r="Z687" s="160"/>
      <c r="AF687" s="159"/>
      <c r="AG687" s="160"/>
      <c r="AM687" s="159"/>
      <c r="AN687" s="160"/>
    </row>
    <row r="688">
      <c r="C688" s="127"/>
      <c r="F688" s="136"/>
      <c r="K688" s="159"/>
      <c r="L688" s="160"/>
      <c r="R688" s="159"/>
      <c r="S688" s="160"/>
      <c r="Y688" s="159"/>
      <c r="Z688" s="160"/>
      <c r="AF688" s="159"/>
      <c r="AG688" s="160"/>
      <c r="AM688" s="159"/>
      <c r="AN688" s="160"/>
    </row>
    <row r="689">
      <c r="C689" s="127"/>
      <c r="F689" s="136"/>
      <c r="K689" s="159"/>
      <c r="L689" s="160"/>
      <c r="R689" s="159"/>
      <c r="S689" s="160"/>
      <c r="Y689" s="159"/>
      <c r="Z689" s="160"/>
      <c r="AF689" s="159"/>
      <c r="AG689" s="160"/>
      <c r="AM689" s="159"/>
      <c r="AN689" s="160"/>
    </row>
    <row r="690">
      <c r="C690" s="127"/>
      <c r="F690" s="136"/>
      <c r="K690" s="159"/>
      <c r="L690" s="160"/>
      <c r="R690" s="159"/>
      <c r="S690" s="160"/>
      <c r="Y690" s="159"/>
      <c r="Z690" s="160"/>
      <c r="AF690" s="159"/>
      <c r="AG690" s="160"/>
      <c r="AM690" s="159"/>
      <c r="AN690" s="160"/>
    </row>
    <row r="691">
      <c r="C691" s="127"/>
      <c r="F691" s="136"/>
      <c r="K691" s="159"/>
      <c r="L691" s="160"/>
      <c r="R691" s="159"/>
      <c r="S691" s="160"/>
      <c r="Y691" s="159"/>
      <c r="Z691" s="160"/>
      <c r="AF691" s="159"/>
      <c r="AG691" s="160"/>
      <c r="AM691" s="159"/>
      <c r="AN691" s="160"/>
    </row>
    <row r="692">
      <c r="C692" s="127"/>
      <c r="F692" s="136"/>
      <c r="K692" s="159"/>
      <c r="L692" s="160"/>
      <c r="R692" s="159"/>
      <c r="S692" s="160"/>
      <c r="Y692" s="159"/>
      <c r="Z692" s="160"/>
      <c r="AF692" s="159"/>
      <c r="AG692" s="160"/>
      <c r="AM692" s="159"/>
      <c r="AN692" s="160"/>
    </row>
    <row r="693">
      <c r="C693" s="127"/>
      <c r="F693" s="136"/>
      <c r="K693" s="159"/>
      <c r="L693" s="160"/>
      <c r="R693" s="159"/>
      <c r="S693" s="160"/>
      <c r="Y693" s="159"/>
      <c r="Z693" s="160"/>
      <c r="AF693" s="159"/>
      <c r="AG693" s="160"/>
      <c r="AM693" s="159"/>
      <c r="AN693" s="160"/>
    </row>
    <row r="694">
      <c r="C694" s="127"/>
      <c r="F694" s="136"/>
      <c r="K694" s="159"/>
      <c r="L694" s="160"/>
      <c r="R694" s="159"/>
      <c r="S694" s="160"/>
      <c r="Y694" s="159"/>
      <c r="Z694" s="160"/>
      <c r="AF694" s="159"/>
      <c r="AG694" s="160"/>
      <c r="AM694" s="159"/>
      <c r="AN694" s="160"/>
    </row>
    <row r="695">
      <c r="C695" s="127"/>
      <c r="F695" s="136"/>
      <c r="K695" s="159"/>
      <c r="L695" s="160"/>
      <c r="R695" s="159"/>
      <c r="S695" s="160"/>
      <c r="Y695" s="159"/>
      <c r="Z695" s="160"/>
      <c r="AF695" s="159"/>
      <c r="AG695" s="160"/>
      <c r="AM695" s="159"/>
      <c r="AN695" s="160"/>
    </row>
    <row r="696">
      <c r="C696" s="127"/>
      <c r="F696" s="136"/>
      <c r="K696" s="159"/>
      <c r="L696" s="160"/>
      <c r="R696" s="159"/>
      <c r="S696" s="160"/>
      <c r="Y696" s="159"/>
      <c r="Z696" s="160"/>
      <c r="AF696" s="159"/>
      <c r="AG696" s="160"/>
      <c r="AM696" s="159"/>
      <c r="AN696" s="160"/>
    </row>
    <row r="697">
      <c r="C697" s="127"/>
      <c r="F697" s="136"/>
      <c r="K697" s="159"/>
      <c r="L697" s="160"/>
      <c r="R697" s="159"/>
      <c r="S697" s="160"/>
      <c r="Y697" s="159"/>
      <c r="Z697" s="160"/>
      <c r="AF697" s="159"/>
      <c r="AG697" s="160"/>
      <c r="AM697" s="159"/>
      <c r="AN697" s="160"/>
    </row>
    <row r="698">
      <c r="C698" s="127"/>
      <c r="F698" s="136"/>
      <c r="K698" s="159"/>
      <c r="L698" s="160"/>
      <c r="R698" s="159"/>
      <c r="S698" s="160"/>
      <c r="Y698" s="159"/>
      <c r="Z698" s="160"/>
      <c r="AF698" s="159"/>
      <c r="AG698" s="160"/>
      <c r="AM698" s="159"/>
      <c r="AN698" s="160"/>
    </row>
    <row r="699">
      <c r="C699" s="127"/>
      <c r="F699" s="136"/>
      <c r="K699" s="159"/>
      <c r="L699" s="160"/>
      <c r="R699" s="159"/>
      <c r="S699" s="160"/>
      <c r="Y699" s="159"/>
      <c r="Z699" s="160"/>
      <c r="AF699" s="159"/>
      <c r="AG699" s="160"/>
      <c r="AM699" s="159"/>
      <c r="AN699" s="160"/>
    </row>
    <row r="700">
      <c r="C700" s="127"/>
      <c r="F700" s="136"/>
      <c r="K700" s="159"/>
      <c r="L700" s="160"/>
      <c r="R700" s="159"/>
      <c r="S700" s="160"/>
      <c r="Y700" s="159"/>
      <c r="Z700" s="160"/>
      <c r="AF700" s="159"/>
      <c r="AG700" s="160"/>
      <c r="AM700" s="159"/>
      <c r="AN700" s="160"/>
    </row>
    <row r="701">
      <c r="C701" s="127"/>
      <c r="F701" s="136"/>
      <c r="K701" s="159"/>
      <c r="L701" s="160"/>
      <c r="R701" s="159"/>
      <c r="S701" s="160"/>
      <c r="Y701" s="159"/>
      <c r="Z701" s="160"/>
      <c r="AF701" s="159"/>
      <c r="AG701" s="160"/>
      <c r="AM701" s="159"/>
      <c r="AN701" s="160"/>
    </row>
    <row r="702">
      <c r="C702" s="127"/>
      <c r="F702" s="136"/>
      <c r="K702" s="159"/>
      <c r="L702" s="160"/>
      <c r="R702" s="159"/>
      <c r="S702" s="160"/>
      <c r="Y702" s="159"/>
      <c r="Z702" s="160"/>
      <c r="AF702" s="159"/>
      <c r="AG702" s="160"/>
      <c r="AM702" s="159"/>
      <c r="AN702" s="160"/>
    </row>
    <row r="703">
      <c r="C703" s="127"/>
      <c r="F703" s="136"/>
      <c r="K703" s="159"/>
      <c r="L703" s="160"/>
      <c r="R703" s="159"/>
      <c r="S703" s="160"/>
      <c r="Y703" s="159"/>
      <c r="Z703" s="160"/>
      <c r="AF703" s="159"/>
      <c r="AG703" s="160"/>
      <c r="AM703" s="159"/>
      <c r="AN703" s="160"/>
    </row>
    <row r="704">
      <c r="C704" s="127"/>
      <c r="F704" s="136"/>
      <c r="K704" s="159"/>
      <c r="L704" s="160"/>
      <c r="R704" s="159"/>
      <c r="S704" s="160"/>
      <c r="Y704" s="159"/>
      <c r="Z704" s="160"/>
      <c r="AF704" s="159"/>
      <c r="AG704" s="160"/>
      <c r="AM704" s="159"/>
      <c r="AN704" s="160"/>
    </row>
    <row r="705">
      <c r="C705" s="127"/>
      <c r="F705" s="136"/>
      <c r="K705" s="159"/>
      <c r="L705" s="160"/>
      <c r="R705" s="159"/>
      <c r="S705" s="160"/>
      <c r="Y705" s="159"/>
      <c r="Z705" s="160"/>
      <c r="AF705" s="159"/>
      <c r="AG705" s="160"/>
      <c r="AM705" s="159"/>
      <c r="AN705" s="160"/>
    </row>
    <row r="706">
      <c r="C706" s="127"/>
      <c r="F706" s="136"/>
      <c r="K706" s="159"/>
      <c r="L706" s="160"/>
      <c r="R706" s="159"/>
      <c r="S706" s="160"/>
      <c r="Y706" s="159"/>
      <c r="Z706" s="160"/>
      <c r="AF706" s="159"/>
      <c r="AG706" s="160"/>
      <c r="AM706" s="159"/>
      <c r="AN706" s="160"/>
    </row>
    <row r="707">
      <c r="C707" s="127"/>
      <c r="F707" s="136"/>
      <c r="K707" s="159"/>
      <c r="L707" s="160"/>
      <c r="R707" s="159"/>
      <c r="S707" s="160"/>
      <c r="Y707" s="159"/>
      <c r="Z707" s="160"/>
      <c r="AF707" s="159"/>
      <c r="AG707" s="160"/>
      <c r="AM707" s="159"/>
      <c r="AN707" s="160"/>
    </row>
    <row r="708">
      <c r="C708" s="127"/>
      <c r="F708" s="136"/>
      <c r="K708" s="159"/>
      <c r="L708" s="160"/>
      <c r="R708" s="159"/>
      <c r="S708" s="160"/>
      <c r="Y708" s="159"/>
      <c r="Z708" s="160"/>
      <c r="AF708" s="159"/>
      <c r="AG708" s="160"/>
      <c r="AM708" s="159"/>
      <c r="AN708" s="160"/>
    </row>
    <row r="709">
      <c r="C709" s="127"/>
      <c r="F709" s="136"/>
      <c r="K709" s="159"/>
      <c r="L709" s="160"/>
      <c r="R709" s="159"/>
      <c r="S709" s="160"/>
      <c r="Y709" s="159"/>
      <c r="Z709" s="160"/>
      <c r="AF709" s="159"/>
      <c r="AG709" s="160"/>
      <c r="AM709" s="159"/>
      <c r="AN709" s="160"/>
    </row>
    <row r="710">
      <c r="C710" s="127"/>
      <c r="F710" s="136"/>
      <c r="K710" s="159"/>
      <c r="L710" s="160"/>
      <c r="R710" s="159"/>
      <c r="S710" s="160"/>
      <c r="Y710" s="159"/>
      <c r="Z710" s="160"/>
      <c r="AF710" s="159"/>
      <c r="AG710" s="160"/>
      <c r="AM710" s="159"/>
      <c r="AN710" s="160"/>
    </row>
    <row r="711">
      <c r="C711" s="127"/>
      <c r="F711" s="136"/>
      <c r="K711" s="159"/>
      <c r="L711" s="160"/>
      <c r="R711" s="159"/>
      <c r="S711" s="160"/>
      <c r="Y711" s="159"/>
      <c r="Z711" s="160"/>
      <c r="AF711" s="159"/>
      <c r="AG711" s="160"/>
      <c r="AM711" s="159"/>
      <c r="AN711" s="160"/>
    </row>
    <row r="712">
      <c r="C712" s="127"/>
      <c r="F712" s="136"/>
      <c r="K712" s="159"/>
      <c r="L712" s="160"/>
      <c r="R712" s="159"/>
      <c r="S712" s="160"/>
      <c r="Y712" s="159"/>
      <c r="Z712" s="160"/>
      <c r="AF712" s="159"/>
      <c r="AG712" s="160"/>
      <c r="AM712" s="159"/>
      <c r="AN712" s="160"/>
    </row>
    <row r="713">
      <c r="C713" s="127"/>
      <c r="F713" s="136"/>
      <c r="K713" s="159"/>
      <c r="L713" s="160"/>
      <c r="R713" s="159"/>
      <c r="S713" s="160"/>
      <c r="Y713" s="159"/>
      <c r="Z713" s="160"/>
      <c r="AF713" s="159"/>
      <c r="AG713" s="160"/>
      <c r="AM713" s="159"/>
      <c r="AN713" s="160"/>
    </row>
    <row r="714">
      <c r="C714" s="127"/>
      <c r="F714" s="136"/>
      <c r="K714" s="159"/>
      <c r="L714" s="160"/>
      <c r="R714" s="159"/>
      <c r="S714" s="160"/>
      <c r="Y714" s="159"/>
      <c r="Z714" s="160"/>
      <c r="AF714" s="159"/>
      <c r="AG714" s="160"/>
      <c r="AM714" s="159"/>
      <c r="AN714" s="160"/>
    </row>
    <row r="715">
      <c r="C715" s="127"/>
      <c r="F715" s="136"/>
      <c r="K715" s="159"/>
      <c r="L715" s="160"/>
      <c r="R715" s="159"/>
      <c r="S715" s="160"/>
      <c r="Y715" s="159"/>
      <c r="Z715" s="160"/>
      <c r="AF715" s="159"/>
      <c r="AG715" s="160"/>
      <c r="AM715" s="159"/>
      <c r="AN715" s="160"/>
    </row>
    <row r="716">
      <c r="C716" s="127"/>
      <c r="F716" s="136"/>
      <c r="K716" s="159"/>
      <c r="L716" s="160"/>
      <c r="R716" s="159"/>
      <c r="S716" s="160"/>
      <c r="Y716" s="159"/>
      <c r="Z716" s="160"/>
      <c r="AF716" s="159"/>
      <c r="AG716" s="160"/>
      <c r="AM716" s="159"/>
      <c r="AN716" s="160"/>
    </row>
    <row r="717">
      <c r="C717" s="127"/>
      <c r="F717" s="136"/>
      <c r="K717" s="159"/>
      <c r="L717" s="160"/>
      <c r="R717" s="159"/>
      <c r="S717" s="160"/>
      <c r="Y717" s="159"/>
      <c r="Z717" s="160"/>
      <c r="AF717" s="159"/>
      <c r="AG717" s="160"/>
      <c r="AM717" s="159"/>
      <c r="AN717" s="160"/>
    </row>
    <row r="718">
      <c r="C718" s="127"/>
      <c r="F718" s="136"/>
      <c r="K718" s="159"/>
      <c r="L718" s="160"/>
      <c r="R718" s="159"/>
      <c r="S718" s="160"/>
      <c r="Y718" s="159"/>
      <c r="Z718" s="160"/>
      <c r="AF718" s="159"/>
      <c r="AG718" s="160"/>
      <c r="AM718" s="159"/>
      <c r="AN718" s="160"/>
    </row>
    <row r="719">
      <c r="C719" s="127"/>
      <c r="F719" s="136"/>
      <c r="K719" s="159"/>
      <c r="L719" s="160"/>
      <c r="R719" s="159"/>
      <c r="S719" s="160"/>
      <c r="Y719" s="159"/>
      <c r="Z719" s="160"/>
      <c r="AF719" s="159"/>
      <c r="AG719" s="160"/>
      <c r="AM719" s="159"/>
      <c r="AN719" s="160"/>
    </row>
    <row r="720">
      <c r="C720" s="127"/>
      <c r="F720" s="136"/>
      <c r="K720" s="159"/>
      <c r="L720" s="160"/>
      <c r="R720" s="159"/>
      <c r="S720" s="160"/>
      <c r="Y720" s="159"/>
      <c r="Z720" s="160"/>
      <c r="AF720" s="159"/>
      <c r="AG720" s="160"/>
      <c r="AM720" s="159"/>
      <c r="AN720" s="160"/>
    </row>
    <row r="721">
      <c r="C721" s="127"/>
      <c r="F721" s="136"/>
      <c r="K721" s="159"/>
      <c r="L721" s="160"/>
      <c r="R721" s="159"/>
      <c r="S721" s="160"/>
      <c r="Y721" s="159"/>
      <c r="Z721" s="160"/>
      <c r="AF721" s="159"/>
      <c r="AG721" s="160"/>
      <c r="AM721" s="159"/>
      <c r="AN721" s="160"/>
    </row>
    <row r="722">
      <c r="C722" s="127"/>
      <c r="F722" s="136"/>
      <c r="K722" s="159"/>
      <c r="L722" s="160"/>
      <c r="R722" s="159"/>
      <c r="S722" s="160"/>
      <c r="Y722" s="159"/>
      <c r="Z722" s="160"/>
      <c r="AF722" s="159"/>
      <c r="AG722" s="160"/>
      <c r="AM722" s="159"/>
      <c r="AN722" s="160"/>
    </row>
    <row r="723">
      <c r="C723" s="127"/>
      <c r="F723" s="136"/>
      <c r="K723" s="159"/>
      <c r="L723" s="160"/>
      <c r="R723" s="159"/>
      <c r="S723" s="160"/>
      <c r="Y723" s="159"/>
      <c r="Z723" s="160"/>
      <c r="AF723" s="159"/>
      <c r="AG723" s="160"/>
      <c r="AM723" s="159"/>
      <c r="AN723" s="160"/>
    </row>
    <row r="724">
      <c r="C724" s="127"/>
      <c r="F724" s="136"/>
      <c r="K724" s="159"/>
      <c r="L724" s="160"/>
      <c r="R724" s="159"/>
      <c r="S724" s="160"/>
      <c r="Y724" s="159"/>
      <c r="Z724" s="160"/>
      <c r="AF724" s="159"/>
      <c r="AG724" s="160"/>
      <c r="AM724" s="159"/>
      <c r="AN724" s="160"/>
    </row>
    <row r="725">
      <c r="C725" s="127"/>
      <c r="F725" s="136"/>
      <c r="K725" s="159"/>
      <c r="L725" s="160"/>
      <c r="R725" s="159"/>
      <c r="S725" s="160"/>
      <c r="Y725" s="159"/>
      <c r="Z725" s="160"/>
      <c r="AF725" s="159"/>
      <c r="AG725" s="160"/>
      <c r="AM725" s="159"/>
      <c r="AN725" s="160"/>
    </row>
    <row r="726">
      <c r="C726" s="127"/>
      <c r="F726" s="136"/>
      <c r="K726" s="159"/>
      <c r="L726" s="160"/>
      <c r="R726" s="159"/>
      <c r="S726" s="160"/>
      <c r="Y726" s="159"/>
      <c r="Z726" s="160"/>
      <c r="AF726" s="159"/>
      <c r="AG726" s="160"/>
      <c r="AM726" s="159"/>
      <c r="AN726" s="160"/>
    </row>
    <row r="727">
      <c r="C727" s="127"/>
      <c r="F727" s="136"/>
      <c r="K727" s="159"/>
      <c r="L727" s="160"/>
      <c r="R727" s="159"/>
      <c r="S727" s="160"/>
      <c r="Y727" s="159"/>
      <c r="Z727" s="160"/>
      <c r="AF727" s="159"/>
      <c r="AG727" s="160"/>
      <c r="AM727" s="159"/>
      <c r="AN727" s="160"/>
    </row>
    <row r="728">
      <c r="C728" s="127"/>
      <c r="F728" s="136"/>
      <c r="K728" s="159"/>
      <c r="L728" s="160"/>
      <c r="R728" s="159"/>
      <c r="S728" s="160"/>
      <c r="Y728" s="159"/>
      <c r="Z728" s="160"/>
      <c r="AF728" s="159"/>
      <c r="AG728" s="160"/>
      <c r="AM728" s="159"/>
      <c r="AN728" s="160"/>
    </row>
    <row r="729">
      <c r="C729" s="127"/>
      <c r="F729" s="136"/>
      <c r="K729" s="159"/>
      <c r="L729" s="160"/>
      <c r="R729" s="159"/>
      <c r="S729" s="160"/>
      <c r="Y729" s="159"/>
      <c r="Z729" s="160"/>
      <c r="AF729" s="159"/>
      <c r="AG729" s="160"/>
      <c r="AM729" s="159"/>
      <c r="AN729" s="160"/>
    </row>
    <row r="730">
      <c r="C730" s="127"/>
      <c r="F730" s="136"/>
      <c r="K730" s="159"/>
      <c r="L730" s="160"/>
      <c r="R730" s="159"/>
      <c r="S730" s="160"/>
      <c r="Y730" s="159"/>
      <c r="Z730" s="160"/>
      <c r="AF730" s="159"/>
      <c r="AG730" s="160"/>
      <c r="AM730" s="159"/>
      <c r="AN730" s="160"/>
    </row>
    <row r="731">
      <c r="C731" s="127"/>
      <c r="F731" s="136"/>
      <c r="K731" s="159"/>
      <c r="L731" s="160"/>
      <c r="R731" s="159"/>
      <c r="S731" s="160"/>
      <c r="Y731" s="159"/>
      <c r="Z731" s="160"/>
      <c r="AF731" s="159"/>
      <c r="AG731" s="160"/>
      <c r="AM731" s="159"/>
      <c r="AN731" s="160"/>
    </row>
    <row r="732">
      <c r="C732" s="127"/>
      <c r="F732" s="136"/>
      <c r="K732" s="159"/>
      <c r="L732" s="160"/>
      <c r="R732" s="159"/>
      <c r="S732" s="160"/>
      <c r="Y732" s="159"/>
      <c r="Z732" s="160"/>
      <c r="AF732" s="159"/>
      <c r="AG732" s="160"/>
      <c r="AM732" s="159"/>
      <c r="AN732" s="160"/>
    </row>
    <row r="733">
      <c r="C733" s="127"/>
      <c r="F733" s="136"/>
      <c r="K733" s="159"/>
      <c r="L733" s="160"/>
      <c r="R733" s="159"/>
      <c r="S733" s="160"/>
      <c r="Y733" s="159"/>
      <c r="Z733" s="160"/>
      <c r="AF733" s="159"/>
      <c r="AG733" s="160"/>
      <c r="AM733" s="159"/>
      <c r="AN733" s="160"/>
    </row>
    <row r="734">
      <c r="C734" s="127"/>
      <c r="F734" s="136"/>
      <c r="K734" s="159"/>
      <c r="L734" s="160"/>
      <c r="R734" s="159"/>
      <c r="S734" s="160"/>
      <c r="Y734" s="159"/>
      <c r="Z734" s="160"/>
      <c r="AF734" s="159"/>
      <c r="AG734" s="160"/>
      <c r="AM734" s="159"/>
      <c r="AN734" s="160"/>
    </row>
    <row r="735">
      <c r="C735" s="127"/>
      <c r="F735" s="136"/>
      <c r="K735" s="159"/>
      <c r="L735" s="160"/>
      <c r="R735" s="159"/>
      <c r="S735" s="160"/>
      <c r="Y735" s="159"/>
      <c r="Z735" s="160"/>
      <c r="AF735" s="159"/>
      <c r="AG735" s="160"/>
      <c r="AM735" s="159"/>
      <c r="AN735" s="160"/>
    </row>
    <row r="736">
      <c r="C736" s="127"/>
      <c r="F736" s="136"/>
      <c r="K736" s="159"/>
      <c r="L736" s="160"/>
      <c r="R736" s="159"/>
      <c r="S736" s="160"/>
      <c r="Y736" s="159"/>
      <c r="Z736" s="160"/>
      <c r="AF736" s="159"/>
      <c r="AG736" s="160"/>
      <c r="AM736" s="159"/>
      <c r="AN736" s="160"/>
    </row>
    <row r="737">
      <c r="C737" s="127"/>
      <c r="F737" s="136"/>
      <c r="K737" s="159"/>
      <c r="L737" s="160"/>
      <c r="R737" s="159"/>
      <c r="S737" s="160"/>
      <c r="Y737" s="159"/>
      <c r="Z737" s="160"/>
      <c r="AF737" s="159"/>
      <c r="AG737" s="160"/>
      <c r="AM737" s="159"/>
      <c r="AN737" s="160"/>
    </row>
    <row r="738">
      <c r="C738" s="127"/>
      <c r="F738" s="136"/>
      <c r="K738" s="159"/>
      <c r="L738" s="160"/>
      <c r="R738" s="159"/>
      <c r="S738" s="160"/>
      <c r="Y738" s="159"/>
      <c r="Z738" s="160"/>
      <c r="AF738" s="159"/>
      <c r="AG738" s="160"/>
      <c r="AM738" s="159"/>
      <c r="AN738" s="160"/>
    </row>
    <row r="739">
      <c r="C739" s="127"/>
      <c r="F739" s="136"/>
      <c r="K739" s="159"/>
      <c r="L739" s="160"/>
      <c r="R739" s="159"/>
      <c r="S739" s="160"/>
      <c r="Y739" s="159"/>
      <c r="Z739" s="160"/>
      <c r="AF739" s="159"/>
      <c r="AG739" s="160"/>
      <c r="AM739" s="159"/>
      <c r="AN739" s="160"/>
    </row>
    <row r="740">
      <c r="C740" s="127"/>
      <c r="F740" s="136"/>
      <c r="K740" s="159"/>
      <c r="L740" s="160"/>
      <c r="R740" s="159"/>
      <c r="S740" s="160"/>
      <c r="Y740" s="159"/>
      <c r="Z740" s="160"/>
      <c r="AF740" s="159"/>
      <c r="AG740" s="160"/>
      <c r="AM740" s="159"/>
      <c r="AN740" s="160"/>
    </row>
    <row r="741">
      <c r="C741" s="127"/>
      <c r="F741" s="136"/>
      <c r="K741" s="159"/>
      <c r="L741" s="160"/>
      <c r="R741" s="159"/>
      <c r="S741" s="160"/>
      <c r="Y741" s="159"/>
      <c r="Z741" s="160"/>
      <c r="AF741" s="159"/>
      <c r="AG741" s="160"/>
      <c r="AM741" s="159"/>
      <c r="AN741" s="160"/>
    </row>
    <row r="742">
      <c r="C742" s="127"/>
      <c r="F742" s="136"/>
      <c r="K742" s="159"/>
      <c r="L742" s="160"/>
      <c r="R742" s="159"/>
      <c r="S742" s="160"/>
      <c r="Y742" s="159"/>
      <c r="Z742" s="160"/>
      <c r="AF742" s="159"/>
      <c r="AG742" s="160"/>
      <c r="AM742" s="159"/>
      <c r="AN742" s="160"/>
    </row>
    <row r="743">
      <c r="C743" s="127"/>
      <c r="F743" s="136"/>
      <c r="K743" s="159"/>
      <c r="L743" s="160"/>
      <c r="R743" s="159"/>
      <c r="S743" s="160"/>
      <c r="Y743" s="159"/>
      <c r="Z743" s="160"/>
      <c r="AF743" s="159"/>
      <c r="AG743" s="160"/>
      <c r="AM743" s="159"/>
      <c r="AN743" s="160"/>
    </row>
    <row r="744">
      <c r="C744" s="127"/>
      <c r="F744" s="136"/>
      <c r="K744" s="159"/>
      <c r="L744" s="160"/>
      <c r="R744" s="159"/>
      <c r="S744" s="160"/>
      <c r="Y744" s="159"/>
      <c r="Z744" s="160"/>
      <c r="AF744" s="159"/>
      <c r="AG744" s="160"/>
      <c r="AM744" s="159"/>
      <c r="AN744" s="160"/>
    </row>
    <row r="745">
      <c r="C745" s="127"/>
      <c r="F745" s="136"/>
      <c r="K745" s="159"/>
      <c r="L745" s="160"/>
      <c r="R745" s="159"/>
      <c r="S745" s="160"/>
      <c r="Y745" s="159"/>
      <c r="Z745" s="160"/>
      <c r="AF745" s="159"/>
      <c r="AG745" s="160"/>
      <c r="AM745" s="159"/>
      <c r="AN745" s="160"/>
    </row>
    <row r="746">
      <c r="C746" s="127"/>
      <c r="F746" s="136"/>
      <c r="K746" s="159"/>
      <c r="L746" s="160"/>
      <c r="R746" s="159"/>
      <c r="S746" s="160"/>
      <c r="Y746" s="159"/>
      <c r="Z746" s="160"/>
      <c r="AF746" s="159"/>
      <c r="AG746" s="160"/>
      <c r="AM746" s="159"/>
      <c r="AN746" s="160"/>
    </row>
    <row r="747">
      <c r="C747" s="127"/>
      <c r="F747" s="136"/>
      <c r="K747" s="159"/>
      <c r="L747" s="160"/>
      <c r="R747" s="159"/>
      <c r="S747" s="160"/>
      <c r="Y747" s="159"/>
      <c r="Z747" s="160"/>
      <c r="AF747" s="159"/>
      <c r="AG747" s="160"/>
      <c r="AM747" s="159"/>
      <c r="AN747" s="160"/>
    </row>
    <row r="748">
      <c r="C748" s="127"/>
      <c r="F748" s="136"/>
      <c r="K748" s="159"/>
      <c r="L748" s="160"/>
      <c r="R748" s="159"/>
      <c r="S748" s="160"/>
      <c r="Y748" s="159"/>
      <c r="Z748" s="160"/>
      <c r="AF748" s="159"/>
      <c r="AG748" s="160"/>
      <c r="AM748" s="159"/>
      <c r="AN748" s="160"/>
    </row>
    <row r="749">
      <c r="C749" s="127"/>
      <c r="F749" s="136"/>
      <c r="K749" s="159"/>
      <c r="L749" s="160"/>
      <c r="R749" s="159"/>
      <c r="S749" s="160"/>
      <c r="Y749" s="159"/>
      <c r="Z749" s="160"/>
      <c r="AF749" s="159"/>
      <c r="AG749" s="160"/>
      <c r="AM749" s="159"/>
      <c r="AN749" s="160"/>
    </row>
    <row r="750">
      <c r="C750" s="127"/>
      <c r="F750" s="136"/>
      <c r="K750" s="159"/>
      <c r="L750" s="160"/>
      <c r="R750" s="159"/>
      <c r="S750" s="160"/>
      <c r="Y750" s="159"/>
      <c r="Z750" s="160"/>
      <c r="AF750" s="159"/>
      <c r="AG750" s="160"/>
      <c r="AM750" s="159"/>
      <c r="AN750" s="160"/>
    </row>
    <row r="751">
      <c r="C751" s="127"/>
      <c r="F751" s="136"/>
      <c r="K751" s="159"/>
      <c r="L751" s="160"/>
      <c r="R751" s="159"/>
      <c r="S751" s="160"/>
      <c r="Y751" s="159"/>
      <c r="Z751" s="160"/>
      <c r="AF751" s="159"/>
      <c r="AG751" s="160"/>
      <c r="AM751" s="159"/>
      <c r="AN751" s="160"/>
    </row>
    <row r="752">
      <c r="C752" s="127"/>
      <c r="F752" s="136"/>
      <c r="K752" s="159"/>
      <c r="L752" s="160"/>
      <c r="R752" s="159"/>
      <c r="S752" s="160"/>
      <c r="Y752" s="159"/>
      <c r="Z752" s="160"/>
      <c r="AF752" s="159"/>
      <c r="AG752" s="160"/>
      <c r="AM752" s="159"/>
      <c r="AN752" s="160"/>
    </row>
    <row r="753">
      <c r="C753" s="127"/>
      <c r="F753" s="136"/>
      <c r="K753" s="159"/>
      <c r="L753" s="160"/>
      <c r="R753" s="159"/>
      <c r="S753" s="160"/>
      <c r="Y753" s="159"/>
      <c r="Z753" s="160"/>
      <c r="AF753" s="159"/>
      <c r="AG753" s="160"/>
      <c r="AM753" s="159"/>
      <c r="AN753" s="160"/>
    </row>
    <row r="754">
      <c r="C754" s="127"/>
      <c r="F754" s="136"/>
      <c r="K754" s="159"/>
      <c r="L754" s="160"/>
      <c r="R754" s="159"/>
      <c r="S754" s="160"/>
      <c r="Y754" s="159"/>
      <c r="Z754" s="160"/>
      <c r="AF754" s="159"/>
      <c r="AG754" s="160"/>
      <c r="AM754" s="159"/>
      <c r="AN754" s="160"/>
    </row>
    <row r="755">
      <c r="C755" s="127"/>
      <c r="F755" s="136"/>
      <c r="K755" s="159"/>
      <c r="L755" s="160"/>
      <c r="R755" s="159"/>
      <c r="S755" s="160"/>
      <c r="Y755" s="159"/>
      <c r="Z755" s="160"/>
      <c r="AF755" s="159"/>
      <c r="AG755" s="160"/>
      <c r="AM755" s="159"/>
      <c r="AN755" s="160"/>
    </row>
    <row r="756">
      <c r="C756" s="127"/>
      <c r="F756" s="136"/>
      <c r="K756" s="159"/>
      <c r="L756" s="160"/>
      <c r="R756" s="159"/>
      <c r="S756" s="160"/>
      <c r="Y756" s="159"/>
      <c r="Z756" s="160"/>
      <c r="AF756" s="159"/>
      <c r="AG756" s="160"/>
      <c r="AM756" s="159"/>
      <c r="AN756" s="160"/>
    </row>
    <row r="757">
      <c r="C757" s="127"/>
      <c r="F757" s="136"/>
      <c r="K757" s="159"/>
      <c r="L757" s="160"/>
      <c r="R757" s="159"/>
      <c r="S757" s="160"/>
      <c r="Y757" s="159"/>
      <c r="Z757" s="160"/>
      <c r="AF757" s="159"/>
      <c r="AG757" s="160"/>
      <c r="AM757" s="159"/>
      <c r="AN757" s="160"/>
    </row>
    <row r="758">
      <c r="C758" s="127"/>
      <c r="F758" s="136"/>
      <c r="K758" s="159"/>
      <c r="L758" s="160"/>
      <c r="R758" s="159"/>
      <c r="S758" s="160"/>
      <c r="Y758" s="159"/>
      <c r="Z758" s="160"/>
      <c r="AF758" s="159"/>
      <c r="AG758" s="160"/>
      <c r="AM758" s="159"/>
      <c r="AN758" s="160"/>
    </row>
    <row r="759">
      <c r="C759" s="127"/>
      <c r="F759" s="136"/>
      <c r="K759" s="159"/>
      <c r="L759" s="160"/>
      <c r="R759" s="159"/>
      <c r="S759" s="160"/>
      <c r="Y759" s="159"/>
      <c r="Z759" s="160"/>
      <c r="AF759" s="159"/>
      <c r="AG759" s="160"/>
      <c r="AM759" s="159"/>
      <c r="AN759" s="160"/>
    </row>
    <row r="760">
      <c r="C760" s="127"/>
      <c r="F760" s="136"/>
      <c r="K760" s="159"/>
      <c r="L760" s="160"/>
      <c r="R760" s="159"/>
      <c r="S760" s="160"/>
      <c r="Y760" s="159"/>
      <c r="Z760" s="160"/>
      <c r="AF760" s="159"/>
      <c r="AG760" s="160"/>
      <c r="AM760" s="159"/>
      <c r="AN760" s="160"/>
    </row>
    <row r="761">
      <c r="C761" s="127"/>
      <c r="F761" s="136"/>
      <c r="K761" s="159"/>
      <c r="L761" s="160"/>
      <c r="R761" s="159"/>
      <c r="S761" s="160"/>
      <c r="Y761" s="159"/>
      <c r="Z761" s="160"/>
      <c r="AF761" s="159"/>
      <c r="AG761" s="160"/>
      <c r="AM761" s="159"/>
      <c r="AN761" s="160"/>
    </row>
    <row r="762">
      <c r="C762" s="127"/>
      <c r="F762" s="136"/>
      <c r="K762" s="159"/>
      <c r="L762" s="160"/>
      <c r="R762" s="159"/>
      <c r="S762" s="160"/>
      <c r="Y762" s="159"/>
      <c r="Z762" s="160"/>
      <c r="AF762" s="159"/>
      <c r="AG762" s="160"/>
      <c r="AM762" s="159"/>
      <c r="AN762" s="160"/>
    </row>
    <row r="763">
      <c r="C763" s="127"/>
      <c r="F763" s="136"/>
      <c r="K763" s="159"/>
      <c r="L763" s="160"/>
      <c r="R763" s="159"/>
      <c r="S763" s="160"/>
      <c r="Y763" s="159"/>
      <c r="Z763" s="160"/>
      <c r="AF763" s="159"/>
      <c r="AG763" s="160"/>
      <c r="AM763" s="159"/>
      <c r="AN763" s="160"/>
    </row>
    <row r="764">
      <c r="C764" s="127"/>
      <c r="F764" s="136"/>
      <c r="K764" s="159"/>
      <c r="L764" s="160"/>
      <c r="R764" s="159"/>
      <c r="S764" s="160"/>
      <c r="Y764" s="159"/>
      <c r="Z764" s="160"/>
      <c r="AF764" s="159"/>
      <c r="AG764" s="160"/>
      <c r="AM764" s="159"/>
      <c r="AN764" s="160"/>
    </row>
    <row r="765">
      <c r="C765" s="127"/>
      <c r="F765" s="136"/>
      <c r="K765" s="159"/>
      <c r="L765" s="160"/>
      <c r="R765" s="159"/>
      <c r="S765" s="160"/>
      <c r="Y765" s="159"/>
      <c r="Z765" s="160"/>
      <c r="AF765" s="159"/>
      <c r="AG765" s="160"/>
      <c r="AM765" s="159"/>
      <c r="AN765" s="160"/>
    </row>
    <row r="766">
      <c r="C766" s="127"/>
      <c r="F766" s="136"/>
      <c r="K766" s="159"/>
      <c r="L766" s="160"/>
      <c r="R766" s="159"/>
      <c r="S766" s="160"/>
      <c r="Y766" s="159"/>
      <c r="Z766" s="160"/>
      <c r="AF766" s="159"/>
      <c r="AG766" s="160"/>
      <c r="AM766" s="159"/>
      <c r="AN766" s="160"/>
    </row>
    <row r="767">
      <c r="C767" s="127"/>
      <c r="F767" s="136"/>
      <c r="K767" s="159"/>
      <c r="L767" s="160"/>
      <c r="R767" s="159"/>
      <c r="S767" s="160"/>
      <c r="Y767" s="159"/>
      <c r="Z767" s="160"/>
      <c r="AF767" s="159"/>
      <c r="AG767" s="160"/>
      <c r="AM767" s="159"/>
      <c r="AN767" s="160"/>
    </row>
    <row r="768">
      <c r="C768" s="127"/>
      <c r="F768" s="136"/>
      <c r="K768" s="159"/>
      <c r="L768" s="160"/>
      <c r="R768" s="159"/>
      <c r="S768" s="160"/>
      <c r="Y768" s="159"/>
      <c r="Z768" s="160"/>
      <c r="AF768" s="159"/>
      <c r="AG768" s="160"/>
      <c r="AM768" s="159"/>
      <c r="AN768" s="160"/>
    </row>
    <row r="769">
      <c r="C769" s="127"/>
      <c r="F769" s="136"/>
      <c r="K769" s="159"/>
      <c r="L769" s="160"/>
      <c r="R769" s="159"/>
      <c r="S769" s="160"/>
      <c r="Y769" s="159"/>
      <c r="Z769" s="160"/>
      <c r="AF769" s="159"/>
      <c r="AG769" s="160"/>
      <c r="AM769" s="159"/>
      <c r="AN769" s="160"/>
    </row>
    <row r="770">
      <c r="C770" s="127"/>
      <c r="F770" s="136"/>
      <c r="K770" s="159"/>
      <c r="L770" s="160"/>
      <c r="R770" s="159"/>
      <c r="S770" s="160"/>
      <c r="Y770" s="159"/>
      <c r="Z770" s="160"/>
      <c r="AF770" s="159"/>
      <c r="AG770" s="160"/>
      <c r="AM770" s="159"/>
      <c r="AN770" s="160"/>
    </row>
    <row r="771">
      <c r="C771" s="127"/>
      <c r="F771" s="136"/>
      <c r="K771" s="159"/>
      <c r="L771" s="160"/>
      <c r="R771" s="159"/>
      <c r="S771" s="160"/>
      <c r="Y771" s="159"/>
      <c r="Z771" s="160"/>
      <c r="AF771" s="159"/>
      <c r="AG771" s="160"/>
      <c r="AM771" s="159"/>
      <c r="AN771" s="160"/>
    </row>
    <row r="772">
      <c r="C772" s="127"/>
      <c r="F772" s="136"/>
      <c r="K772" s="159"/>
      <c r="L772" s="160"/>
      <c r="R772" s="159"/>
      <c r="S772" s="160"/>
      <c r="Y772" s="159"/>
      <c r="Z772" s="160"/>
      <c r="AF772" s="159"/>
      <c r="AG772" s="160"/>
      <c r="AM772" s="159"/>
      <c r="AN772" s="160"/>
    </row>
    <row r="773">
      <c r="C773" s="127"/>
      <c r="F773" s="136"/>
      <c r="K773" s="159"/>
      <c r="L773" s="160"/>
      <c r="R773" s="159"/>
      <c r="S773" s="160"/>
      <c r="Y773" s="159"/>
      <c r="Z773" s="160"/>
      <c r="AF773" s="159"/>
      <c r="AG773" s="160"/>
      <c r="AM773" s="159"/>
      <c r="AN773" s="160"/>
    </row>
    <row r="774">
      <c r="C774" s="127"/>
      <c r="F774" s="136"/>
      <c r="K774" s="159"/>
      <c r="L774" s="160"/>
      <c r="R774" s="159"/>
      <c r="S774" s="160"/>
      <c r="Y774" s="159"/>
      <c r="Z774" s="160"/>
      <c r="AF774" s="159"/>
      <c r="AG774" s="160"/>
      <c r="AM774" s="159"/>
      <c r="AN774" s="160"/>
    </row>
    <row r="775">
      <c r="C775" s="127"/>
      <c r="F775" s="136"/>
      <c r="K775" s="159"/>
      <c r="L775" s="160"/>
      <c r="R775" s="159"/>
      <c r="S775" s="160"/>
      <c r="Y775" s="159"/>
      <c r="Z775" s="160"/>
      <c r="AF775" s="159"/>
      <c r="AG775" s="160"/>
      <c r="AM775" s="159"/>
      <c r="AN775" s="160"/>
    </row>
    <row r="776">
      <c r="C776" s="127"/>
      <c r="F776" s="136"/>
      <c r="K776" s="159"/>
      <c r="L776" s="160"/>
      <c r="R776" s="159"/>
      <c r="S776" s="160"/>
      <c r="Y776" s="159"/>
      <c r="Z776" s="160"/>
      <c r="AF776" s="159"/>
      <c r="AG776" s="160"/>
      <c r="AM776" s="159"/>
      <c r="AN776" s="160"/>
    </row>
    <row r="777">
      <c r="C777" s="127"/>
      <c r="F777" s="136"/>
      <c r="K777" s="159"/>
      <c r="L777" s="160"/>
      <c r="R777" s="159"/>
      <c r="S777" s="160"/>
      <c r="Y777" s="159"/>
      <c r="Z777" s="160"/>
      <c r="AF777" s="159"/>
      <c r="AG777" s="160"/>
      <c r="AM777" s="159"/>
      <c r="AN777" s="160"/>
    </row>
    <row r="778">
      <c r="C778" s="127"/>
      <c r="F778" s="136"/>
      <c r="K778" s="159"/>
      <c r="L778" s="160"/>
      <c r="R778" s="159"/>
      <c r="S778" s="160"/>
      <c r="Y778" s="159"/>
      <c r="Z778" s="160"/>
      <c r="AF778" s="159"/>
      <c r="AG778" s="160"/>
      <c r="AM778" s="159"/>
      <c r="AN778" s="160"/>
    </row>
    <row r="779">
      <c r="C779" s="127"/>
      <c r="F779" s="136"/>
      <c r="K779" s="159"/>
      <c r="L779" s="160"/>
      <c r="R779" s="159"/>
      <c r="S779" s="160"/>
      <c r="Y779" s="159"/>
      <c r="Z779" s="160"/>
      <c r="AF779" s="159"/>
      <c r="AG779" s="160"/>
      <c r="AM779" s="159"/>
      <c r="AN779" s="160"/>
    </row>
    <row r="780">
      <c r="C780" s="127"/>
      <c r="F780" s="136"/>
      <c r="K780" s="159"/>
      <c r="L780" s="160"/>
      <c r="R780" s="159"/>
      <c r="S780" s="160"/>
      <c r="Y780" s="159"/>
      <c r="Z780" s="160"/>
      <c r="AF780" s="159"/>
      <c r="AG780" s="160"/>
      <c r="AM780" s="159"/>
      <c r="AN780" s="160"/>
    </row>
    <row r="781">
      <c r="C781" s="127"/>
      <c r="F781" s="136"/>
      <c r="K781" s="159"/>
      <c r="L781" s="160"/>
      <c r="R781" s="159"/>
      <c r="S781" s="160"/>
      <c r="Y781" s="159"/>
      <c r="Z781" s="160"/>
      <c r="AF781" s="159"/>
      <c r="AG781" s="160"/>
      <c r="AM781" s="159"/>
      <c r="AN781" s="160"/>
    </row>
    <row r="782">
      <c r="C782" s="127"/>
      <c r="F782" s="136"/>
      <c r="K782" s="159"/>
      <c r="L782" s="160"/>
      <c r="R782" s="159"/>
      <c r="S782" s="160"/>
      <c r="Y782" s="159"/>
      <c r="Z782" s="160"/>
      <c r="AF782" s="159"/>
      <c r="AG782" s="160"/>
      <c r="AM782" s="159"/>
      <c r="AN782" s="160"/>
    </row>
    <row r="783">
      <c r="C783" s="127"/>
      <c r="F783" s="136"/>
      <c r="K783" s="159"/>
      <c r="L783" s="160"/>
      <c r="R783" s="159"/>
      <c r="S783" s="160"/>
      <c r="Y783" s="159"/>
      <c r="Z783" s="160"/>
      <c r="AF783" s="159"/>
      <c r="AG783" s="160"/>
      <c r="AM783" s="159"/>
      <c r="AN783" s="160"/>
    </row>
    <row r="784">
      <c r="C784" s="127"/>
      <c r="F784" s="136"/>
      <c r="K784" s="159"/>
      <c r="L784" s="160"/>
      <c r="R784" s="159"/>
      <c r="S784" s="160"/>
      <c r="Y784" s="159"/>
      <c r="Z784" s="160"/>
      <c r="AF784" s="159"/>
      <c r="AG784" s="160"/>
      <c r="AM784" s="159"/>
      <c r="AN784" s="160"/>
    </row>
    <row r="785">
      <c r="C785" s="127"/>
      <c r="F785" s="136"/>
      <c r="K785" s="159"/>
      <c r="L785" s="160"/>
      <c r="R785" s="159"/>
      <c r="S785" s="160"/>
      <c r="Y785" s="159"/>
      <c r="Z785" s="160"/>
      <c r="AF785" s="159"/>
      <c r="AG785" s="160"/>
      <c r="AM785" s="159"/>
      <c r="AN785" s="160"/>
    </row>
    <row r="786">
      <c r="C786" s="127"/>
      <c r="F786" s="136"/>
      <c r="K786" s="159"/>
      <c r="L786" s="160"/>
      <c r="R786" s="159"/>
      <c r="S786" s="160"/>
      <c r="Y786" s="159"/>
      <c r="Z786" s="160"/>
      <c r="AF786" s="159"/>
      <c r="AG786" s="160"/>
      <c r="AM786" s="159"/>
      <c r="AN786" s="160"/>
    </row>
    <row r="787">
      <c r="C787" s="127"/>
      <c r="F787" s="136"/>
      <c r="K787" s="159"/>
      <c r="L787" s="160"/>
      <c r="R787" s="159"/>
      <c r="S787" s="160"/>
      <c r="Y787" s="159"/>
      <c r="Z787" s="160"/>
      <c r="AF787" s="159"/>
      <c r="AG787" s="160"/>
      <c r="AM787" s="159"/>
      <c r="AN787" s="160"/>
    </row>
    <row r="788">
      <c r="C788" s="127"/>
      <c r="F788" s="136"/>
      <c r="K788" s="159"/>
      <c r="L788" s="160"/>
      <c r="R788" s="159"/>
      <c r="S788" s="160"/>
      <c r="Y788" s="159"/>
      <c r="Z788" s="160"/>
      <c r="AF788" s="159"/>
      <c r="AG788" s="160"/>
      <c r="AM788" s="159"/>
      <c r="AN788" s="160"/>
    </row>
    <row r="789">
      <c r="C789" s="127"/>
      <c r="F789" s="136"/>
      <c r="K789" s="159"/>
      <c r="L789" s="160"/>
      <c r="R789" s="159"/>
      <c r="S789" s="160"/>
      <c r="Y789" s="159"/>
      <c r="Z789" s="160"/>
      <c r="AF789" s="159"/>
      <c r="AG789" s="160"/>
      <c r="AM789" s="159"/>
      <c r="AN789" s="160"/>
    </row>
    <row r="790">
      <c r="C790" s="127"/>
      <c r="F790" s="136"/>
      <c r="K790" s="159"/>
      <c r="L790" s="160"/>
      <c r="R790" s="159"/>
      <c r="S790" s="160"/>
      <c r="Y790" s="159"/>
      <c r="Z790" s="160"/>
      <c r="AF790" s="159"/>
      <c r="AG790" s="160"/>
      <c r="AM790" s="159"/>
      <c r="AN790" s="160"/>
    </row>
    <row r="791">
      <c r="C791" s="127"/>
      <c r="F791" s="136"/>
      <c r="K791" s="159"/>
      <c r="L791" s="160"/>
      <c r="R791" s="159"/>
      <c r="S791" s="160"/>
      <c r="Y791" s="159"/>
      <c r="Z791" s="160"/>
      <c r="AF791" s="159"/>
      <c r="AG791" s="160"/>
      <c r="AM791" s="159"/>
      <c r="AN791" s="160"/>
    </row>
    <row r="792">
      <c r="C792" s="127"/>
      <c r="F792" s="136"/>
      <c r="K792" s="159"/>
      <c r="L792" s="160"/>
      <c r="R792" s="159"/>
      <c r="S792" s="160"/>
      <c r="Y792" s="159"/>
      <c r="Z792" s="160"/>
      <c r="AF792" s="159"/>
      <c r="AG792" s="160"/>
      <c r="AM792" s="159"/>
      <c r="AN792" s="160"/>
    </row>
    <row r="793">
      <c r="C793" s="127"/>
      <c r="F793" s="136"/>
      <c r="K793" s="159"/>
      <c r="L793" s="160"/>
      <c r="R793" s="159"/>
      <c r="S793" s="160"/>
      <c r="Y793" s="159"/>
      <c r="Z793" s="160"/>
      <c r="AF793" s="159"/>
      <c r="AG793" s="160"/>
      <c r="AM793" s="159"/>
      <c r="AN793" s="160"/>
    </row>
    <row r="794">
      <c r="C794" s="127"/>
      <c r="F794" s="136"/>
      <c r="K794" s="159"/>
      <c r="L794" s="160"/>
      <c r="R794" s="159"/>
      <c r="S794" s="160"/>
      <c r="Y794" s="159"/>
      <c r="Z794" s="160"/>
      <c r="AF794" s="159"/>
      <c r="AG794" s="160"/>
      <c r="AM794" s="159"/>
      <c r="AN794" s="160"/>
    </row>
    <row r="795">
      <c r="C795" s="127"/>
      <c r="F795" s="136"/>
      <c r="K795" s="159"/>
      <c r="L795" s="160"/>
      <c r="R795" s="159"/>
      <c r="S795" s="160"/>
      <c r="Y795" s="159"/>
      <c r="Z795" s="160"/>
      <c r="AF795" s="159"/>
      <c r="AG795" s="160"/>
      <c r="AM795" s="159"/>
      <c r="AN795" s="160"/>
    </row>
    <row r="796">
      <c r="C796" s="127"/>
      <c r="F796" s="136"/>
      <c r="K796" s="159"/>
      <c r="L796" s="160"/>
      <c r="R796" s="159"/>
      <c r="S796" s="160"/>
      <c r="Y796" s="159"/>
      <c r="Z796" s="160"/>
      <c r="AF796" s="159"/>
      <c r="AG796" s="160"/>
      <c r="AM796" s="159"/>
      <c r="AN796" s="160"/>
    </row>
    <row r="797">
      <c r="C797" s="127"/>
      <c r="F797" s="136"/>
      <c r="K797" s="159"/>
      <c r="L797" s="160"/>
      <c r="R797" s="159"/>
      <c r="S797" s="160"/>
      <c r="Y797" s="159"/>
      <c r="Z797" s="160"/>
      <c r="AF797" s="159"/>
      <c r="AG797" s="160"/>
      <c r="AM797" s="159"/>
      <c r="AN797" s="160"/>
    </row>
    <row r="798">
      <c r="C798" s="127"/>
      <c r="F798" s="136"/>
      <c r="K798" s="159"/>
      <c r="L798" s="160"/>
      <c r="R798" s="159"/>
      <c r="S798" s="160"/>
      <c r="Y798" s="159"/>
      <c r="Z798" s="160"/>
      <c r="AF798" s="159"/>
      <c r="AG798" s="160"/>
      <c r="AM798" s="159"/>
      <c r="AN798" s="160"/>
    </row>
    <row r="799">
      <c r="C799" s="127"/>
      <c r="F799" s="136"/>
      <c r="K799" s="159"/>
      <c r="L799" s="160"/>
      <c r="R799" s="159"/>
      <c r="S799" s="160"/>
      <c r="Y799" s="159"/>
      <c r="Z799" s="160"/>
      <c r="AF799" s="159"/>
      <c r="AG799" s="160"/>
      <c r="AM799" s="159"/>
      <c r="AN799" s="160"/>
    </row>
    <row r="800">
      <c r="C800" s="127"/>
      <c r="F800" s="136"/>
      <c r="K800" s="159"/>
      <c r="L800" s="160"/>
      <c r="R800" s="159"/>
      <c r="S800" s="160"/>
      <c r="Y800" s="159"/>
      <c r="Z800" s="160"/>
      <c r="AF800" s="159"/>
      <c r="AG800" s="160"/>
      <c r="AM800" s="159"/>
      <c r="AN800" s="160"/>
    </row>
    <row r="801">
      <c r="C801" s="127"/>
      <c r="F801" s="136"/>
      <c r="K801" s="159"/>
      <c r="L801" s="160"/>
      <c r="R801" s="159"/>
      <c r="S801" s="160"/>
      <c r="Y801" s="159"/>
      <c r="Z801" s="160"/>
      <c r="AF801" s="159"/>
      <c r="AG801" s="160"/>
      <c r="AM801" s="159"/>
      <c r="AN801" s="160"/>
    </row>
    <row r="802">
      <c r="C802" s="127"/>
      <c r="F802" s="136"/>
      <c r="K802" s="159"/>
      <c r="L802" s="160"/>
      <c r="R802" s="159"/>
      <c r="S802" s="160"/>
      <c r="Y802" s="159"/>
      <c r="Z802" s="160"/>
      <c r="AF802" s="159"/>
      <c r="AG802" s="160"/>
      <c r="AM802" s="159"/>
      <c r="AN802" s="160"/>
    </row>
    <row r="803">
      <c r="C803" s="127"/>
      <c r="F803" s="136"/>
      <c r="K803" s="159"/>
      <c r="L803" s="160"/>
      <c r="R803" s="159"/>
      <c r="S803" s="160"/>
      <c r="Y803" s="159"/>
      <c r="Z803" s="160"/>
      <c r="AF803" s="159"/>
      <c r="AG803" s="160"/>
      <c r="AM803" s="159"/>
      <c r="AN803" s="160"/>
    </row>
    <row r="804">
      <c r="C804" s="127"/>
      <c r="F804" s="136"/>
      <c r="K804" s="159"/>
      <c r="L804" s="160"/>
      <c r="R804" s="159"/>
      <c r="S804" s="160"/>
      <c r="Y804" s="159"/>
      <c r="Z804" s="160"/>
      <c r="AF804" s="159"/>
      <c r="AG804" s="160"/>
      <c r="AM804" s="159"/>
      <c r="AN804" s="160"/>
    </row>
    <row r="805">
      <c r="C805" s="127"/>
      <c r="F805" s="136"/>
      <c r="K805" s="159"/>
      <c r="L805" s="160"/>
      <c r="R805" s="159"/>
      <c r="S805" s="160"/>
      <c r="Y805" s="159"/>
      <c r="Z805" s="160"/>
      <c r="AF805" s="159"/>
      <c r="AG805" s="160"/>
      <c r="AM805" s="159"/>
      <c r="AN805" s="160"/>
    </row>
    <row r="806">
      <c r="C806" s="127"/>
      <c r="F806" s="136"/>
      <c r="K806" s="159"/>
      <c r="L806" s="160"/>
      <c r="R806" s="159"/>
      <c r="S806" s="160"/>
      <c r="Y806" s="159"/>
      <c r="Z806" s="160"/>
      <c r="AF806" s="159"/>
      <c r="AG806" s="160"/>
      <c r="AM806" s="159"/>
      <c r="AN806" s="160"/>
    </row>
    <row r="807">
      <c r="C807" s="127"/>
      <c r="F807" s="136"/>
      <c r="K807" s="159"/>
      <c r="L807" s="160"/>
      <c r="R807" s="159"/>
      <c r="S807" s="160"/>
      <c r="Y807" s="159"/>
      <c r="Z807" s="160"/>
      <c r="AF807" s="159"/>
      <c r="AG807" s="160"/>
      <c r="AM807" s="159"/>
      <c r="AN807" s="160"/>
    </row>
    <row r="808">
      <c r="C808" s="127"/>
      <c r="F808" s="136"/>
      <c r="K808" s="159"/>
      <c r="L808" s="160"/>
      <c r="R808" s="159"/>
      <c r="S808" s="160"/>
      <c r="Y808" s="159"/>
      <c r="Z808" s="160"/>
      <c r="AF808" s="159"/>
      <c r="AG808" s="160"/>
      <c r="AM808" s="159"/>
      <c r="AN808" s="160"/>
    </row>
    <row r="809">
      <c r="C809" s="127"/>
      <c r="F809" s="136"/>
      <c r="K809" s="159"/>
      <c r="L809" s="160"/>
      <c r="R809" s="159"/>
      <c r="S809" s="160"/>
      <c r="Y809" s="159"/>
      <c r="Z809" s="160"/>
      <c r="AF809" s="159"/>
      <c r="AG809" s="160"/>
      <c r="AM809" s="159"/>
      <c r="AN809" s="160"/>
    </row>
    <row r="810">
      <c r="C810" s="127"/>
      <c r="F810" s="136"/>
      <c r="K810" s="159"/>
      <c r="L810" s="160"/>
      <c r="R810" s="159"/>
      <c r="S810" s="160"/>
      <c r="Y810" s="159"/>
      <c r="Z810" s="160"/>
      <c r="AF810" s="159"/>
      <c r="AG810" s="160"/>
      <c r="AM810" s="159"/>
      <c r="AN810" s="160"/>
    </row>
    <row r="811">
      <c r="C811" s="127"/>
      <c r="F811" s="136"/>
      <c r="K811" s="159"/>
      <c r="L811" s="160"/>
      <c r="R811" s="159"/>
      <c r="S811" s="160"/>
      <c r="Y811" s="159"/>
      <c r="Z811" s="160"/>
      <c r="AF811" s="159"/>
      <c r="AG811" s="160"/>
      <c r="AM811" s="159"/>
      <c r="AN811" s="160"/>
    </row>
    <row r="812">
      <c r="C812" s="127"/>
      <c r="F812" s="136"/>
      <c r="K812" s="159"/>
      <c r="L812" s="160"/>
      <c r="R812" s="159"/>
      <c r="S812" s="160"/>
      <c r="Y812" s="159"/>
      <c r="Z812" s="160"/>
      <c r="AF812" s="159"/>
      <c r="AG812" s="160"/>
      <c r="AM812" s="159"/>
      <c r="AN812" s="160"/>
    </row>
    <row r="813">
      <c r="C813" s="127"/>
      <c r="F813" s="136"/>
      <c r="K813" s="159"/>
      <c r="L813" s="160"/>
      <c r="R813" s="159"/>
      <c r="S813" s="160"/>
      <c r="Y813" s="159"/>
      <c r="Z813" s="160"/>
      <c r="AF813" s="159"/>
      <c r="AG813" s="160"/>
      <c r="AM813" s="159"/>
      <c r="AN813" s="160"/>
    </row>
    <row r="814">
      <c r="C814" s="127"/>
      <c r="F814" s="136"/>
      <c r="K814" s="159"/>
      <c r="L814" s="160"/>
      <c r="R814" s="159"/>
      <c r="S814" s="160"/>
      <c r="Y814" s="159"/>
      <c r="Z814" s="160"/>
      <c r="AF814" s="159"/>
      <c r="AG814" s="160"/>
      <c r="AM814" s="159"/>
      <c r="AN814" s="160"/>
    </row>
    <row r="815">
      <c r="C815" s="127"/>
      <c r="F815" s="136"/>
      <c r="K815" s="159"/>
      <c r="L815" s="160"/>
      <c r="R815" s="159"/>
      <c r="S815" s="160"/>
      <c r="Y815" s="159"/>
      <c r="Z815" s="160"/>
      <c r="AF815" s="159"/>
      <c r="AG815" s="160"/>
      <c r="AM815" s="159"/>
      <c r="AN815" s="160"/>
    </row>
    <row r="816">
      <c r="C816" s="127"/>
      <c r="F816" s="136"/>
      <c r="K816" s="159"/>
      <c r="L816" s="160"/>
      <c r="R816" s="159"/>
      <c r="S816" s="160"/>
      <c r="Y816" s="159"/>
      <c r="Z816" s="160"/>
      <c r="AF816" s="159"/>
      <c r="AG816" s="160"/>
      <c r="AM816" s="159"/>
      <c r="AN816" s="160"/>
    </row>
    <row r="817">
      <c r="C817" s="127"/>
      <c r="F817" s="136"/>
      <c r="K817" s="159"/>
      <c r="L817" s="160"/>
      <c r="R817" s="159"/>
      <c r="S817" s="160"/>
      <c r="Y817" s="159"/>
      <c r="Z817" s="160"/>
      <c r="AF817" s="159"/>
      <c r="AG817" s="160"/>
      <c r="AM817" s="159"/>
      <c r="AN817" s="160"/>
    </row>
    <row r="818">
      <c r="C818" s="127"/>
      <c r="F818" s="136"/>
      <c r="K818" s="159"/>
      <c r="L818" s="160"/>
      <c r="R818" s="159"/>
      <c r="S818" s="160"/>
      <c r="Y818" s="159"/>
      <c r="Z818" s="160"/>
      <c r="AF818" s="159"/>
      <c r="AG818" s="160"/>
      <c r="AM818" s="159"/>
      <c r="AN818" s="160"/>
    </row>
    <row r="819">
      <c r="C819" s="127"/>
      <c r="F819" s="136"/>
      <c r="K819" s="159"/>
      <c r="L819" s="160"/>
      <c r="R819" s="159"/>
      <c r="S819" s="160"/>
      <c r="Y819" s="159"/>
      <c r="Z819" s="160"/>
      <c r="AF819" s="159"/>
      <c r="AG819" s="160"/>
      <c r="AM819" s="159"/>
      <c r="AN819" s="160"/>
    </row>
    <row r="820">
      <c r="C820" s="127"/>
      <c r="F820" s="136"/>
      <c r="K820" s="159"/>
      <c r="L820" s="160"/>
      <c r="R820" s="159"/>
      <c r="S820" s="160"/>
      <c r="Y820" s="159"/>
      <c r="Z820" s="160"/>
      <c r="AF820" s="159"/>
      <c r="AG820" s="160"/>
      <c r="AM820" s="159"/>
      <c r="AN820" s="160"/>
    </row>
    <row r="821">
      <c r="C821" s="127"/>
      <c r="F821" s="136"/>
      <c r="K821" s="159"/>
      <c r="L821" s="160"/>
      <c r="R821" s="159"/>
      <c r="S821" s="160"/>
      <c r="Y821" s="159"/>
      <c r="Z821" s="160"/>
      <c r="AF821" s="159"/>
      <c r="AG821" s="160"/>
      <c r="AM821" s="159"/>
      <c r="AN821" s="160"/>
    </row>
    <row r="822">
      <c r="C822" s="127"/>
      <c r="F822" s="136"/>
      <c r="K822" s="159"/>
      <c r="L822" s="160"/>
      <c r="R822" s="159"/>
      <c r="S822" s="160"/>
      <c r="Y822" s="159"/>
      <c r="Z822" s="160"/>
      <c r="AF822" s="159"/>
      <c r="AG822" s="160"/>
      <c r="AM822" s="159"/>
      <c r="AN822" s="160"/>
    </row>
    <row r="823">
      <c r="C823" s="127"/>
      <c r="F823" s="136"/>
      <c r="K823" s="159"/>
      <c r="L823" s="160"/>
      <c r="R823" s="159"/>
      <c r="S823" s="160"/>
      <c r="Y823" s="159"/>
      <c r="Z823" s="160"/>
      <c r="AF823" s="159"/>
      <c r="AG823" s="160"/>
      <c r="AM823" s="159"/>
      <c r="AN823" s="160"/>
    </row>
    <row r="824">
      <c r="C824" s="127"/>
      <c r="F824" s="136"/>
      <c r="K824" s="159"/>
      <c r="L824" s="160"/>
      <c r="R824" s="159"/>
      <c r="S824" s="160"/>
      <c r="Y824" s="159"/>
      <c r="Z824" s="160"/>
      <c r="AF824" s="159"/>
      <c r="AG824" s="160"/>
      <c r="AM824" s="159"/>
      <c r="AN824" s="160"/>
    </row>
    <row r="825">
      <c r="C825" s="127"/>
      <c r="F825" s="136"/>
      <c r="K825" s="159"/>
      <c r="L825" s="160"/>
      <c r="R825" s="159"/>
      <c r="S825" s="160"/>
      <c r="Y825" s="159"/>
      <c r="Z825" s="160"/>
      <c r="AF825" s="159"/>
      <c r="AG825" s="160"/>
      <c r="AM825" s="159"/>
      <c r="AN825" s="160"/>
    </row>
    <row r="826">
      <c r="C826" s="127"/>
      <c r="F826" s="136"/>
      <c r="K826" s="159"/>
      <c r="L826" s="160"/>
      <c r="R826" s="159"/>
      <c r="S826" s="160"/>
      <c r="Y826" s="159"/>
      <c r="Z826" s="160"/>
      <c r="AF826" s="159"/>
      <c r="AG826" s="160"/>
      <c r="AM826" s="159"/>
      <c r="AN826" s="160"/>
    </row>
    <row r="827">
      <c r="C827" s="127"/>
      <c r="F827" s="136"/>
      <c r="K827" s="159"/>
      <c r="L827" s="160"/>
      <c r="R827" s="159"/>
      <c r="S827" s="160"/>
      <c r="Y827" s="159"/>
      <c r="Z827" s="160"/>
      <c r="AF827" s="159"/>
      <c r="AG827" s="160"/>
      <c r="AM827" s="159"/>
      <c r="AN827" s="160"/>
    </row>
    <row r="828">
      <c r="C828" s="127"/>
      <c r="F828" s="136"/>
      <c r="K828" s="159"/>
      <c r="L828" s="160"/>
      <c r="R828" s="159"/>
      <c r="S828" s="160"/>
      <c r="Y828" s="159"/>
      <c r="Z828" s="160"/>
      <c r="AF828" s="159"/>
      <c r="AG828" s="160"/>
      <c r="AM828" s="159"/>
      <c r="AN828" s="160"/>
    </row>
    <row r="829">
      <c r="C829" s="127"/>
      <c r="F829" s="136"/>
      <c r="K829" s="159"/>
      <c r="L829" s="160"/>
      <c r="R829" s="159"/>
      <c r="S829" s="160"/>
      <c r="Y829" s="159"/>
      <c r="Z829" s="160"/>
      <c r="AF829" s="159"/>
      <c r="AG829" s="160"/>
      <c r="AM829" s="159"/>
      <c r="AN829" s="160"/>
    </row>
    <row r="830">
      <c r="C830" s="127"/>
      <c r="F830" s="136"/>
      <c r="K830" s="159"/>
      <c r="L830" s="160"/>
      <c r="R830" s="159"/>
      <c r="S830" s="160"/>
      <c r="Y830" s="159"/>
      <c r="Z830" s="160"/>
      <c r="AF830" s="159"/>
      <c r="AG830" s="160"/>
      <c r="AM830" s="159"/>
      <c r="AN830" s="160"/>
    </row>
    <row r="831">
      <c r="C831" s="127"/>
      <c r="F831" s="136"/>
      <c r="K831" s="159"/>
      <c r="L831" s="160"/>
      <c r="R831" s="159"/>
      <c r="S831" s="160"/>
      <c r="Y831" s="159"/>
      <c r="Z831" s="160"/>
      <c r="AF831" s="159"/>
      <c r="AG831" s="160"/>
      <c r="AM831" s="159"/>
      <c r="AN831" s="160"/>
    </row>
    <row r="832">
      <c r="C832" s="127"/>
      <c r="F832" s="136"/>
      <c r="K832" s="159"/>
      <c r="L832" s="160"/>
      <c r="R832" s="159"/>
      <c r="S832" s="160"/>
      <c r="Y832" s="159"/>
      <c r="Z832" s="160"/>
      <c r="AF832" s="159"/>
      <c r="AG832" s="160"/>
      <c r="AM832" s="159"/>
      <c r="AN832" s="160"/>
    </row>
    <row r="833">
      <c r="C833" s="127"/>
      <c r="F833" s="136"/>
      <c r="K833" s="159"/>
      <c r="L833" s="160"/>
      <c r="R833" s="159"/>
      <c r="S833" s="160"/>
      <c r="Y833" s="159"/>
      <c r="Z833" s="160"/>
      <c r="AF833" s="159"/>
      <c r="AG833" s="160"/>
      <c r="AM833" s="159"/>
      <c r="AN833" s="160"/>
    </row>
    <row r="834">
      <c r="C834" s="127"/>
      <c r="F834" s="136"/>
      <c r="K834" s="159"/>
      <c r="L834" s="160"/>
      <c r="R834" s="159"/>
      <c r="S834" s="160"/>
      <c r="Y834" s="159"/>
      <c r="Z834" s="160"/>
      <c r="AF834" s="159"/>
      <c r="AG834" s="160"/>
      <c r="AM834" s="159"/>
      <c r="AN834" s="160"/>
    </row>
    <row r="835">
      <c r="C835" s="127"/>
      <c r="F835" s="136"/>
      <c r="K835" s="159"/>
      <c r="L835" s="160"/>
      <c r="R835" s="159"/>
      <c r="S835" s="160"/>
      <c r="Y835" s="159"/>
      <c r="Z835" s="160"/>
      <c r="AF835" s="159"/>
      <c r="AG835" s="160"/>
      <c r="AM835" s="159"/>
      <c r="AN835" s="160"/>
    </row>
    <row r="836">
      <c r="C836" s="127"/>
      <c r="F836" s="136"/>
      <c r="K836" s="159"/>
      <c r="L836" s="160"/>
      <c r="R836" s="159"/>
      <c r="S836" s="160"/>
      <c r="Y836" s="159"/>
      <c r="Z836" s="160"/>
      <c r="AF836" s="159"/>
      <c r="AG836" s="160"/>
      <c r="AM836" s="159"/>
      <c r="AN836" s="160"/>
    </row>
    <row r="837">
      <c r="C837" s="127"/>
      <c r="F837" s="136"/>
      <c r="K837" s="159"/>
      <c r="L837" s="160"/>
      <c r="R837" s="159"/>
      <c r="S837" s="160"/>
      <c r="Y837" s="159"/>
      <c r="Z837" s="160"/>
      <c r="AF837" s="159"/>
      <c r="AG837" s="160"/>
      <c r="AM837" s="159"/>
      <c r="AN837" s="160"/>
    </row>
    <row r="838">
      <c r="C838" s="127"/>
      <c r="F838" s="136"/>
      <c r="K838" s="159"/>
      <c r="L838" s="160"/>
      <c r="R838" s="159"/>
      <c r="S838" s="160"/>
      <c r="Y838" s="159"/>
      <c r="Z838" s="160"/>
      <c r="AF838" s="159"/>
      <c r="AG838" s="160"/>
      <c r="AM838" s="159"/>
      <c r="AN838" s="160"/>
    </row>
    <row r="839">
      <c r="C839" s="127"/>
      <c r="F839" s="136"/>
      <c r="K839" s="159"/>
      <c r="L839" s="160"/>
      <c r="R839" s="159"/>
      <c r="S839" s="160"/>
      <c r="Y839" s="159"/>
      <c r="Z839" s="160"/>
      <c r="AF839" s="159"/>
      <c r="AG839" s="160"/>
      <c r="AM839" s="159"/>
      <c r="AN839" s="160"/>
    </row>
    <row r="840">
      <c r="C840" s="127"/>
      <c r="F840" s="136"/>
      <c r="K840" s="159"/>
      <c r="L840" s="160"/>
      <c r="R840" s="159"/>
      <c r="S840" s="160"/>
      <c r="Y840" s="159"/>
      <c r="Z840" s="160"/>
      <c r="AF840" s="159"/>
      <c r="AG840" s="160"/>
      <c r="AM840" s="159"/>
      <c r="AN840" s="160"/>
    </row>
    <row r="841">
      <c r="C841" s="127"/>
      <c r="F841" s="136"/>
      <c r="K841" s="159"/>
      <c r="L841" s="160"/>
      <c r="R841" s="159"/>
      <c r="S841" s="160"/>
      <c r="Y841" s="159"/>
      <c r="Z841" s="160"/>
      <c r="AF841" s="159"/>
      <c r="AG841" s="160"/>
      <c r="AM841" s="159"/>
      <c r="AN841" s="160"/>
    </row>
    <row r="842">
      <c r="C842" s="127"/>
      <c r="F842" s="136"/>
      <c r="K842" s="159"/>
      <c r="L842" s="160"/>
      <c r="R842" s="159"/>
      <c r="S842" s="160"/>
      <c r="Y842" s="159"/>
      <c r="Z842" s="160"/>
      <c r="AF842" s="159"/>
      <c r="AG842" s="160"/>
      <c r="AM842" s="159"/>
      <c r="AN842" s="160"/>
    </row>
    <row r="843">
      <c r="C843" s="127"/>
      <c r="F843" s="136"/>
      <c r="K843" s="159"/>
      <c r="L843" s="160"/>
      <c r="R843" s="159"/>
      <c r="S843" s="160"/>
      <c r="Y843" s="159"/>
      <c r="Z843" s="160"/>
      <c r="AF843" s="159"/>
      <c r="AG843" s="160"/>
      <c r="AM843" s="159"/>
      <c r="AN843" s="160"/>
    </row>
    <row r="844">
      <c r="C844" s="127"/>
      <c r="F844" s="136"/>
      <c r="K844" s="159"/>
      <c r="L844" s="160"/>
      <c r="R844" s="159"/>
      <c r="S844" s="160"/>
      <c r="Y844" s="159"/>
      <c r="Z844" s="160"/>
      <c r="AF844" s="159"/>
      <c r="AG844" s="160"/>
      <c r="AM844" s="159"/>
      <c r="AN844" s="160"/>
    </row>
    <row r="845">
      <c r="C845" s="127"/>
      <c r="F845" s="136"/>
      <c r="K845" s="159"/>
      <c r="L845" s="160"/>
      <c r="R845" s="159"/>
      <c r="S845" s="160"/>
      <c r="Y845" s="159"/>
      <c r="Z845" s="160"/>
      <c r="AF845" s="159"/>
      <c r="AG845" s="160"/>
      <c r="AM845" s="159"/>
      <c r="AN845" s="160"/>
    </row>
    <row r="846">
      <c r="C846" s="127"/>
      <c r="F846" s="136"/>
      <c r="K846" s="159"/>
      <c r="L846" s="160"/>
      <c r="R846" s="159"/>
      <c r="S846" s="160"/>
      <c r="Y846" s="159"/>
      <c r="Z846" s="160"/>
      <c r="AF846" s="159"/>
      <c r="AG846" s="160"/>
      <c r="AM846" s="159"/>
      <c r="AN846" s="160"/>
    </row>
    <row r="847">
      <c r="C847" s="127"/>
      <c r="F847" s="136"/>
      <c r="K847" s="159"/>
      <c r="L847" s="160"/>
      <c r="R847" s="159"/>
      <c r="S847" s="160"/>
      <c r="Y847" s="159"/>
      <c r="Z847" s="160"/>
      <c r="AF847" s="159"/>
      <c r="AG847" s="160"/>
      <c r="AM847" s="159"/>
      <c r="AN847" s="160"/>
    </row>
    <row r="848">
      <c r="C848" s="127"/>
      <c r="F848" s="136"/>
      <c r="K848" s="159"/>
      <c r="L848" s="160"/>
      <c r="R848" s="159"/>
      <c r="S848" s="160"/>
      <c r="Y848" s="159"/>
      <c r="Z848" s="160"/>
      <c r="AF848" s="159"/>
      <c r="AG848" s="160"/>
      <c r="AM848" s="159"/>
      <c r="AN848" s="160"/>
    </row>
    <row r="849">
      <c r="C849" s="127"/>
      <c r="F849" s="136"/>
      <c r="K849" s="159"/>
      <c r="L849" s="160"/>
      <c r="R849" s="159"/>
      <c r="S849" s="160"/>
      <c r="Y849" s="159"/>
      <c r="Z849" s="160"/>
      <c r="AF849" s="159"/>
      <c r="AG849" s="160"/>
      <c r="AM849" s="159"/>
      <c r="AN849" s="160"/>
    </row>
    <row r="850">
      <c r="C850" s="127"/>
      <c r="F850" s="136"/>
      <c r="K850" s="159"/>
      <c r="L850" s="160"/>
      <c r="R850" s="159"/>
      <c r="S850" s="160"/>
      <c r="Y850" s="159"/>
      <c r="Z850" s="160"/>
      <c r="AF850" s="159"/>
      <c r="AG850" s="160"/>
      <c r="AM850" s="159"/>
      <c r="AN850" s="160"/>
    </row>
    <row r="851">
      <c r="C851" s="127"/>
      <c r="F851" s="136"/>
      <c r="K851" s="159"/>
      <c r="L851" s="160"/>
      <c r="R851" s="159"/>
      <c r="S851" s="160"/>
      <c r="Y851" s="159"/>
      <c r="Z851" s="160"/>
      <c r="AF851" s="159"/>
      <c r="AG851" s="160"/>
      <c r="AM851" s="159"/>
      <c r="AN851" s="160"/>
    </row>
    <row r="852">
      <c r="C852" s="127"/>
      <c r="F852" s="136"/>
      <c r="K852" s="159"/>
      <c r="L852" s="160"/>
      <c r="R852" s="159"/>
      <c r="S852" s="160"/>
      <c r="Y852" s="159"/>
      <c r="Z852" s="160"/>
      <c r="AF852" s="159"/>
      <c r="AG852" s="160"/>
      <c r="AM852" s="159"/>
      <c r="AN852" s="160"/>
    </row>
    <row r="853">
      <c r="C853" s="127"/>
      <c r="F853" s="136"/>
      <c r="K853" s="159"/>
      <c r="L853" s="160"/>
      <c r="R853" s="159"/>
      <c r="S853" s="160"/>
      <c r="Y853" s="159"/>
      <c r="Z853" s="160"/>
      <c r="AF853" s="159"/>
      <c r="AG853" s="160"/>
      <c r="AM853" s="159"/>
      <c r="AN853" s="160"/>
    </row>
    <row r="854">
      <c r="C854" s="127"/>
      <c r="F854" s="136"/>
      <c r="K854" s="159"/>
      <c r="L854" s="160"/>
      <c r="R854" s="159"/>
      <c r="S854" s="160"/>
      <c r="Y854" s="159"/>
      <c r="Z854" s="160"/>
      <c r="AF854" s="159"/>
      <c r="AG854" s="160"/>
      <c r="AM854" s="159"/>
      <c r="AN854" s="160"/>
    </row>
    <row r="855">
      <c r="C855" s="127"/>
      <c r="F855" s="136"/>
      <c r="K855" s="159"/>
      <c r="L855" s="160"/>
      <c r="R855" s="159"/>
      <c r="S855" s="160"/>
      <c r="Y855" s="159"/>
      <c r="Z855" s="160"/>
      <c r="AF855" s="159"/>
      <c r="AG855" s="160"/>
      <c r="AM855" s="159"/>
      <c r="AN855" s="160"/>
    </row>
    <row r="856">
      <c r="C856" s="127"/>
      <c r="F856" s="136"/>
      <c r="K856" s="159"/>
      <c r="L856" s="160"/>
      <c r="R856" s="159"/>
      <c r="S856" s="160"/>
      <c r="Y856" s="159"/>
      <c r="Z856" s="160"/>
      <c r="AF856" s="159"/>
      <c r="AG856" s="160"/>
      <c r="AM856" s="159"/>
      <c r="AN856" s="160"/>
    </row>
    <row r="857">
      <c r="C857" s="127"/>
      <c r="F857" s="136"/>
      <c r="K857" s="159"/>
      <c r="L857" s="160"/>
      <c r="R857" s="159"/>
      <c r="S857" s="160"/>
      <c r="Y857" s="159"/>
      <c r="Z857" s="160"/>
      <c r="AF857" s="159"/>
      <c r="AG857" s="160"/>
      <c r="AM857" s="159"/>
      <c r="AN857" s="160"/>
    </row>
    <row r="858">
      <c r="C858" s="127"/>
      <c r="F858" s="136"/>
      <c r="K858" s="159"/>
      <c r="L858" s="160"/>
      <c r="R858" s="159"/>
      <c r="S858" s="160"/>
      <c r="Y858" s="159"/>
      <c r="Z858" s="160"/>
      <c r="AF858" s="159"/>
      <c r="AG858" s="160"/>
      <c r="AM858" s="159"/>
      <c r="AN858" s="160"/>
    </row>
    <row r="859">
      <c r="C859" s="127"/>
      <c r="F859" s="136"/>
      <c r="K859" s="159"/>
      <c r="L859" s="160"/>
      <c r="R859" s="159"/>
      <c r="S859" s="160"/>
      <c r="Y859" s="159"/>
      <c r="Z859" s="160"/>
      <c r="AF859" s="159"/>
      <c r="AG859" s="160"/>
      <c r="AM859" s="159"/>
      <c r="AN859" s="160"/>
    </row>
    <row r="860">
      <c r="C860" s="127"/>
      <c r="F860" s="136"/>
      <c r="K860" s="159"/>
      <c r="L860" s="160"/>
      <c r="R860" s="159"/>
      <c r="S860" s="160"/>
      <c r="Y860" s="159"/>
      <c r="Z860" s="160"/>
      <c r="AF860" s="159"/>
      <c r="AG860" s="160"/>
      <c r="AM860" s="159"/>
      <c r="AN860" s="160"/>
    </row>
    <row r="861">
      <c r="C861" s="127"/>
      <c r="F861" s="136"/>
      <c r="K861" s="159"/>
      <c r="L861" s="160"/>
      <c r="R861" s="159"/>
      <c r="S861" s="160"/>
      <c r="Y861" s="159"/>
      <c r="Z861" s="160"/>
      <c r="AF861" s="159"/>
      <c r="AG861" s="160"/>
      <c r="AM861" s="159"/>
      <c r="AN861" s="160"/>
    </row>
    <row r="862">
      <c r="C862" s="127"/>
      <c r="F862" s="136"/>
      <c r="K862" s="159"/>
      <c r="L862" s="160"/>
      <c r="R862" s="159"/>
      <c r="S862" s="160"/>
      <c r="Y862" s="159"/>
      <c r="Z862" s="160"/>
      <c r="AF862" s="159"/>
      <c r="AG862" s="160"/>
      <c r="AM862" s="159"/>
      <c r="AN862" s="160"/>
    </row>
    <row r="863">
      <c r="C863" s="127"/>
      <c r="F863" s="136"/>
      <c r="K863" s="159"/>
      <c r="L863" s="160"/>
      <c r="R863" s="159"/>
      <c r="S863" s="160"/>
      <c r="Y863" s="159"/>
      <c r="Z863" s="160"/>
      <c r="AF863" s="159"/>
      <c r="AG863" s="160"/>
      <c r="AM863" s="159"/>
      <c r="AN863" s="160"/>
    </row>
    <row r="864">
      <c r="C864" s="127"/>
      <c r="F864" s="136"/>
      <c r="K864" s="159"/>
      <c r="L864" s="160"/>
      <c r="R864" s="159"/>
      <c r="S864" s="160"/>
      <c r="Y864" s="159"/>
      <c r="Z864" s="160"/>
      <c r="AF864" s="159"/>
      <c r="AG864" s="160"/>
      <c r="AM864" s="159"/>
      <c r="AN864" s="160"/>
    </row>
    <row r="865">
      <c r="C865" s="127"/>
      <c r="F865" s="136"/>
      <c r="K865" s="159"/>
      <c r="L865" s="160"/>
      <c r="R865" s="159"/>
      <c r="S865" s="160"/>
      <c r="Y865" s="159"/>
      <c r="Z865" s="160"/>
      <c r="AF865" s="159"/>
      <c r="AG865" s="160"/>
      <c r="AM865" s="159"/>
      <c r="AN865" s="160"/>
    </row>
    <row r="866">
      <c r="C866" s="127"/>
      <c r="F866" s="136"/>
      <c r="K866" s="159"/>
      <c r="L866" s="160"/>
      <c r="R866" s="159"/>
      <c r="S866" s="160"/>
      <c r="Y866" s="159"/>
      <c r="Z866" s="160"/>
      <c r="AF866" s="159"/>
      <c r="AG866" s="160"/>
      <c r="AM866" s="159"/>
      <c r="AN866" s="160"/>
    </row>
    <row r="867">
      <c r="C867" s="127"/>
      <c r="F867" s="136"/>
      <c r="K867" s="159"/>
      <c r="L867" s="160"/>
      <c r="R867" s="159"/>
      <c r="S867" s="160"/>
      <c r="Y867" s="159"/>
      <c r="Z867" s="160"/>
      <c r="AF867" s="159"/>
      <c r="AG867" s="160"/>
      <c r="AM867" s="159"/>
      <c r="AN867" s="160"/>
    </row>
    <row r="868">
      <c r="C868" s="127"/>
      <c r="F868" s="136"/>
      <c r="K868" s="159"/>
      <c r="L868" s="160"/>
      <c r="R868" s="159"/>
      <c r="S868" s="160"/>
      <c r="Y868" s="159"/>
      <c r="Z868" s="160"/>
      <c r="AF868" s="159"/>
      <c r="AG868" s="160"/>
      <c r="AM868" s="159"/>
      <c r="AN868" s="160"/>
    </row>
    <row r="869">
      <c r="C869" s="127"/>
      <c r="F869" s="136"/>
      <c r="K869" s="159"/>
      <c r="L869" s="160"/>
      <c r="R869" s="159"/>
      <c r="S869" s="160"/>
      <c r="Y869" s="159"/>
      <c r="Z869" s="160"/>
      <c r="AF869" s="159"/>
      <c r="AG869" s="160"/>
      <c r="AM869" s="159"/>
      <c r="AN869" s="160"/>
    </row>
    <row r="870">
      <c r="C870" s="127"/>
      <c r="F870" s="136"/>
      <c r="K870" s="159"/>
      <c r="L870" s="160"/>
      <c r="R870" s="159"/>
      <c r="S870" s="160"/>
      <c r="Y870" s="159"/>
      <c r="Z870" s="160"/>
      <c r="AF870" s="159"/>
      <c r="AG870" s="160"/>
      <c r="AM870" s="159"/>
      <c r="AN870" s="160"/>
    </row>
    <row r="871">
      <c r="C871" s="127"/>
      <c r="F871" s="136"/>
      <c r="K871" s="159"/>
      <c r="L871" s="160"/>
      <c r="R871" s="159"/>
      <c r="S871" s="160"/>
      <c r="Y871" s="159"/>
      <c r="Z871" s="160"/>
      <c r="AF871" s="159"/>
      <c r="AG871" s="160"/>
      <c r="AM871" s="159"/>
      <c r="AN871" s="160"/>
    </row>
    <row r="872">
      <c r="C872" s="127"/>
      <c r="F872" s="136"/>
      <c r="K872" s="159"/>
      <c r="L872" s="160"/>
      <c r="R872" s="159"/>
      <c r="S872" s="160"/>
      <c r="Y872" s="159"/>
      <c r="Z872" s="160"/>
      <c r="AF872" s="159"/>
      <c r="AG872" s="160"/>
      <c r="AM872" s="159"/>
      <c r="AN872" s="160"/>
    </row>
    <row r="873">
      <c r="C873" s="127"/>
      <c r="F873" s="136"/>
      <c r="K873" s="159"/>
      <c r="L873" s="160"/>
      <c r="R873" s="159"/>
      <c r="S873" s="160"/>
      <c r="Y873" s="159"/>
      <c r="Z873" s="160"/>
      <c r="AF873" s="159"/>
      <c r="AG873" s="160"/>
      <c r="AM873" s="159"/>
      <c r="AN873" s="160"/>
    </row>
    <row r="874">
      <c r="C874" s="127"/>
      <c r="F874" s="136"/>
      <c r="K874" s="159"/>
      <c r="L874" s="160"/>
      <c r="R874" s="159"/>
      <c r="S874" s="160"/>
      <c r="Y874" s="159"/>
      <c r="Z874" s="160"/>
      <c r="AF874" s="159"/>
      <c r="AG874" s="160"/>
      <c r="AM874" s="159"/>
      <c r="AN874" s="160"/>
    </row>
    <row r="875">
      <c r="C875" s="127"/>
      <c r="F875" s="136"/>
      <c r="K875" s="159"/>
      <c r="L875" s="160"/>
      <c r="R875" s="159"/>
      <c r="S875" s="160"/>
      <c r="Y875" s="159"/>
      <c r="Z875" s="160"/>
      <c r="AF875" s="159"/>
      <c r="AG875" s="160"/>
      <c r="AM875" s="159"/>
      <c r="AN875" s="160"/>
    </row>
    <row r="876">
      <c r="C876" s="127"/>
      <c r="F876" s="136"/>
      <c r="K876" s="159"/>
      <c r="L876" s="160"/>
      <c r="R876" s="159"/>
      <c r="S876" s="160"/>
      <c r="Y876" s="159"/>
      <c r="Z876" s="160"/>
      <c r="AF876" s="159"/>
      <c r="AG876" s="160"/>
      <c r="AM876" s="159"/>
      <c r="AN876" s="160"/>
    </row>
    <row r="877">
      <c r="C877" s="127"/>
      <c r="F877" s="136"/>
      <c r="K877" s="159"/>
      <c r="L877" s="160"/>
      <c r="R877" s="159"/>
      <c r="S877" s="160"/>
      <c r="Y877" s="159"/>
      <c r="Z877" s="160"/>
      <c r="AF877" s="159"/>
      <c r="AG877" s="160"/>
      <c r="AM877" s="159"/>
      <c r="AN877" s="160"/>
    </row>
    <row r="878">
      <c r="C878" s="127"/>
      <c r="F878" s="136"/>
      <c r="K878" s="159"/>
      <c r="L878" s="160"/>
      <c r="R878" s="159"/>
      <c r="S878" s="160"/>
      <c r="Y878" s="159"/>
      <c r="Z878" s="160"/>
      <c r="AF878" s="159"/>
      <c r="AG878" s="160"/>
      <c r="AM878" s="159"/>
      <c r="AN878" s="160"/>
    </row>
    <row r="879">
      <c r="C879" s="127"/>
      <c r="F879" s="136"/>
      <c r="K879" s="159"/>
      <c r="L879" s="160"/>
      <c r="R879" s="159"/>
      <c r="S879" s="160"/>
      <c r="Y879" s="159"/>
      <c r="Z879" s="160"/>
      <c r="AF879" s="159"/>
      <c r="AG879" s="160"/>
      <c r="AM879" s="159"/>
      <c r="AN879" s="160"/>
    </row>
    <row r="880">
      <c r="C880" s="127"/>
      <c r="F880" s="136"/>
      <c r="K880" s="159"/>
      <c r="L880" s="160"/>
      <c r="R880" s="159"/>
      <c r="S880" s="160"/>
      <c r="Y880" s="159"/>
      <c r="Z880" s="160"/>
      <c r="AF880" s="159"/>
      <c r="AG880" s="160"/>
      <c r="AM880" s="159"/>
      <c r="AN880" s="160"/>
    </row>
    <row r="881">
      <c r="C881" s="127"/>
      <c r="F881" s="136"/>
      <c r="K881" s="159"/>
      <c r="L881" s="160"/>
      <c r="R881" s="159"/>
      <c r="S881" s="160"/>
      <c r="Y881" s="159"/>
      <c r="Z881" s="160"/>
      <c r="AF881" s="159"/>
      <c r="AG881" s="160"/>
      <c r="AM881" s="159"/>
      <c r="AN881" s="160"/>
    </row>
    <row r="882">
      <c r="C882" s="127"/>
      <c r="F882" s="136"/>
      <c r="K882" s="159"/>
      <c r="L882" s="160"/>
      <c r="R882" s="159"/>
      <c r="S882" s="160"/>
      <c r="Y882" s="159"/>
      <c r="Z882" s="160"/>
      <c r="AF882" s="159"/>
      <c r="AG882" s="160"/>
      <c r="AM882" s="159"/>
      <c r="AN882" s="160"/>
    </row>
    <row r="883">
      <c r="C883" s="127"/>
      <c r="F883" s="136"/>
      <c r="K883" s="159"/>
      <c r="L883" s="160"/>
      <c r="R883" s="159"/>
      <c r="S883" s="160"/>
      <c r="Y883" s="159"/>
      <c r="Z883" s="160"/>
      <c r="AF883" s="159"/>
      <c r="AG883" s="160"/>
      <c r="AM883" s="159"/>
      <c r="AN883" s="160"/>
    </row>
    <row r="884">
      <c r="C884" s="127"/>
      <c r="F884" s="136"/>
      <c r="K884" s="159"/>
      <c r="L884" s="160"/>
      <c r="R884" s="159"/>
      <c r="S884" s="160"/>
      <c r="Y884" s="159"/>
      <c r="Z884" s="160"/>
      <c r="AF884" s="159"/>
      <c r="AG884" s="160"/>
      <c r="AM884" s="159"/>
      <c r="AN884" s="160"/>
    </row>
    <row r="885">
      <c r="C885" s="127"/>
      <c r="F885" s="136"/>
      <c r="K885" s="159"/>
      <c r="L885" s="160"/>
      <c r="R885" s="159"/>
      <c r="S885" s="160"/>
      <c r="Y885" s="159"/>
      <c r="Z885" s="160"/>
      <c r="AF885" s="159"/>
      <c r="AG885" s="160"/>
      <c r="AM885" s="159"/>
      <c r="AN885" s="160"/>
    </row>
    <row r="886">
      <c r="C886" s="127"/>
      <c r="F886" s="136"/>
      <c r="K886" s="159"/>
      <c r="L886" s="160"/>
      <c r="R886" s="159"/>
      <c r="S886" s="160"/>
      <c r="Y886" s="159"/>
      <c r="Z886" s="160"/>
      <c r="AF886" s="159"/>
      <c r="AG886" s="160"/>
      <c r="AM886" s="159"/>
      <c r="AN886" s="160"/>
    </row>
    <row r="887">
      <c r="C887" s="127"/>
      <c r="F887" s="136"/>
      <c r="K887" s="159"/>
      <c r="L887" s="160"/>
      <c r="R887" s="159"/>
      <c r="S887" s="160"/>
      <c r="Y887" s="159"/>
      <c r="Z887" s="160"/>
      <c r="AF887" s="159"/>
      <c r="AG887" s="160"/>
      <c r="AM887" s="159"/>
      <c r="AN887" s="160"/>
    </row>
    <row r="888">
      <c r="C888" s="127"/>
      <c r="F888" s="136"/>
      <c r="K888" s="159"/>
      <c r="L888" s="160"/>
      <c r="R888" s="159"/>
      <c r="S888" s="160"/>
      <c r="Y888" s="159"/>
      <c r="Z888" s="160"/>
      <c r="AF888" s="159"/>
      <c r="AG888" s="160"/>
      <c r="AM888" s="159"/>
      <c r="AN888" s="160"/>
    </row>
    <row r="889">
      <c r="C889" s="127"/>
      <c r="F889" s="136"/>
      <c r="K889" s="159"/>
      <c r="L889" s="160"/>
      <c r="R889" s="159"/>
      <c r="S889" s="160"/>
      <c r="Y889" s="159"/>
      <c r="Z889" s="160"/>
      <c r="AF889" s="159"/>
      <c r="AG889" s="160"/>
      <c r="AM889" s="159"/>
      <c r="AN889" s="160"/>
    </row>
    <row r="890">
      <c r="C890" s="127"/>
      <c r="F890" s="136"/>
      <c r="K890" s="159"/>
      <c r="L890" s="160"/>
      <c r="R890" s="159"/>
      <c r="S890" s="160"/>
      <c r="Y890" s="159"/>
      <c r="Z890" s="160"/>
      <c r="AF890" s="159"/>
      <c r="AG890" s="160"/>
      <c r="AM890" s="159"/>
      <c r="AN890" s="160"/>
    </row>
    <row r="891">
      <c r="C891" s="127"/>
      <c r="F891" s="136"/>
      <c r="K891" s="159"/>
      <c r="L891" s="160"/>
      <c r="R891" s="159"/>
      <c r="S891" s="160"/>
      <c r="Y891" s="159"/>
      <c r="Z891" s="160"/>
      <c r="AF891" s="159"/>
      <c r="AG891" s="160"/>
      <c r="AM891" s="159"/>
      <c r="AN891" s="160"/>
    </row>
    <row r="892">
      <c r="C892" s="127"/>
      <c r="F892" s="136"/>
      <c r="K892" s="159"/>
      <c r="L892" s="160"/>
      <c r="R892" s="159"/>
      <c r="S892" s="160"/>
      <c r="Y892" s="159"/>
      <c r="Z892" s="160"/>
      <c r="AF892" s="159"/>
      <c r="AG892" s="160"/>
      <c r="AM892" s="159"/>
      <c r="AN892" s="160"/>
    </row>
    <row r="893">
      <c r="C893" s="127"/>
      <c r="F893" s="136"/>
      <c r="K893" s="159"/>
      <c r="L893" s="160"/>
      <c r="R893" s="159"/>
      <c r="S893" s="160"/>
      <c r="Y893" s="159"/>
      <c r="Z893" s="160"/>
      <c r="AF893" s="159"/>
      <c r="AG893" s="160"/>
      <c r="AM893" s="159"/>
      <c r="AN893" s="160"/>
    </row>
    <row r="894">
      <c r="C894" s="127"/>
      <c r="F894" s="136"/>
      <c r="K894" s="159"/>
      <c r="L894" s="160"/>
      <c r="R894" s="159"/>
      <c r="S894" s="160"/>
      <c r="Y894" s="159"/>
      <c r="Z894" s="160"/>
      <c r="AF894" s="159"/>
      <c r="AG894" s="160"/>
      <c r="AM894" s="159"/>
      <c r="AN894" s="160"/>
    </row>
    <row r="895">
      <c r="C895" s="127"/>
      <c r="F895" s="136"/>
      <c r="K895" s="159"/>
      <c r="L895" s="160"/>
      <c r="R895" s="159"/>
      <c r="S895" s="160"/>
      <c r="Y895" s="159"/>
      <c r="Z895" s="160"/>
      <c r="AF895" s="159"/>
      <c r="AG895" s="160"/>
      <c r="AM895" s="159"/>
      <c r="AN895" s="160"/>
    </row>
    <row r="896">
      <c r="C896" s="127"/>
      <c r="F896" s="136"/>
      <c r="K896" s="159"/>
      <c r="L896" s="160"/>
      <c r="R896" s="159"/>
      <c r="S896" s="160"/>
      <c r="Y896" s="159"/>
      <c r="Z896" s="160"/>
      <c r="AF896" s="159"/>
      <c r="AG896" s="160"/>
      <c r="AM896" s="159"/>
      <c r="AN896" s="160"/>
    </row>
    <row r="897">
      <c r="C897" s="127"/>
      <c r="F897" s="136"/>
      <c r="K897" s="159"/>
      <c r="L897" s="160"/>
      <c r="R897" s="159"/>
      <c r="S897" s="160"/>
      <c r="Y897" s="159"/>
      <c r="Z897" s="160"/>
      <c r="AF897" s="159"/>
      <c r="AG897" s="160"/>
      <c r="AM897" s="159"/>
      <c r="AN897" s="160"/>
    </row>
    <row r="898">
      <c r="C898" s="127"/>
      <c r="F898" s="136"/>
      <c r="K898" s="159"/>
      <c r="L898" s="160"/>
      <c r="R898" s="159"/>
      <c r="S898" s="160"/>
      <c r="Y898" s="159"/>
      <c r="Z898" s="160"/>
      <c r="AF898" s="159"/>
      <c r="AG898" s="160"/>
      <c r="AM898" s="159"/>
      <c r="AN898" s="160"/>
    </row>
    <row r="899">
      <c r="C899" s="127"/>
      <c r="F899" s="136"/>
      <c r="K899" s="159"/>
      <c r="L899" s="160"/>
      <c r="R899" s="159"/>
      <c r="S899" s="160"/>
      <c r="Y899" s="159"/>
      <c r="Z899" s="160"/>
      <c r="AF899" s="159"/>
      <c r="AG899" s="160"/>
      <c r="AM899" s="159"/>
      <c r="AN899" s="160"/>
    </row>
    <row r="900">
      <c r="C900" s="127"/>
      <c r="F900" s="136"/>
      <c r="K900" s="159"/>
      <c r="L900" s="160"/>
      <c r="R900" s="159"/>
      <c r="S900" s="160"/>
      <c r="Y900" s="159"/>
      <c r="Z900" s="160"/>
      <c r="AF900" s="159"/>
      <c r="AG900" s="160"/>
      <c r="AM900" s="159"/>
      <c r="AN900" s="160"/>
    </row>
    <row r="901">
      <c r="C901" s="127"/>
      <c r="F901" s="136"/>
      <c r="K901" s="159"/>
      <c r="L901" s="160"/>
      <c r="R901" s="159"/>
      <c r="S901" s="160"/>
      <c r="Y901" s="159"/>
      <c r="Z901" s="160"/>
      <c r="AF901" s="159"/>
      <c r="AG901" s="160"/>
      <c r="AM901" s="159"/>
      <c r="AN901" s="160"/>
    </row>
    <row r="902">
      <c r="C902" s="127"/>
      <c r="F902" s="136"/>
      <c r="K902" s="159"/>
      <c r="L902" s="160"/>
      <c r="R902" s="159"/>
      <c r="S902" s="160"/>
      <c r="Y902" s="159"/>
      <c r="Z902" s="160"/>
      <c r="AF902" s="159"/>
      <c r="AG902" s="160"/>
      <c r="AM902" s="159"/>
      <c r="AN902" s="160"/>
    </row>
    <row r="903">
      <c r="C903" s="127"/>
      <c r="F903" s="136"/>
      <c r="K903" s="159"/>
      <c r="L903" s="160"/>
      <c r="R903" s="159"/>
      <c r="S903" s="160"/>
      <c r="Y903" s="159"/>
      <c r="Z903" s="160"/>
      <c r="AF903" s="159"/>
      <c r="AG903" s="160"/>
      <c r="AM903" s="159"/>
      <c r="AN903" s="160"/>
    </row>
    <row r="904">
      <c r="C904" s="127"/>
      <c r="F904" s="136"/>
      <c r="K904" s="159"/>
      <c r="L904" s="160"/>
      <c r="R904" s="159"/>
      <c r="S904" s="160"/>
      <c r="Y904" s="159"/>
      <c r="Z904" s="160"/>
      <c r="AF904" s="159"/>
      <c r="AG904" s="160"/>
      <c r="AM904" s="159"/>
      <c r="AN904" s="160"/>
    </row>
    <row r="905">
      <c r="C905" s="127"/>
      <c r="F905" s="136"/>
      <c r="K905" s="159"/>
      <c r="L905" s="160"/>
      <c r="R905" s="159"/>
      <c r="S905" s="160"/>
      <c r="Y905" s="159"/>
      <c r="Z905" s="160"/>
      <c r="AF905" s="159"/>
      <c r="AG905" s="160"/>
      <c r="AM905" s="159"/>
      <c r="AN905" s="160"/>
    </row>
    <row r="906">
      <c r="C906" s="127"/>
      <c r="F906" s="136"/>
      <c r="K906" s="159"/>
      <c r="L906" s="160"/>
      <c r="R906" s="159"/>
      <c r="S906" s="160"/>
      <c r="Y906" s="159"/>
      <c r="Z906" s="160"/>
      <c r="AF906" s="159"/>
      <c r="AG906" s="160"/>
      <c r="AM906" s="159"/>
      <c r="AN906" s="160"/>
    </row>
    <row r="907">
      <c r="C907" s="127"/>
      <c r="F907" s="136"/>
      <c r="K907" s="159"/>
      <c r="L907" s="160"/>
      <c r="R907" s="159"/>
      <c r="S907" s="160"/>
      <c r="Y907" s="159"/>
      <c r="Z907" s="160"/>
      <c r="AF907" s="159"/>
      <c r="AG907" s="160"/>
      <c r="AM907" s="159"/>
      <c r="AN907" s="160"/>
    </row>
    <row r="908">
      <c r="C908" s="127"/>
      <c r="F908" s="136"/>
      <c r="K908" s="159"/>
      <c r="L908" s="160"/>
      <c r="R908" s="159"/>
      <c r="S908" s="160"/>
      <c r="Y908" s="159"/>
      <c r="Z908" s="160"/>
      <c r="AF908" s="159"/>
      <c r="AG908" s="160"/>
      <c r="AM908" s="159"/>
      <c r="AN908" s="160"/>
    </row>
    <row r="909">
      <c r="C909" s="127"/>
      <c r="F909" s="136"/>
      <c r="K909" s="159"/>
      <c r="L909" s="160"/>
      <c r="R909" s="159"/>
      <c r="S909" s="160"/>
      <c r="Y909" s="159"/>
      <c r="Z909" s="160"/>
      <c r="AF909" s="159"/>
      <c r="AG909" s="160"/>
      <c r="AM909" s="159"/>
      <c r="AN909" s="160"/>
    </row>
    <row r="910">
      <c r="C910" s="127"/>
      <c r="F910" s="136"/>
      <c r="K910" s="159"/>
      <c r="L910" s="160"/>
      <c r="R910" s="159"/>
      <c r="S910" s="160"/>
      <c r="Y910" s="159"/>
      <c r="Z910" s="160"/>
      <c r="AF910" s="159"/>
      <c r="AG910" s="160"/>
      <c r="AM910" s="159"/>
      <c r="AN910" s="160"/>
    </row>
    <row r="911">
      <c r="C911" s="127"/>
      <c r="F911" s="136"/>
      <c r="K911" s="159"/>
      <c r="L911" s="160"/>
      <c r="R911" s="159"/>
      <c r="S911" s="160"/>
      <c r="Y911" s="159"/>
      <c r="Z911" s="160"/>
      <c r="AF911" s="159"/>
      <c r="AG911" s="160"/>
      <c r="AM911" s="159"/>
      <c r="AN911" s="160"/>
    </row>
    <row r="912">
      <c r="C912" s="127"/>
      <c r="F912" s="136"/>
      <c r="K912" s="159"/>
      <c r="L912" s="160"/>
      <c r="R912" s="159"/>
      <c r="S912" s="160"/>
      <c r="Y912" s="159"/>
      <c r="Z912" s="160"/>
      <c r="AF912" s="159"/>
      <c r="AG912" s="160"/>
      <c r="AM912" s="159"/>
      <c r="AN912" s="160"/>
    </row>
    <row r="913">
      <c r="C913" s="127"/>
      <c r="F913" s="136"/>
      <c r="K913" s="159"/>
      <c r="L913" s="160"/>
      <c r="R913" s="159"/>
      <c r="S913" s="160"/>
      <c r="Y913" s="159"/>
      <c r="Z913" s="160"/>
      <c r="AF913" s="159"/>
      <c r="AG913" s="160"/>
      <c r="AM913" s="159"/>
      <c r="AN913" s="160"/>
    </row>
    <row r="914">
      <c r="C914" s="127"/>
      <c r="F914" s="136"/>
      <c r="K914" s="159"/>
      <c r="L914" s="160"/>
      <c r="R914" s="159"/>
      <c r="S914" s="160"/>
      <c r="Y914" s="159"/>
      <c r="Z914" s="160"/>
      <c r="AF914" s="159"/>
      <c r="AG914" s="160"/>
      <c r="AM914" s="159"/>
      <c r="AN914" s="160"/>
    </row>
    <row r="915">
      <c r="C915" s="127"/>
      <c r="F915" s="136"/>
      <c r="K915" s="159"/>
      <c r="L915" s="160"/>
      <c r="R915" s="159"/>
      <c r="S915" s="160"/>
      <c r="Y915" s="159"/>
      <c r="Z915" s="160"/>
      <c r="AF915" s="159"/>
      <c r="AG915" s="160"/>
      <c r="AM915" s="159"/>
      <c r="AN915" s="160"/>
    </row>
    <row r="916">
      <c r="C916" s="127"/>
      <c r="F916" s="136"/>
      <c r="K916" s="159"/>
      <c r="L916" s="160"/>
      <c r="R916" s="159"/>
      <c r="S916" s="160"/>
      <c r="Y916" s="159"/>
      <c r="Z916" s="160"/>
      <c r="AF916" s="159"/>
      <c r="AG916" s="160"/>
      <c r="AM916" s="159"/>
      <c r="AN916" s="160"/>
    </row>
    <row r="917">
      <c r="C917" s="127"/>
      <c r="F917" s="136"/>
      <c r="K917" s="159"/>
      <c r="L917" s="160"/>
      <c r="R917" s="159"/>
      <c r="S917" s="160"/>
      <c r="Y917" s="159"/>
      <c r="Z917" s="160"/>
      <c r="AF917" s="159"/>
      <c r="AG917" s="160"/>
      <c r="AM917" s="159"/>
      <c r="AN917" s="160"/>
    </row>
    <row r="918">
      <c r="C918" s="127"/>
      <c r="F918" s="136"/>
      <c r="K918" s="159"/>
      <c r="L918" s="160"/>
      <c r="R918" s="159"/>
      <c r="S918" s="160"/>
      <c r="Y918" s="159"/>
      <c r="Z918" s="160"/>
      <c r="AF918" s="159"/>
      <c r="AG918" s="160"/>
      <c r="AM918" s="159"/>
      <c r="AN918" s="160"/>
    </row>
    <row r="919">
      <c r="C919" s="127"/>
      <c r="F919" s="136"/>
      <c r="K919" s="159"/>
      <c r="L919" s="160"/>
      <c r="R919" s="159"/>
      <c r="S919" s="160"/>
      <c r="Y919" s="159"/>
      <c r="Z919" s="160"/>
      <c r="AF919" s="159"/>
      <c r="AG919" s="160"/>
      <c r="AM919" s="159"/>
      <c r="AN919" s="160"/>
    </row>
    <row r="920">
      <c r="C920" s="127"/>
      <c r="F920" s="136"/>
      <c r="K920" s="159"/>
      <c r="L920" s="160"/>
      <c r="R920" s="159"/>
      <c r="S920" s="160"/>
      <c r="Y920" s="159"/>
      <c r="Z920" s="160"/>
      <c r="AF920" s="159"/>
      <c r="AG920" s="160"/>
      <c r="AM920" s="159"/>
      <c r="AN920" s="160"/>
    </row>
    <row r="921">
      <c r="C921" s="127"/>
      <c r="F921" s="136"/>
      <c r="K921" s="159"/>
      <c r="L921" s="160"/>
      <c r="R921" s="159"/>
      <c r="S921" s="160"/>
      <c r="Y921" s="159"/>
      <c r="Z921" s="160"/>
      <c r="AF921" s="159"/>
      <c r="AG921" s="160"/>
      <c r="AM921" s="159"/>
      <c r="AN921" s="160"/>
    </row>
    <row r="922">
      <c r="C922" s="127"/>
      <c r="F922" s="136"/>
      <c r="K922" s="159"/>
      <c r="L922" s="160"/>
      <c r="R922" s="159"/>
      <c r="S922" s="160"/>
      <c r="Y922" s="159"/>
      <c r="Z922" s="160"/>
      <c r="AF922" s="159"/>
      <c r="AG922" s="160"/>
      <c r="AM922" s="159"/>
      <c r="AN922" s="160"/>
    </row>
    <row r="923">
      <c r="C923" s="127"/>
      <c r="F923" s="136"/>
      <c r="K923" s="159"/>
      <c r="L923" s="160"/>
      <c r="R923" s="159"/>
      <c r="S923" s="160"/>
      <c r="Y923" s="159"/>
      <c r="Z923" s="160"/>
      <c r="AF923" s="159"/>
      <c r="AG923" s="160"/>
      <c r="AM923" s="159"/>
      <c r="AN923" s="160"/>
    </row>
    <row r="924">
      <c r="C924" s="127"/>
      <c r="F924" s="136"/>
      <c r="K924" s="159"/>
      <c r="L924" s="160"/>
      <c r="R924" s="159"/>
      <c r="S924" s="160"/>
      <c r="Y924" s="159"/>
      <c r="Z924" s="160"/>
      <c r="AF924" s="159"/>
      <c r="AG924" s="160"/>
      <c r="AM924" s="159"/>
      <c r="AN924" s="160"/>
    </row>
    <row r="925">
      <c r="C925" s="127"/>
      <c r="F925" s="136"/>
      <c r="K925" s="159"/>
      <c r="L925" s="160"/>
      <c r="R925" s="159"/>
      <c r="S925" s="160"/>
      <c r="Y925" s="159"/>
      <c r="Z925" s="160"/>
      <c r="AF925" s="159"/>
      <c r="AG925" s="160"/>
      <c r="AM925" s="159"/>
      <c r="AN925" s="160"/>
    </row>
    <row r="926">
      <c r="C926" s="127"/>
      <c r="F926" s="136"/>
      <c r="K926" s="159"/>
      <c r="L926" s="160"/>
      <c r="R926" s="159"/>
      <c r="S926" s="160"/>
      <c r="Y926" s="159"/>
      <c r="Z926" s="160"/>
      <c r="AF926" s="159"/>
      <c r="AG926" s="160"/>
      <c r="AM926" s="159"/>
      <c r="AN926" s="160"/>
    </row>
    <row r="927">
      <c r="C927" s="127"/>
      <c r="F927" s="136"/>
      <c r="K927" s="159"/>
      <c r="L927" s="160"/>
      <c r="R927" s="159"/>
      <c r="S927" s="160"/>
      <c r="Y927" s="159"/>
      <c r="Z927" s="160"/>
      <c r="AF927" s="159"/>
      <c r="AG927" s="160"/>
      <c r="AM927" s="159"/>
      <c r="AN927" s="160"/>
    </row>
    <row r="928">
      <c r="C928" s="127"/>
      <c r="F928" s="136"/>
      <c r="K928" s="159"/>
      <c r="L928" s="160"/>
      <c r="R928" s="159"/>
      <c r="S928" s="160"/>
      <c r="Y928" s="159"/>
      <c r="Z928" s="160"/>
      <c r="AF928" s="159"/>
      <c r="AG928" s="160"/>
      <c r="AM928" s="159"/>
      <c r="AN928" s="160"/>
    </row>
    <row r="929">
      <c r="C929" s="127"/>
      <c r="F929" s="136"/>
      <c r="K929" s="159"/>
      <c r="L929" s="160"/>
      <c r="R929" s="159"/>
      <c r="S929" s="160"/>
      <c r="Y929" s="159"/>
      <c r="Z929" s="160"/>
      <c r="AF929" s="159"/>
      <c r="AG929" s="160"/>
      <c r="AM929" s="159"/>
      <c r="AN929" s="160"/>
    </row>
    <row r="930">
      <c r="C930" s="127"/>
      <c r="F930" s="136"/>
      <c r="K930" s="159"/>
      <c r="L930" s="160"/>
      <c r="R930" s="159"/>
      <c r="S930" s="160"/>
      <c r="Y930" s="159"/>
      <c r="Z930" s="160"/>
      <c r="AF930" s="159"/>
      <c r="AG930" s="160"/>
      <c r="AM930" s="159"/>
      <c r="AN930" s="160"/>
    </row>
    <row r="931">
      <c r="C931" s="127"/>
      <c r="F931" s="136"/>
      <c r="K931" s="159"/>
      <c r="L931" s="160"/>
      <c r="R931" s="159"/>
      <c r="S931" s="160"/>
      <c r="Y931" s="159"/>
      <c r="Z931" s="160"/>
      <c r="AF931" s="159"/>
      <c r="AG931" s="160"/>
      <c r="AM931" s="159"/>
      <c r="AN931" s="160"/>
    </row>
    <row r="932">
      <c r="C932" s="127"/>
      <c r="F932" s="136"/>
      <c r="K932" s="159"/>
      <c r="L932" s="160"/>
      <c r="R932" s="159"/>
      <c r="S932" s="160"/>
      <c r="Y932" s="159"/>
      <c r="Z932" s="160"/>
      <c r="AF932" s="159"/>
      <c r="AG932" s="160"/>
      <c r="AM932" s="159"/>
      <c r="AN932" s="160"/>
    </row>
    <row r="933">
      <c r="C933" s="127"/>
      <c r="F933" s="136"/>
      <c r="K933" s="159"/>
      <c r="L933" s="160"/>
      <c r="R933" s="159"/>
      <c r="S933" s="160"/>
      <c r="Y933" s="159"/>
      <c r="Z933" s="160"/>
      <c r="AF933" s="159"/>
      <c r="AG933" s="160"/>
      <c r="AM933" s="159"/>
      <c r="AN933" s="160"/>
    </row>
    <row r="934">
      <c r="C934" s="127"/>
      <c r="F934" s="136"/>
      <c r="K934" s="159"/>
      <c r="L934" s="160"/>
      <c r="R934" s="159"/>
      <c r="S934" s="160"/>
      <c r="Y934" s="159"/>
      <c r="Z934" s="160"/>
      <c r="AF934" s="159"/>
      <c r="AG934" s="160"/>
      <c r="AM934" s="159"/>
      <c r="AN934" s="160"/>
    </row>
    <row r="935">
      <c r="C935" s="127"/>
      <c r="F935" s="136"/>
      <c r="K935" s="159"/>
      <c r="L935" s="160"/>
      <c r="R935" s="159"/>
      <c r="S935" s="160"/>
      <c r="Y935" s="159"/>
      <c r="Z935" s="160"/>
      <c r="AF935" s="159"/>
      <c r="AG935" s="160"/>
      <c r="AM935" s="159"/>
      <c r="AN935" s="160"/>
    </row>
    <row r="936">
      <c r="C936" s="127"/>
      <c r="F936" s="136"/>
      <c r="K936" s="159"/>
      <c r="L936" s="160"/>
      <c r="R936" s="159"/>
      <c r="S936" s="160"/>
      <c r="Y936" s="159"/>
      <c r="Z936" s="160"/>
      <c r="AF936" s="159"/>
      <c r="AG936" s="160"/>
      <c r="AM936" s="159"/>
      <c r="AN936" s="160"/>
    </row>
    <row r="937">
      <c r="C937" s="127"/>
      <c r="F937" s="136"/>
      <c r="K937" s="159"/>
      <c r="L937" s="160"/>
      <c r="R937" s="159"/>
      <c r="S937" s="160"/>
      <c r="Y937" s="159"/>
      <c r="Z937" s="160"/>
      <c r="AF937" s="159"/>
      <c r="AG937" s="160"/>
      <c r="AM937" s="159"/>
      <c r="AN937" s="160"/>
    </row>
    <row r="938">
      <c r="C938" s="127"/>
      <c r="F938" s="136"/>
      <c r="K938" s="159"/>
      <c r="L938" s="160"/>
      <c r="R938" s="159"/>
      <c r="S938" s="160"/>
      <c r="Y938" s="159"/>
      <c r="Z938" s="160"/>
      <c r="AF938" s="159"/>
      <c r="AG938" s="160"/>
      <c r="AM938" s="159"/>
      <c r="AN938" s="160"/>
    </row>
    <row r="939">
      <c r="C939" s="127"/>
      <c r="F939" s="136"/>
      <c r="K939" s="159"/>
      <c r="L939" s="160"/>
      <c r="R939" s="159"/>
      <c r="S939" s="160"/>
      <c r="Y939" s="159"/>
      <c r="Z939" s="160"/>
      <c r="AF939" s="159"/>
      <c r="AG939" s="160"/>
      <c r="AM939" s="159"/>
      <c r="AN939" s="160"/>
    </row>
    <row r="940">
      <c r="C940" s="127"/>
      <c r="F940" s="136"/>
      <c r="K940" s="159"/>
      <c r="L940" s="160"/>
      <c r="R940" s="159"/>
      <c r="S940" s="160"/>
      <c r="Y940" s="159"/>
      <c r="Z940" s="160"/>
      <c r="AF940" s="159"/>
      <c r="AG940" s="160"/>
      <c r="AM940" s="159"/>
      <c r="AN940" s="160"/>
    </row>
    <row r="941">
      <c r="C941" s="127"/>
      <c r="F941" s="136"/>
      <c r="K941" s="159"/>
      <c r="L941" s="160"/>
      <c r="R941" s="159"/>
      <c r="S941" s="160"/>
      <c r="Y941" s="159"/>
      <c r="Z941" s="160"/>
      <c r="AF941" s="159"/>
      <c r="AG941" s="160"/>
      <c r="AM941" s="159"/>
      <c r="AN941" s="160"/>
    </row>
    <row r="942">
      <c r="C942" s="127"/>
      <c r="F942" s="136"/>
      <c r="K942" s="159"/>
      <c r="L942" s="160"/>
      <c r="R942" s="159"/>
      <c r="S942" s="160"/>
      <c r="Y942" s="159"/>
      <c r="Z942" s="160"/>
      <c r="AF942" s="159"/>
      <c r="AG942" s="160"/>
      <c r="AM942" s="159"/>
      <c r="AN942" s="160"/>
    </row>
    <row r="943">
      <c r="C943" s="127"/>
      <c r="F943" s="136"/>
      <c r="K943" s="159"/>
      <c r="L943" s="160"/>
      <c r="R943" s="159"/>
      <c r="S943" s="160"/>
      <c r="Y943" s="159"/>
      <c r="Z943" s="160"/>
      <c r="AF943" s="159"/>
      <c r="AG943" s="160"/>
      <c r="AM943" s="159"/>
      <c r="AN943" s="160"/>
    </row>
    <row r="944">
      <c r="C944" s="127"/>
      <c r="F944" s="136"/>
      <c r="K944" s="159"/>
      <c r="L944" s="160"/>
      <c r="R944" s="159"/>
      <c r="S944" s="160"/>
      <c r="Y944" s="159"/>
      <c r="Z944" s="160"/>
      <c r="AF944" s="159"/>
      <c r="AG944" s="160"/>
      <c r="AM944" s="159"/>
      <c r="AN944" s="160"/>
    </row>
    <row r="945">
      <c r="C945" s="127"/>
      <c r="F945" s="136"/>
      <c r="K945" s="159"/>
      <c r="L945" s="160"/>
      <c r="R945" s="159"/>
      <c r="S945" s="160"/>
      <c r="Y945" s="159"/>
      <c r="Z945" s="160"/>
      <c r="AF945" s="159"/>
      <c r="AG945" s="160"/>
      <c r="AM945" s="159"/>
      <c r="AN945" s="160"/>
    </row>
    <row r="946">
      <c r="C946" s="127"/>
      <c r="F946" s="136"/>
      <c r="K946" s="159"/>
      <c r="L946" s="160"/>
      <c r="R946" s="159"/>
      <c r="S946" s="160"/>
      <c r="Y946" s="159"/>
      <c r="Z946" s="160"/>
      <c r="AF946" s="159"/>
      <c r="AG946" s="160"/>
      <c r="AM946" s="159"/>
      <c r="AN946" s="160"/>
    </row>
    <row r="947">
      <c r="C947" s="127"/>
      <c r="F947" s="136"/>
      <c r="K947" s="159"/>
      <c r="L947" s="160"/>
      <c r="R947" s="159"/>
      <c r="S947" s="160"/>
      <c r="Y947" s="159"/>
      <c r="Z947" s="160"/>
      <c r="AF947" s="159"/>
      <c r="AG947" s="160"/>
      <c r="AM947" s="159"/>
      <c r="AN947" s="160"/>
    </row>
    <row r="948">
      <c r="C948" s="127"/>
      <c r="F948" s="136"/>
      <c r="K948" s="159"/>
      <c r="L948" s="160"/>
      <c r="R948" s="159"/>
      <c r="S948" s="160"/>
      <c r="Y948" s="159"/>
      <c r="Z948" s="160"/>
      <c r="AF948" s="159"/>
      <c r="AG948" s="160"/>
      <c r="AM948" s="159"/>
      <c r="AN948" s="160"/>
    </row>
    <row r="949">
      <c r="C949" s="127"/>
      <c r="F949" s="136"/>
      <c r="K949" s="159"/>
      <c r="L949" s="160"/>
      <c r="R949" s="159"/>
      <c r="S949" s="160"/>
      <c r="Y949" s="159"/>
      <c r="Z949" s="160"/>
      <c r="AF949" s="159"/>
      <c r="AG949" s="160"/>
      <c r="AM949" s="159"/>
      <c r="AN949" s="160"/>
    </row>
    <row r="950">
      <c r="C950" s="127"/>
      <c r="F950" s="136"/>
      <c r="K950" s="159"/>
      <c r="L950" s="160"/>
      <c r="R950" s="159"/>
      <c r="S950" s="160"/>
      <c r="Y950" s="159"/>
      <c r="Z950" s="160"/>
      <c r="AF950" s="159"/>
      <c r="AG950" s="160"/>
      <c r="AM950" s="159"/>
      <c r="AN950" s="160"/>
    </row>
    <row r="951">
      <c r="C951" s="127"/>
      <c r="F951" s="136"/>
      <c r="K951" s="159"/>
      <c r="L951" s="160"/>
      <c r="R951" s="159"/>
      <c r="S951" s="160"/>
      <c r="Y951" s="159"/>
      <c r="Z951" s="160"/>
      <c r="AF951" s="159"/>
      <c r="AG951" s="160"/>
      <c r="AM951" s="159"/>
      <c r="AN951" s="160"/>
    </row>
    <row r="952">
      <c r="C952" s="127"/>
      <c r="F952" s="136"/>
      <c r="K952" s="159"/>
      <c r="L952" s="160"/>
      <c r="R952" s="159"/>
      <c r="S952" s="160"/>
      <c r="Y952" s="159"/>
      <c r="Z952" s="160"/>
      <c r="AF952" s="159"/>
      <c r="AG952" s="160"/>
      <c r="AM952" s="159"/>
      <c r="AN952" s="160"/>
    </row>
    <row r="953">
      <c r="C953" s="127"/>
      <c r="F953" s="136"/>
      <c r="K953" s="159"/>
      <c r="L953" s="160"/>
      <c r="R953" s="159"/>
      <c r="S953" s="160"/>
      <c r="Y953" s="159"/>
      <c r="Z953" s="160"/>
      <c r="AF953" s="159"/>
      <c r="AG953" s="160"/>
      <c r="AM953" s="159"/>
      <c r="AN953" s="160"/>
    </row>
    <row r="954">
      <c r="C954" s="127"/>
      <c r="F954" s="136"/>
      <c r="K954" s="159"/>
      <c r="L954" s="160"/>
      <c r="R954" s="159"/>
      <c r="S954" s="160"/>
      <c r="Y954" s="159"/>
      <c r="Z954" s="160"/>
      <c r="AF954" s="159"/>
      <c r="AG954" s="160"/>
      <c r="AM954" s="159"/>
      <c r="AN954" s="160"/>
    </row>
    <row r="955">
      <c r="C955" s="127"/>
      <c r="F955" s="136"/>
      <c r="K955" s="159"/>
      <c r="L955" s="160"/>
      <c r="R955" s="159"/>
      <c r="S955" s="160"/>
      <c r="Y955" s="159"/>
      <c r="Z955" s="160"/>
      <c r="AF955" s="159"/>
      <c r="AG955" s="160"/>
      <c r="AM955" s="159"/>
      <c r="AN955" s="160"/>
    </row>
    <row r="956">
      <c r="C956" s="127"/>
      <c r="F956" s="136"/>
      <c r="K956" s="159"/>
      <c r="L956" s="160"/>
      <c r="R956" s="159"/>
      <c r="S956" s="160"/>
      <c r="Y956" s="159"/>
      <c r="Z956" s="160"/>
      <c r="AF956" s="159"/>
      <c r="AG956" s="160"/>
      <c r="AM956" s="159"/>
      <c r="AN956" s="160"/>
    </row>
    <row r="957">
      <c r="C957" s="127"/>
      <c r="F957" s="136"/>
      <c r="K957" s="159"/>
      <c r="L957" s="160"/>
      <c r="R957" s="159"/>
      <c r="S957" s="160"/>
      <c r="Y957" s="159"/>
      <c r="Z957" s="160"/>
      <c r="AF957" s="159"/>
      <c r="AG957" s="160"/>
      <c r="AM957" s="159"/>
      <c r="AN957" s="160"/>
    </row>
    <row r="958">
      <c r="C958" s="127"/>
      <c r="F958" s="136"/>
      <c r="K958" s="159"/>
      <c r="L958" s="160"/>
      <c r="R958" s="159"/>
      <c r="S958" s="160"/>
      <c r="Y958" s="159"/>
      <c r="Z958" s="160"/>
      <c r="AF958" s="159"/>
      <c r="AG958" s="160"/>
      <c r="AM958" s="159"/>
      <c r="AN958" s="160"/>
    </row>
    <row r="959">
      <c r="C959" s="127"/>
      <c r="F959" s="136"/>
      <c r="K959" s="159"/>
      <c r="L959" s="160"/>
      <c r="R959" s="159"/>
      <c r="S959" s="160"/>
      <c r="Y959" s="159"/>
      <c r="Z959" s="160"/>
      <c r="AF959" s="159"/>
      <c r="AG959" s="160"/>
      <c r="AM959" s="159"/>
      <c r="AN959" s="160"/>
    </row>
    <row r="960">
      <c r="C960" s="127"/>
      <c r="F960" s="136"/>
      <c r="K960" s="159"/>
      <c r="L960" s="160"/>
      <c r="R960" s="159"/>
      <c r="S960" s="160"/>
      <c r="Y960" s="159"/>
      <c r="Z960" s="160"/>
      <c r="AF960" s="159"/>
      <c r="AG960" s="160"/>
      <c r="AM960" s="159"/>
      <c r="AN960" s="160"/>
    </row>
    <row r="961">
      <c r="C961" s="127"/>
      <c r="F961" s="136"/>
      <c r="K961" s="159"/>
      <c r="L961" s="160"/>
      <c r="R961" s="159"/>
      <c r="S961" s="160"/>
      <c r="Y961" s="159"/>
      <c r="Z961" s="160"/>
      <c r="AF961" s="159"/>
      <c r="AG961" s="160"/>
      <c r="AM961" s="159"/>
      <c r="AN961" s="160"/>
    </row>
    <row r="962">
      <c r="C962" s="127"/>
      <c r="F962" s="136"/>
      <c r="K962" s="159"/>
      <c r="L962" s="160"/>
      <c r="R962" s="159"/>
      <c r="S962" s="160"/>
      <c r="Y962" s="159"/>
      <c r="Z962" s="160"/>
      <c r="AF962" s="159"/>
      <c r="AG962" s="160"/>
      <c r="AM962" s="159"/>
      <c r="AN962" s="160"/>
    </row>
    <row r="963">
      <c r="C963" s="127"/>
      <c r="F963" s="136"/>
      <c r="K963" s="159"/>
      <c r="L963" s="160"/>
      <c r="R963" s="159"/>
      <c r="S963" s="160"/>
      <c r="Y963" s="159"/>
      <c r="Z963" s="160"/>
      <c r="AF963" s="159"/>
      <c r="AG963" s="160"/>
      <c r="AM963" s="159"/>
      <c r="AN963" s="160"/>
    </row>
    <row r="964">
      <c r="C964" s="127"/>
      <c r="F964" s="136"/>
      <c r="K964" s="159"/>
      <c r="L964" s="160"/>
      <c r="R964" s="159"/>
      <c r="S964" s="160"/>
      <c r="Y964" s="159"/>
      <c r="Z964" s="160"/>
      <c r="AF964" s="159"/>
      <c r="AG964" s="160"/>
      <c r="AM964" s="159"/>
      <c r="AN964" s="160"/>
    </row>
    <row r="965">
      <c r="C965" s="127"/>
      <c r="F965" s="136"/>
      <c r="K965" s="159"/>
      <c r="L965" s="160"/>
      <c r="R965" s="159"/>
      <c r="S965" s="160"/>
      <c r="Y965" s="159"/>
      <c r="Z965" s="160"/>
      <c r="AF965" s="159"/>
      <c r="AG965" s="160"/>
      <c r="AM965" s="159"/>
      <c r="AN965" s="160"/>
    </row>
    <row r="966">
      <c r="C966" s="127"/>
      <c r="F966" s="136"/>
      <c r="K966" s="159"/>
      <c r="L966" s="160"/>
      <c r="R966" s="159"/>
      <c r="S966" s="160"/>
      <c r="Y966" s="159"/>
      <c r="Z966" s="160"/>
      <c r="AF966" s="159"/>
      <c r="AG966" s="160"/>
      <c r="AM966" s="159"/>
      <c r="AN966" s="160"/>
    </row>
    <row r="967">
      <c r="C967" s="127"/>
      <c r="F967" s="136"/>
      <c r="K967" s="159"/>
      <c r="L967" s="160"/>
      <c r="R967" s="159"/>
      <c r="S967" s="160"/>
      <c r="Y967" s="159"/>
      <c r="Z967" s="160"/>
      <c r="AF967" s="159"/>
      <c r="AG967" s="160"/>
      <c r="AM967" s="159"/>
      <c r="AN967" s="160"/>
    </row>
    <row r="968">
      <c r="C968" s="127"/>
      <c r="F968" s="136"/>
      <c r="K968" s="159"/>
      <c r="L968" s="160"/>
      <c r="R968" s="159"/>
      <c r="S968" s="160"/>
      <c r="Y968" s="159"/>
      <c r="Z968" s="160"/>
      <c r="AF968" s="159"/>
      <c r="AG968" s="160"/>
      <c r="AM968" s="159"/>
      <c r="AN968" s="160"/>
    </row>
    <row r="969">
      <c r="C969" s="127"/>
      <c r="F969" s="136"/>
      <c r="K969" s="159"/>
      <c r="L969" s="160"/>
      <c r="R969" s="159"/>
      <c r="S969" s="160"/>
      <c r="Y969" s="159"/>
      <c r="Z969" s="160"/>
      <c r="AF969" s="159"/>
      <c r="AG969" s="160"/>
      <c r="AM969" s="159"/>
      <c r="AN969" s="160"/>
    </row>
    <row r="970">
      <c r="C970" s="127"/>
      <c r="F970" s="136"/>
      <c r="K970" s="159"/>
      <c r="L970" s="160"/>
      <c r="R970" s="159"/>
      <c r="S970" s="160"/>
      <c r="Y970" s="159"/>
      <c r="Z970" s="160"/>
      <c r="AF970" s="159"/>
      <c r="AG970" s="160"/>
      <c r="AM970" s="159"/>
      <c r="AN970" s="160"/>
    </row>
    <row r="971">
      <c r="C971" s="127"/>
      <c r="F971" s="136"/>
      <c r="K971" s="159"/>
      <c r="L971" s="160"/>
      <c r="R971" s="159"/>
      <c r="S971" s="160"/>
      <c r="Y971" s="159"/>
      <c r="Z971" s="160"/>
      <c r="AF971" s="159"/>
      <c r="AG971" s="160"/>
      <c r="AM971" s="159"/>
      <c r="AN971" s="160"/>
    </row>
    <row r="972">
      <c r="C972" s="127"/>
      <c r="F972" s="136"/>
      <c r="K972" s="159"/>
      <c r="L972" s="160"/>
      <c r="R972" s="159"/>
      <c r="S972" s="160"/>
      <c r="Y972" s="159"/>
      <c r="Z972" s="160"/>
      <c r="AF972" s="159"/>
      <c r="AG972" s="160"/>
      <c r="AM972" s="159"/>
      <c r="AN972" s="160"/>
    </row>
    <row r="973">
      <c r="C973" s="127"/>
      <c r="F973" s="136"/>
      <c r="K973" s="159"/>
      <c r="L973" s="160"/>
      <c r="R973" s="159"/>
      <c r="S973" s="160"/>
      <c r="Y973" s="159"/>
      <c r="Z973" s="160"/>
      <c r="AF973" s="159"/>
      <c r="AG973" s="160"/>
      <c r="AM973" s="159"/>
      <c r="AN973" s="160"/>
    </row>
    <row r="974">
      <c r="C974" s="127"/>
      <c r="F974" s="136"/>
      <c r="K974" s="159"/>
      <c r="L974" s="160"/>
      <c r="R974" s="159"/>
      <c r="S974" s="160"/>
      <c r="Y974" s="159"/>
      <c r="Z974" s="160"/>
      <c r="AF974" s="159"/>
      <c r="AG974" s="160"/>
      <c r="AM974" s="159"/>
      <c r="AN974" s="160"/>
    </row>
    <row r="975">
      <c r="C975" s="127"/>
      <c r="F975" s="136"/>
      <c r="K975" s="159"/>
      <c r="L975" s="160"/>
      <c r="R975" s="159"/>
      <c r="S975" s="160"/>
      <c r="Y975" s="159"/>
      <c r="Z975" s="160"/>
      <c r="AF975" s="159"/>
      <c r="AG975" s="160"/>
      <c r="AM975" s="159"/>
      <c r="AN975" s="160"/>
    </row>
    <row r="976">
      <c r="C976" s="127"/>
      <c r="F976" s="136"/>
      <c r="K976" s="159"/>
      <c r="L976" s="160"/>
      <c r="R976" s="159"/>
      <c r="S976" s="160"/>
      <c r="Y976" s="159"/>
      <c r="Z976" s="160"/>
      <c r="AF976" s="159"/>
      <c r="AG976" s="160"/>
      <c r="AM976" s="159"/>
      <c r="AN976" s="160"/>
    </row>
    <row r="977">
      <c r="C977" s="127"/>
      <c r="F977" s="136"/>
      <c r="K977" s="159"/>
      <c r="L977" s="160"/>
      <c r="R977" s="159"/>
      <c r="S977" s="160"/>
      <c r="Y977" s="159"/>
      <c r="Z977" s="160"/>
      <c r="AF977" s="159"/>
      <c r="AG977" s="160"/>
      <c r="AM977" s="159"/>
      <c r="AN977" s="160"/>
    </row>
    <row r="978">
      <c r="C978" s="127"/>
      <c r="F978" s="136"/>
      <c r="K978" s="159"/>
      <c r="L978" s="160"/>
      <c r="R978" s="159"/>
      <c r="S978" s="160"/>
      <c r="Y978" s="159"/>
      <c r="Z978" s="160"/>
      <c r="AF978" s="159"/>
      <c r="AG978" s="160"/>
      <c r="AM978" s="159"/>
      <c r="AN978" s="160"/>
    </row>
    <row r="979">
      <c r="C979" s="127"/>
      <c r="F979" s="136"/>
      <c r="K979" s="159"/>
      <c r="L979" s="160"/>
      <c r="R979" s="159"/>
      <c r="S979" s="160"/>
      <c r="Y979" s="159"/>
      <c r="Z979" s="160"/>
      <c r="AF979" s="159"/>
      <c r="AG979" s="160"/>
      <c r="AM979" s="159"/>
      <c r="AN979" s="160"/>
    </row>
    <row r="980">
      <c r="C980" s="127"/>
      <c r="F980" s="136"/>
      <c r="K980" s="159"/>
      <c r="L980" s="160"/>
      <c r="R980" s="159"/>
      <c r="S980" s="160"/>
      <c r="Y980" s="159"/>
      <c r="Z980" s="160"/>
      <c r="AF980" s="159"/>
      <c r="AG980" s="160"/>
      <c r="AM980" s="159"/>
      <c r="AN980" s="160"/>
    </row>
    <row r="981">
      <c r="C981" s="127"/>
      <c r="F981" s="136"/>
      <c r="K981" s="159"/>
      <c r="L981" s="160"/>
      <c r="R981" s="159"/>
      <c r="S981" s="160"/>
      <c r="Y981" s="159"/>
      <c r="Z981" s="160"/>
      <c r="AF981" s="159"/>
      <c r="AG981" s="160"/>
      <c r="AM981" s="159"/>
      <c r="AN981" s="160"/>
    </row>
    <row r="982">
      <c r="C982" s="127"/>
      <c r="F982" s="136"/>
      <c r="K982" s="159"/>
      <c r="L982" s="160"/>
      <c r="R982" s="159"/>
      <c r="S982" s="160"/>
      <c r="Y982" s="159"/>
      <c r="Z982" s="160"/>
      <c r="AF982" s="159"/>
      <c r="AG982" s="160"/>
      <c r="AM982" s="159"/>
      <c r="AN982" s="160"/>
    </row>
    <row r="983">
      <c r="C983" s="127"/>
      <c r="F983" s="136"/>
      <c r="K983" s="159"/>
      <c r="L983" s="160"/>
      <c r="R983" s="159"/>
      <c r="S983" s="160"/>
      <c r="Y983" s="159"/>
      <c r="Z983" s="160"/>
      <c r="AF983" s="159"/>
      <c r="AG983" s="160"/>
      <c r="AM983" s="159"/>
      <c r="AN983" s="160"/>
    </row>
    <row r="984">
      <c r="C984" s="127"/>
      <c r="F984" s="136"/>
      <c r="K984" s="159"/>
      <c r="L984" s="160"/>
      <c r="R984" s="159"/>
      <c r="S984" s="160"/>
      <c r="Y984" s="159"/>
      <c r="Z984" s="160"/>
      <c r="AF984" s="159"/>
      <c r="AG984" s="160"/>
      <c r="AM984" s="159"/>
      <c r="AN984" s="160"/>
    </row>
    <row r="985">
      <c r="C985" s="127"/>
      <c r="F985" s="136"/>
      <c r="K985" s="159"/>
      <c r="L985" s="160"/>
      <c r="R985" s="159"/>
      <c r="S985" s="160"/>
      <c r="Y985" s="159"/>
      <c r="Z985" s="160"/>
      <c r="AF985" s="159"/>
      <c r="AG985" s="160"/>
      <c r="AM985" s="159"/>
      <c r="AN985" s="160"/>
    </row>
    <row r="986">
      <c r="C986" s="127"/>
      <c r="F986" s="136"/>
      <c r="K986" s="159"/>
      <c r="L986" s="160"/>
      <c r="R986" s="159"/>
      <c r="S986" s="160"/>
      <c r="Y986" s="159"/>
      <c r="Z986" s="160"/>
      <c r="AF986" s="159"/>
      <c r="AG986" s="160"/>
      <c r="AM986" s="159"/>
      <c r="AN986" s="160"/>
    </row>
    <row r="987">
      <c r="C987" s="127"/>
      <c r="F987" s="136"/>
      <c r="K987" s="159"/>
      <c r="L987" s="160"/>
      <c r="R987" s="159"/>
      <c r="S987" s="160"/>
      <c r="Y987" s="159"/>
      <c r="Z987" s="160"/>
      <c r="AF987" s="159"/>
      <c r="AG987" s="160"/>
      <c r="AM987" s="159"/>
      <c r="AN987" s="160"/>
    </row>
    <row r="988">
      <c r="C988" s="127"/>
      <c r="F988" s="136"/>
      <c r="K988" s="159"/>
      <c r="L988" s="160"/>
      <c r="R988" s="159"/>
      <c r="S988" s="160"/>
      <c r="Y988" s="159"/>
      <c r="Z988" s="160"/>
      <c r="AF988" s="159"/>
      <c r="AG988" s="160"/>
      <c r="AM988" s="159"/>
      <c r="AN988" s="160"/>
    </row>
    <row r="989">
      <c r="C989" s="127"/>
      <c r="F989" s="136"/>
      <c r="K989" s="159"/>
      <c r="L989" s="160"/>
      <c r="R989" s="159"/>
      <c r="S989" s="160"/>
      <c r="Y989" s="159"/>
      <c r="Z989" s="160"/>
      <c r="AF989" s="159"/>
      <c r="AG989" s="160"/>
      <c r="AM989" s="159"/>
      <c r="AN989" s="160"/>
    </row>
    <row r="990">
      <c r="C990" s="127"/>
      <c r="F990" s="136"/>
      <c r="K990" s="159"/>
      <c r="L990" s="160"/>
      <c r="R990" s="159"/>
      <c r="S990" s="160"/>
      <c r="Y990" s="159"/>
      <c r="Z990" s="160"/>
      <c r="AF990" s="159"/>
      <c r="AG990" s="160"/>
      <c r="AM990" s="159"/>
      <c r="AN990" s="160"/>
    </row>
    <row r="991">
      <c r="C991" s="127"/>
      <c r="F991" s="136"/>
      <c r="K991" s="159"/>
      <c r="L991" s="160"/>
      <c r="R991" s="159"/>
      <c r="S991" s="160"/>
      <c r="Y991" s="159"/>
      <c r="Z991" s="160"/>
      <c r="AF991" s="159"/>
      <c r="AG991" s="160"/>
      <c r="AM991" s="159"/>
      <c r="AN991" s="160"/>
    </row>
    <row r="992">
      <c r="C992" s="127"/>
      <c r="F992" s="136"/>
      <c r="K992" s="159"/>
      <c r="L992" s="160"/>
      <c r="R992" s="159"/>
      <c r="S992" s="160"/>
      <c r="Y992" s="159"/>
      <c r="Z992" s="160"/>
      <c r="AF992" s="159"/>
      <c r="AG992" s="160"/>
      <c r="AM992" s="159"/>
      <c r="AN992" s="160"/>
    </row>
    <row r="993">
      <c r="C993" s="127"/>
      <c r="F993" s="136"/>
      <c r="K993" s="159"/>
      <c r="L993" s="160"/>
      <c r="R993" s="159"/>
      <c r="S993" s="160"/>
      <c r="Y993" s="159"/>
      <c r="Z993" s="160"/>
      <c r="AF993" s="159"/>
      <c r="AG993" s="160"/>
      <c r="AM993" s="159"/>
      <c r="AN993" s="160"/>
    </row>
    <row r="994">
      <c r="C994" s="127"/>
      <c r="F994" s="136"/>
      <c r="K994" s="159"/>
      <c r="L994" s="160"/>
      <c r="R994" s="159"/>
      <c r="S994" s="160"/>
      <c r="Y994" s="159"/>
      <c r="Z994" s="160"/>
      <c r="AF994" s="159"/>
      <c r="AG994" s="160"/>
      <c r="AM994" s="159"/>
      <c r="AN994" s="160"/>
    </row>
    <row r="995">
      <c r="C995" s="127"/>
      <c r="F995" s="136"/>
      <c r="K995" s="159"/>
      <c r="L995" s="160"/>
      <c r="R995" s="159"/>
      <c r="S995" s="160"/>
      <c r="Y995" s="159"/>
      <c r="Z995" s="160"/>
      <c r="AF995" s="159"/>
      <c r="AG995" s="160"/>
      <c r="AM995" s="159"/>
      <c r="AN995" s="160"/>
    </row>
    <row r="996">
      <c r="C996" s="127"/>
      <c r="F996" s="136"/>
      <c r="K996" s="159"/>
      <c r="L996" s="160"/>
      <c r="R996" s="159"/>
      <c r="S996" s="160"/>
      <c r="Y996" s="159"/>
      <c r="Z996" s="160"/>
      <c r="AF996" s="159"/>
      <c r="AG996" s="160"/>
      <c r="AM996" s="159"/>
      <c r="AN996" s="160"/>
    </row>
    <row r="997">
      <c r="C997" s="127"/>
      <c r="F997" s="136"/>
      <c r="K997" s="159"/>
      <c r="L997" s="160"/>
      <c r="R997" s="159"/>
      <c r="S997" s="160"/>
      <c r="Y997" s="159"/>
      <c r="Z997" s="160"/>
      <c r="AF997" s="159"/>
      <c r="AG997" s="160"/>
      <c r="AM997" s="159"/>
      <c r="AN997" s="160"/>
    </row>
    <row r="998">
      <c r="C998" s="127"/>
      <c r="F998" s="136"/>
      <c r="K998" s="159"/>
      <c r="L998" s="160"/>
      <c r="R998" s="159"/>
      <c r="S998" s="160"/>
      <c r="Y998" s="159"/>
      <c r="Z998" s="160"/>
      <c r="AF998" s="159"/>
      <c r="AG998" s="160"/>
      <c r="AM998" s="159"/>
      <c r="AN998" s="160"/>
    </row>
    <row r="999">
      <c r="C999" s="127"/>
      <c r="F999" s="136"/>
      <c r="K999" s="159"/>
      <c r="L999" s="160"/>
      <c r="R999" s="159"/>
      <c r="S999" s="160"/>
      <c r="Y999" s="159"/>
      <c r="Z999" s="160"/>
      <c r="AF999" s="159"/>
      <c r="AG999" s="160"/>
      <c r="AM999" s="159"/>
      <c r="AN999" s="160"/>
    </row>
    <row r="1000">
      <c r="C1000" s="127"/>
      <c r="F1000" s="136"/>
      <c r="K1000" s="159"/>
      <c r="L1000" s="160"/>
      <c r="R1000" s="159"/>
      <c r="S1000" s="160"/>
      <c r="Y1000" s="159"/>
      <c r="Z1000" s="160"/>
      <c r="AF1000" s="159"/>
      <c r="AG1000" s="160"/>
      <c r="AM1000" s="159"/>
      <c r="AN1000" s="160"/>
    </row>
    <row r="1001">
      <c r="C1001" s="127"/>
      <c r="F1001" s="136"/>
      <c r="K1001" s="159"/>
      <c r="L1001" s="160"/>
      <c r="R1001" s="159"/>
      <c r="S1001" s="160"/>
      <c r="Y1001" s="159"/>
      <c r="Z1001" s="160"/>
      <c r="AF1001" s="159"/>
      <c r="AG1001" s="160"/>
      <c r="AM1001" s="159"/>
      <c r="AN1001" s="160"/>
    </row>
    <row r="1002">
      <c r="C1002" s="127"/>
      <c r="F1002" s="136"/>
      <c r="K1002" s="159"/>
      <c r="L1002" s="160"/>
      <c r="R1002" s="159"/>
      <c r="S1002" s="160"/>
      <c r="Y1002" s="159"/>
      <c r="Z1002" s="160"/>
      <c r="AF1002" s="159"/>
      <c r="AG1002" s="160"/>
      <c r="AM1002" s="159"/>
      <c r="AN1002" s="160"/>
    </row>
    <row r="1003">
      <c r="C1003" s="127"/>
      <c r="F1003" s="136"/>
      <c r="K1003" s="159"/>
      <c r="L1003" s="160"/>
      <c r="R1003" s="159"/>
      <c r="S1003" s="160"/>
      <c r="Y1003" s="159"/>
      <c r="Z1003" s="160"/>
      <c r="AF1003" s="159"/>
      <c r="AG1003" s="160"/>
      <c r="AM1003" s="159"/>
      <c r="AN1003" s="160"/>
    </row>
    <row r="1004">
      <c r="C1004" s="127"/>
      <c r="F1004" s="136"/>
      <c r="K1004" s="159"/>
      <c r="L1004" s="160"/>
      <c r="R1004" s="159"/>
      <c r="S1004" s="160"/>
      <c r="Y1004" s="159"/>
      <c r="Z1004" s="160"/>
      <c r="AF1004" s="159"/>
      <c r="AG1004" s="160"/>
      <c r="AM1004" s="159"/>
      <c r="AN1004" s="160"/>
    </row>
    <row r="1005">
      <c r="C1005" s="127"/>
      <c r="F1005" s="136"/>
      <c r="K1005" s="159"/>
      <c r="L1005" s="160"/>
      <c r="R1005" s="159"/>
      <c r="S1005" s="160"/>
      <c r="Y1005" s="159"/>
      <c r="Z1005" s="160"/>
      <c r="AF1005" s="159"/>
      <c r="AG1005" s="160"/>
      <c r="AM1005" s="159"/>
      <c r="AN1005" s="160"/>
    </row>
    <row r="1006">
      <c r="C1006" s="127"/>
      <c r="F1006" s="136"/>
      <c r="K1006" s="159"/>
      <c r="L1006" s="160"/>
      <c r="R1006" s="159"/>
      <c r="S1006" s="160"/>
      <c r="Y1006" s="159"/>
      <c r="Z1006" s="160"/>
      <c r="AF1006" s="159"/>
      <c r="AG1006" s="160"/>
      <c r="AM1006" s="159"/>
      <c r="AN1006" s="160"/>
    </row>
    <row r="1007">
      <c r="C1007" s="127"/>
      <c r="F1007" s="136"/>
      <c r="K1007" s="159"/>
      <c r="L1007" s="160"/>
      <c r="R1007" s="159"/>
      <c r="S1007" s="160"/>
      <c r="Y1007" s="159"/>
      <c r="Z1007" s="160"/>
      <c r="AF1007" s="159"/>
      <c r="AG1007" s="160"/>
      <c r="AM1007" s="159"/>
      <c r="AN1007" s="160"/>
    </row>
    <row r="1008">
      <c r="C1008" s="127"/>
      <c r="F1008" s="136"/>
      <c r="K1008" s="159"/>
      <c r="L1008" s="160"/>
      <c r="R1008" s="159"/>
      <c r="S1008" s="160"/>
      <c r="Y1008" s="159"/>
      <c r="Z1008" s="160"/>
      <c r="AF1008" s="159"/>
      <c r="AG1008" s="160"/>
      <c r="AM1008" s="159"/>
      <c r="AN1008" s="160"/>
    </row>
    <row r="1009">
      <c r="C1009" s="127"/>
      <c r="F1009" s="136"/>
      <c r="K1009" s="159"/>
      <c r="L1009" s="160"/>
      <c r="R1009" s="159"/>
      <c r="S1009" s="160"/>
      <c r="Y1009" s="159"/>
      <c r="Z1009" s="160"/>
      <c r="AF1009" s="159"/>
      <c r="AG1009" s="160"/>
      <c r="AM1009" s="159"/>
      <c r="AN1009" s="160"/>
    </row>
    <row r="1010">
      <c r="C1010" s="127"/>
      <c r="F1010" s="136"/>
      <c r="K1010" s="159"/>
      <c r="L1010" s="160"/>
      <c r="R1010" s="159"/>
      <c r="S1010" s="160"/>
      <c r="Y1010" s="159"/>
      <c r="Z1010" s="160"/>
      <c r="AF1010" s="159"/>
      <c r="AG1010" s="160"/>
      <c r="AM1010" s="159"/>
      <c r="AN1010" s="160"/>
    </row>
    <row r="1011">
      <c r="C1011" s="127"/>
      <c r="F1011" s="136"/>
      <c r="K1011" s="159"/>
      <c r="L1011" s="160"/>
      <c r="R1011" s="159"/>
      <c r="S1011" s="160"/>
      <c r="Y1011" s="159"/>
      <c r="Z1011" s="160"/>
      <c r="AF1011" s="159"/>
      <c r="AG1011" s="160"/>
      <c r="AM1011" s="159"/>
      <c r="AN1011" s="160"/>
    </row>
    <row r="1012">
      <c r="C1012" s="127"/>
      <c r="F1012" s="148"/>
      <c r="G1012" s="149"/>
      <c r="H1012" s="149"/>
      <c r="I1012" s="149"/>
      <c r="J1012" s="149"/>
      <c r="K1012" s="159"/>
      <c r="L1012" s="160"/>
      <c r="R1012" s="159"/>
      <c r="S1012" s="160"/>
      <c r="Y1012" s="159"/>
      <c r="Z1012" s="160"/>
      <c r="AF1012" s="159"/>
      <c r="AG1012" s="160"/>
      <c r="AM1012" s="159"/>
      <c r="AN1012" s="160"/>
    </row>
  </sheetData>
  <autoFilter ref="$A$1:$AX$90"/>
  <conditionalFormatting sqref="D2:D90 F2:AS90">
    <cfRule type="cellIs" dxfId="8" priority="1" operator="equal">
      <formula>1</formula>
    </cfRule>
  </conditionalFormatting>
  <conditionalFormatting sqref="D2:D90 F2:AS90">
    <cfRule type="cellIs" dxfId="9" priority="2" operator="equal">
      <formula>0.5</formula>
    </cfRule>
  </conditionalFormatting>
  <conditionalFormatting sqref="D2:D90 F2:AS90">
    <cfRule type="cellIs" dxfId="10" priority="3" operator="equal">
      <formula>0</formula>
    </cfRule>
  </conditionalFormatting>
  <conditionalFormatting sqref="D3:D90">
    <cfRule type="cellIs" dxfId="11" priority="4" operator="lessThan">
      <formula>$AW$3</formula>
    </cfRule>
  </conditionalFormatting>
  <conditionalFormatting sqref="AU1:AU1012">
    <cfRule type="cellIs" dxfId="12" priority="5" operator="greaterThan">
      <formula>9</formula>
    </cfRule>
  </conditionalFormatting>
  <conditionalFormatting sqref="A114:I114 K114:L114 N114:BP114">
    <cfRule type="cellIs" dxfId="13" priority="6" operator="lessThan">
      <formula>53</formula>
    </cfRule>
  </conditionalFormatting>
  <conditionalFormatting sqref="G93:AS93 G100:AR100">
    <cfRule type="expression" dxfId="14" priority="7">
      <formula>G93 &lt; $D$100</formula>
    </cfRule>
  </conditionalFormatting>
  <conditionalFormatting sqref="G92:AS92">
    <cfRule type="expression" dxfId="11" priority="8">
      <formula>G92&lt;$D$92</formula>
    </cfRule>
  </conditionalFormatting>
  <conditionalFormatting sqref="G94:AS94">
    <cfRule type="cellIs" dxfId="11" priority="9" operator="lessThan">
      <formula>3</formula>
    </cfRule>
  </conditionalFormatting>
  <conditionalFormatting sqref="G95:AS95">
    <cfRule type="cellIs" dxfId="11" priority="10" operator="lessThan">
      <formula>3</formula>
    </cfRule>
  </conditionalFormatting>
  <conditionalFormatting sqref="G96:AS96">
    <cfRule type="cellIs" dxfId="11" priority="11" operator="lessThan">
      <formula>2</formula>
    </cfRule>
  </conditionalFormatting>
  <conditionalFormatting sqref="G97:AS97">
    <cfRule type="cellIs" dxfId="14" priority="12" operator="lessThan">
      <formula>1</formula>
    </cfRule>
  </conditionalFormatting>
  <conditionalFormatting sqref="G98:AS98">
    <cfRule type="cellIs" dxfId="15" priority="13" operator="lessThan">
      <formula>1</formula>
    </cfRule>
  </conditionalFormatting>
  <conditionalFormatting sqref="F1:AS1">
    <cfRule type="timePeriod" dxfId="5" priority="14" timePeriod="today"/>
  </conditionalFormatting>
  <dataValidations>
    <dataValidation type="custom" allowBlank="1" showDropDown="1" showErrorMessage="1" sqref="F1:AS1">
      <formula1>OR(NOT(ISERROR(DATEVALUE(F1))), AND(ISNUMBER(F1), LEFT(CELL("format", F1))="D"))</formula1>
    </dataValidation>
  </dataValidation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10</v>
      </c>
      <c r="C1" s="1" t="s">
        <v>11</v>
      </c>
      <c r="D1" s="1" t="s">
        <v>12</v>
      </c>
      <c r="E1" s="1" t="s">
        <v>13</v>
      </c>
      <c r="F1" s="1" t="s">
        <v>14</v>
      </c>
      <c r="G1" s="1" t="s">
        <v>15</v>
      </c>
      <c r="H1" s="1" t="s">
        <v>16</v>
      </c>
      <c r="I1" s="1" t="s">
        <v>17</v>
      </c>
      <c r="J1" s="1" t="s">
        <v>18</v>
      </c>
    </row>
    <row r="2">
      <c r="A2" s="2">
        <v>5152068.0</v>
      </c>
      <c r="B2" s="4" t="s">
        <v>20</v>
      </c>
      <c r="C2" s="6" t="s">
        <v>22</v>
      </c>
      <c r="D2" s="6" t="s">
        <v>22</v>
      </c>
      <c r="E2" s="6" t="s">
        <v>22</v>
      </c>
      <c r="F2" s="6" t="s">
        <v>22</v>
      </c>
      <c r="G2" s="6" t="s">
        <v>22</v>
      </c>
      <c r="H2" s="6" t="s">
        <v>22</v>
      </c>
      <c r="I2" s="6" t="s">
        <v>22</v>
      </c>
      <c r="J2" s="6" t="s">
        <v>22</v>
      </c>
    </row>
    <row r="3">
      <c r="A3" s="2">
        <v>5757009.0</v>
      </c>
      <c r="B3" s="9" t="s">
        <v>23</v>
      </c>
      <c r="C3" s="9" t="s">
        <v>23</v>
      </c>
      <c r="D3" s="9" t="s">
        <v>23</v>
      </c>
      <c r="E3" s="4" t="s">
        <v>20</v>
      </c>
      <c r="F3" s="6" t="s">
        <v>22</v>
      </c>
      <c r="G3" s="6" t="s">
        <v>22</v>
      </c>
      <c r="H3" s="6" t="s">
        <v>22</v>
      </c>
      <c r="I3" s="6" t="s">
        <v>22</v>
      </c>
      <c r="J3" s="6" t="s">
        <v>22</v>
      </c>
    </row>
    <row r="4">
      <c r="A4" s="2">
        <v>7444240.0</v>
      </c>
      <c r="B4" s="6" t="s">
        <v>22</v>
      </c>
      <c r="C4" s="6" t="s">
        <v>22</v>
      </c>
      <c r="D4" s="6" t="s">
        <v>22</v>
      </c>
      <c r="E4" s="6" t="s">
        <v>22</v>
      </c>
      <c r="F4" s="6" t="s">
        <v>22</v>
      </c>
      <c r="G4" s="6" t="s">
        <v>22</v>
      </c>
      <c r="H4" s="6" t="s">
        <v>22</v>
      </c>
      <c r="I4" s="6" t="s">
        <v>22</v>
      </c>
      <c r="J4" s="6" t="s">
        <v>22</v>
      </c>
    </row>
    <row r="5">
      <c r="A5" s="2">
        <v>5896011.0</v>
      </c>
      <c r="B5" s="6" t="s">
        <v>22</v>
      </c>
      <c r="C5" s="6" t="s">
        <v>22</v>
      </c>
      <c r="D5" s="6" t="s">
        <v>22</v>
      </c>
      <c r="E5" s="6" t="s">
        <v>22</v>
      </c>
      <c r="F5" s="6" t="s">
        <v>22</v>
      </c>
      <c r="G5" s="6" t="s">
        <v>22</v>
      </c>
      <c r="H5" s="6" t="s">
        <v>22</v>
      </c>
      <c r="I5" s="4" t="s">
        <v>20</v>
      </c>
      <c r="J5" s="9" t="s">
        <v>23</v>
      </c>
    </row>
    <row r="6">
      <c r="A6" s="2">
        <v>4388611.0</v>
      </c>
      <c r="B6" s="9" t="s">
        <v>23</v>
      </c>
      <c r="C6" s="9" t="s">
        <v>23</v>
      </c>
      <c r="D6" s="9" t="s">
        <v>23</v>
      </c>
      <c r="E6" s="4" t="s">
        <v>20</v>
      </c>
      <c r="F6" s="6" t="s">
        <v>22</v>
      </c>
      <c r="G6" s="6" t="s">
        <v>22</v>
      </c>
      <c r="H6" s="6" t="s">
        <v>22</v>
      </c>
      <c r="I6" s="6" t="s">
        <v>22</v>
      </c>
      <c r="J6" s="6" t="s">
        <v>22</v>
      </c>
    </row>
    <row r="7">
      <c r="A7" s="2">
        <v>5372450.0</v>
      </c>
      <c r="B7" s="6" t="s">
        <v>22</v>
      </c>
      <c r="C7" s="4" t="s">
        <v>20</v>
      </c>
      <c r="D7" s="9" t="s">
        <v>23</v>
      </c>
      <c r="E7" s="9" t="s">
        <v>23</v>
      </c>
      <c r="F7" s="9" t="s">
        <v>23</v>
      </c>
      <c r="G7" s="9" t="s">
        <v>23</v>
      </c>
      <c r="H7" s="9" t="s">
        <v>23</v>
      </c>
      <c r="I7" s="9" t="s">
        <v>23</v>
      </c>
      <c r="J7" s="9" t="s">
        <v>23</v>
      </c>
    </row>
    <row r="8">
      <c r="A8" s="2">
        <v>7301390.0</v>
      </c>
      <c r="B8" s="6" t="s">
        <v>22</v>
      </c>
      <c r="C8" s="6" t="s">
        <v>22</v>
      </c>
      <c r="D8" s="6" t="s">
        <v>22</v>
      </c>
      <c r="E8" s="6" t="s">
        <v>22</v>
      </c>
      <c r="F8" s="6" t="s">
        <v>22</v>
      </c>
      <c r="G8" s="6" t="s">
        <v>22</v>
      </c>
      <c r="H8" s="6" t="s">
        <v>22</v>
      </c>
      <c r="I8" s="6" t="s">
        <v>22</v>
      </c>
      <c r="J8" s="6" t="s">
        <v>22</v>
      </c>
    </row>
    <row r="9">
      <c r="A9" s="2">
        <v>8125678.0</v>
      </c>
      <c r="B9" s="6" t="s">
        <v>22</v>
      </c>
      <c r="C9" s="4" t="s">
        <v>20</v>
      </c>
      <c r="D9" s="9" t="s">
        <v>23</v>
      </c>
      <c r="E9" s="9" t="s">
        <v>23</v>
      </c>
      <c r="F9" s="9" t="s">
        <v>23</v>
      </c>
      <c r="G9" s="9" t="s">
        <v>23</v>
      </c>
      <c r="H9" s="9" t="s">
        <v>23</v>
      </c>
      <c r="I9" s="9" t="s">
        <v>23</v>
      </c>
      <c r="J9" s="9" t="s">
        <v>23</v>
      </c>
    </row>
    <row r="10">
      <c r="A10" s="2">
        <v>6068607.0</v>
      </c>
      <c r="B10" s="4" t="s">
        <v>20</v>
      </c>
      <c r="C10" s="6" t="s">
        <v>22</v>
      </c>
      <c r="D10" s="6" t="s">
        <v>22</v>
      </c>
      <c r="E10" s="9" t="s">
        <v>23</v>
      </c>
      <c r="F10" s="9" t="s">
        <v>23</v>
      </c>
      <c r="G10" s="9" t="s">
        <v>23</v>
      </c>
      <c r="H10" s="9" t="s">
        <v>23</v>
      </c>
      <c r="I10" s="9" t="s">
        <v>23</v>
      </c>
      <c r="J10" s="9" t="s">
        <v>23</v>
      </c>
    </row>
    <row r="11">
      <c r="A11" s="2">
        <v>4634057.0</v>
      </c>
      <c r="B11" s="6" t="s">
        <v>22</v>
      </c>
      <c r="C11" s="6" t="s">
        <v>22</v>
      </c>
      <c r="D11" s="6" t="s">
        <v>22</v>
      </c>
      <c r="E11" s="6" t="s">
        <v>22</v>
      </c>
      <c r="F11" s="6" t="s">
        <v>22</v>
      </c>
      <c r="G11" s="6" t="s">
        <v>22</v>
      </c>
      <c r="H11" s="6" t="s">
        <v>22</v>
      </c>
      <c r="I11" s="6" t="s">
        <v>22</v>
      </c>
      <c r="J11" s="6" t="s">
        <v>22</v>
      </c>
    </row>
    <row r="12">
      <c r="A12" s="2">
        <v>5103212.0</v>
      </c>
      <c r="B12" s="6" t="s">
        <v>22</v>
      </c>
      <c r="C12" s="6" t="s">
        <v>22</v>
      </c>
      <c r="D12" s="6" t="s">
        <v>22</v>
      </c>
      <c r="E12" s="6" t="s">
        <v>22</v>
      </c>
      <c r="F12" s="6" t="s">
        <v>22</v>
      </c>
      <c r="G12" s="6" t="s">
        <v>22</v>
      </c>
      <c r="H12" s="6" t="s">
        <v>22</v>
      </c>
      <c r="I12" s="6" t="s">
        <v>22</v>
      </c>
      <c r="J12" s="6" t="s">
        <v>22</v>
      </c>
    </row>
    <row r="13">
      <c r="A13" s="2">
        <v>5211617.0</v>
      </c>
      <c r="B13" s="4" t="s">
        <v>20</v>
      </c>
      <c r="C13" s="6" t="s">
        <v>22</v>
      </c>
      <c r="D13" s="6" t="s">
        <v>22</v>
      </c>
      <c r="E13" s="6" t="s">
        <v>22</v>
      </c>
      <c r="F13" s="6" t="s">
        <v>22</v>
      </c>
      <c r="G13" s="6" t="s">
        <v>22</v>
      </c>
      <c r="H13" s="6" t="s">
        <v>22</v>
      </c>
      <c r="I13" s="6" t="s">
        <v>22</v>
      </c>
      <c r="J13" s="6" t="s">
        <v>22</v>
      </c>
    </row>
    <row r="14">
      <c r="A14" s="2">
        <v>5112996.0</v>
      </c>
      <c r="B14" s="6" t="s">
        <v>22</v>
      </c>
      <c r="C14" s="4" t="s">
        <v>20</v>
      </c>
      <c r="D14" s="9" t="s">
        <v>23</v>
      </c>
      <c r="E14" s="4" t="s">
        <v>20</v>
      </c>
      <c r="F14" s="4" t="s">
        <v>20</v>
      </c>
      <c r="G14" s="4" t="s">
        <v>20</v>
      </c>
      <c r="H14" s="6" t="s">
        <v>22</v>
      </c>
      <c r="I14" s="6" t="s">
        <v>22</v>
      </c>
      <c r="J14" s="6" t="s">
        <v>22</v>
      </c>
    </row>
    <row r="15">
      <c r="A15" s="2">
        <v>6153853.0</v>
      </c>
      <c r="B15" s="6" t="s">
        <v>22</v>
      </c>
      <c r="C15" s="6" t="s">
        <v>22</v>
      </c>
      <c r="D15" s="6" t="s">
        <v>22</v>
      </c>
      <c r="E15" s="6" t="s">
        <v>22</v>
      </c>
      <c r="F15" s="4" t="s">
        <v>20</v>
      </c>
      <c r="G15" s="9" t="s">
        <v>23</v>
      </c>
      <c r="H15" s="9" t="s">
        <v>23</v>
      </c>
      <c r="I15" s="9" t="s">
        <v>23</v>
      </c>
      <c r="J15" s="9" t="s">
        <v>23</v>
      </c>
    </row>
    <row r="16">
      <c r="A16" s="2">
        <v>6381240.0</v>
      </c>
      <c r="B16" s="6" t="s">
        <v>22</v>
      </c>
      <c r="C16" s="6" t="s">
        <v>22</v>
      </c>
      <c r="D16" s="6" t="s">
        <v>22</v>
      </c>
      <c r="E16" s="6" t="s">
        <v>22</v>
      </c>
      <c r="F16" s="6" t="s">
        <v>22</v>
      </c>
      <c r="G16" s="6" t="s">
        <v>22</v>
      </c>
      <c r="H16" s="6" t="s">
        <v>22</v>
      </c>
      <c r="I16" s="6" t="s">
        <v>22</v>
      </c>
      <c r="J16" s="6" t="s">
        <v>22</v>
      </c>
    </row>
    <row r="17">
      <c r="A17" s="2">
        <v>4687808.0</v>
      </c>
      <c r="B17" s="6" t="s">
        <v>22</v>
      </c>
      <c r="C17" s="6" t="s">
        <v>22</v>
      </c>
      <c r="D17" s="6" t="s">
        <v>22</v>
      </c>
      <c r="E17" s="6" t="s">
        <v>22</v>
      </c>
      <c r="F17" s="6" t="s">
        <v>22</v>
      </c>
      <c r="G17" s="6" t="s">
        <v>22</v>
      </c>
      <c r="H17" s="6" t="s">
        <v>22</v>
      </c>
      <c r="I17" s="6" t="s">
        <v>22</v>
      </c>
      <c r="J17" s="6" t="s">
        <v>22</v>
      </c>
    </row>
    <row r="18">
      <c r="A18" s="2">
        <v>5999668.0</v>
      </c>
      <c r="B18" s="4" t="s">
        <v>20</v>
      </c>
      <c r="C18" s="6" t="s">
        <v>22</v>
      </c>
      <c r="D18" s="6" t="s">
        <v>22</v>
      </c>
      <c r="E18" s="6" t="s">
        <v>22</v>
      </c>
      <c r="F18" s="6" t="s">
        <v>22</v>
      </c>
      <c r="G18" s="6" t="s">
        <v>22</v>
      </c>
      <c r="H18" s="6" t="s">
        <v>22</v>
      </c>
      <c r="I18" s="6" t="s">
        <v>22</v>
      </c>
      <c r="J18" s="6" t="s">
        <v>22</v>
      </c>
    </row>
    <row r="19">
      <c r="A19" s="2">
        <v>8655973.0</v>
      </c>
      <c r="B19" s="6" t="s">
        <v>22</v>
      </c>
      <c r="C19" s="6" t="s">
        <v>22</v>
      </c>
      <c r="D19" s="6" t="s">
        <v>22</v>
      </c>
      <c r="E19" s="6" t="s">
        <v>22</v>
      </c>
      <c r="F19" s="6" t="s">
        <v>22</v>
      </c>
      <c r="G19" s="6" t="s">
        <v>22</v>
      </c>
      <c r="H19" s="6" t="s">
        <v>22</v>
      </c>
      <c r="I19" s="6" t="s">
        <v>22</v>
      </c>
      <c r="J19" s="6" t="s">
        <v>22</v>
      </c>
    </row>
    <row r="20">
      <c r="A20" s="2">
        <v>4319295.0</v>
      </c>
      <c r="B20" s="6" t="s">
        <v>22</v>
      </c>
      <c r="C20" s="6" t="s">
        <v>22</v>
      </c>
      <c r="D20" s="6" t="s">
        <v>22</v>
      </c>
      <c r="E20" s="6" t="s">
        <v>22</v>
      </c>
      <c r="F20" s="6" t="s">
        <v>22</v>
      </c>
      <c r="G20" s="6" t="s">
        <v>22</v>
      </c>
      <c r="H20" s="6" t="s">
        <v>22</v>
      </c>
      <c r="I20" s="6" t="s">
        <v>22</v>
      </c>
      <c r="J20" s="6" t="s">
        <v>22</v>
      </c>
    </row>
    <row r="21">
      <c r="A21" s="2">
        <v>7024334.0</v>
      </c>
      <c r="B21" s="9" t="s">
        <v>23</v>
      </c>
      <c r="C21" s="9" t="s">
        <v>23</v>
      </c>
      <c r="D21" s="9" t="s">
        <v>23</v>
      </c>
      <c r="E21" s="9" t="s">
        <v>23</v>
      </c>
      <c r="F21" s="9" t="s">
        <v>23</v>
      </c>
      <c r="G21" s="9" t="s">
        <v>23</v>
      </c>
      <c r="H21" s="9" t="s">
        <v>23</v>
      </c>
      <c r="I21" s="9" t="s">
        <v>23</v>
      </c>
      <c r="J21" s="9" t="s">
        <v>23</v>
      </c>
    </row>
    <row r="22">
      <c r="A22" s="2">
        <v>5126913.0</v>
      </c>
      <c r="B22" s="9" t="s">
        <v>23</v>
      </c>
      <c r="C22" s="9" t="s">
        <v>23</v>
      </c>
      <c r="D22" s="9" t="s">
        <v>23</v>
      </c>
      <c r="E22" s="4" t="s">
        <v>20</v>
      </c>
      <c r="F22" s="6" t="s">
        <v>22</v>
      </c>
      <c r="G22" s="6" t="s">
        <v>22</v>
      </c>
      <c r="H22" s="6" t="s">
        <v>22</v>
      </c>
      <c r="I22" s="6" t="s">
        <v>22</v>
      </c>
      <c r="J22" s="6" t="s">
        <v>22</v>
      </c>
    </row>
    <row r="23">
      <c r="A23" s="2">
        <v>5821173.0</v>
      </c>
      <c r="B23" s="6" t="s">
        <v>22</v>
      </c>
      <c r="C23" s="6" t="s">
        <v>22</v>
      </c>
      <c r="D23" s="6" t="s">
        <v>22</v>
      </c>
      <c r="E23" s="6" t="s">
        <v>22</v>
      </c>
      <c r="F23" s="6" t="s">
        <v>22</v>
      </c>
      <c r="G23" s="6" t="s">
        <v>22</v>
      </c>
      <c r="H23" s="6" t="s">
        <v>22</v>
      </c>
      <c r="I23" s="6" t="s">
        <v>22</v>
      </c>
      <c r="J23" s="6" t="s">
        <v>22</v>
      </c>
    </row>
    <row r="24">
      <c r="A24" s="2">
        <v>6392386.0</v>
      </c>
      <c r="B24" s="6" t="s">
        <v>22</v>
      </c>
      <c r="C24" s="6" t="s">
        <v>22</v>
      </c>
      <c r="D24" s="6" t="s">
        <v>22</v>
      </c>
      <c r="E24" s="6" t="s">
        <v>22</v>
      </c>
      <c r="F24" s="6" t="s">
        <v>22</v>
      </c>
      <c r="G24" s="6" t="s">
        <v>22</v>
      </c>
      <c r="H24" s="6" t="s">
        <v>22</v>
      </c>
      <c r="I24" s="6" t="s">
        <v>22</v>
      </c>
      <c r="J24" s="6" t="s">
        <v>22</v>
      </c>
    </row>
    <row r="25">
      <c r="A25" s="2">
        <v>6977337.0</v>
      </c>
      <c r="B25" s="6" t="s">
        <v>22</v>
      </c>
      <c r="C25" s="6" t="s">
        <v>22</v>
      </c>
      <c r="D25" s="6" t="s">
        <v>22</v>
      </c>
      <c r="E25" s="6" t="s">
        <v>22</v>
      </c>
      <c r="F25" s="6" t="s">
        <v>22</v>
      </c>
      <c r="G25" s="6" t="s">
        <v>22</v>
      </c>
      <c r="H25" s="6" t="s">
        <v>22</v>
      </c>
      <c r="I25" s="6" t="s">
        <v>22</v>
      </c>
      <c r="J25" s="6" t="s">
        <v>22</v>
      </c>
    </row>
    <row r="26">
      <c r="A26" s="2">
        <v>7236705.0</v>
      </c>
      <c r="B26" s="6" t="s">
        <v>22</v>
      </c>
      <c r="C26" s="4" t="s">
        <v>20</v>
      </c>
      <c r="D26" s="9" t="s">
        <v>23</v>
      </c>
      <c r="E26" s="9" t="s">
        <v>23</v>
      </c>
      <c r="F26" s="9" t="s">
        <v>23</v>
      </c>
      <c r="G26" s="9" t="s">
        <v>23</v>
      </c>
      <c r="H26" s="4" t="s">
        <v>20</v>
      </c>
      <c r="I26" s="6" t="s">
        <v>22</v>
      </c>
      <c r="J26" s="6" t="s">
        <v>22</v>
      </c>
    </row>
    <row r="27">
      <c r="A27" s="2">
        <v>5785566.0</v>
      </c>
      <c r="B27" s="6" t="s">
        <v>22</v>
      </c>
      <c r="C27" s="6" t="s">
        <v>22</v>
      </c>
      <c r="D27" s="6" t="s">
        <v>22</v>
      </c>
      <c r="E27" s="6" t="s">
        <v>22</v>
      </c>
      <c r="F27" s="6" t="s">
        <v>22</v>
      </c>
      <c r="G27" s="6" t="s">
        <v>22</v>
      </c>
      <c r="H27" s="6" t="s">
        <v>22</v>
      </c>
      <c r="I27" s="6" t="s">
        <v>22</v>
      </c>
      <c r="J27" s="6" t="s">
        <v>22</v>
      </c>
    </row>
    <row r="28">
      <c r="A28" s="2">
        <v>3782633.0</v>
      </c>
      <c r="B28" s="9" t="s">
        <v>23</v>
      </c>
      <c r="C28" s="9" t="s">
        <v>23</v>
      </c>
      <c r="D28" s="9" t="s">
        <v>23</v>
      </c>
      <c r="E28" s="4" t="s">
        <v>20</v>
      </c>
      <c r="F28" s="6" t="s">
        <v>22</v>
      </c>
      <c r="G28" s="6" t="s">
        <v>22</v>
      </c>
      <c r="H28" s="6" t="s">
        <v>22</v>
      </c>
      <c r="I28" s="6" t="s">
        <v>22</v>
      </c>
      <c r="J28" s="6" t="s">
        <v>22</v>
      </c>
    </row>
    <row r="29">
      <c r="A29" s="2">
        <v>5895057.0</v>
      </c>
      <c r="B29" s="4" t="s">
        <v>20</v>
      </c>
      <c r="C29" s="6" t="s">
        <v>22</v>
      </c>
      <c r="D29" s="6" t="s">
        <v>22</v>
      </c>
      <c r="E29" s="6" t="s">
        <v>22</v>
      </c>
      <c r="F29" s="6" t="s">
        <v>22</v>
      </c>
      <c r="G29" s="6" t="s">
        <v>22</v>
      </c>
      <c r="H29" s="6" t="s">
        <v>22</v>
      </c>
      <c r="I29" s="6" t="s">
        <v>22</v>
      </c>
      <c r="J29" s="6" t="s">
        <v>22</v>
      </c>
    </row>
    <row r="30">
      <c r="A30" s="2">
        <v>5821097.0</v>
      </c>
      <c r="B30" s="6" t="s">
        <v>22</v>
      </c>
      <c r="C30" s="6" t="s">
        <v>22</v>
      </c>
      <c r="D30" s="6" t="s">
        <v>22</v>
      </c>
      <c r="E30" s="6" t="s">
        <v>22</v>
      </c>
      <c r="F30" s="6" t="s">
        <v>22</v>
      </c>
      <c r="G30" s="6" t="s">
        <v>22</v>
      </c>
      <c r="H30" s="6" t="s">
        <v>22</v>
      </c>
      <c r="I30" s="4" t="s">
        <v>20</v>
      </c>
      <c r="J30" s="9" t="s">
        <v>23</v>
      </c>
    </row>
    <row r="31">
      <c r="A31" s="2">
        <v>8140590.0</v>
      </c>
      <c r="B31" s="6" t="s">
        <v>22</v>
      </c>
      <c r="C31" s="6" t="s">
        <v>22</v>
      </c>
      <c r="D31" s="6" t="s">
        <v>22</v>
      </c>
      <c r="E31" s="6" t="s">
        <v>22</v>
      </c>
      <c r="F31" s="6" t="s">
        <v>22</v>
      </c>
      <c r="G31" s="6" t="s">
        <v>22</v>
      </c>
      <c r="H31" s="6" t="s">
        <v>22</v>
      </c>
      <c r="I31" s="4" t="s">
        <v>20</v>
      </c>
      <c r="J31" s="9" t="s">
        <v>23</v>
      </c>
    </row>
    <row r="32">
      <c r="A32" s="2">
        <v>7023922.0</v>
      </c>
      <c r="B32" s="4" t="s">
        <v>20</v>
      </c>
      <c r="C32" s="6" t="s">
        <v>22</v>
      </c>
      <c r="D32" s="6" t="s">
        <v>22</v>
      </c>
      <c r="E32" s="6" t="s">
        <v>22</v>
      </c>
      <c r="F32" s="6" t="s">
        <v>22</v>
      </c>
      <c r="G32" s="6" t="s">
        <v>22</v>
      </c>
      <c r="H32" s="6" t="s">
        <v>22</v>
      </c>
      <c r="I32" s="4" t="s">
        <v>20</v>
      </c>
      <c r="J32" s="9" t="s">
        <v>23</v>
      </c>
    </row>
    <row r="33">
      <c r="A33" s="2">
        <v>6977049.0</v>
      </c>
      <c r="B33" s="6" t="s">
        <v>22</v>
      </c>
      <c r="C33" s="6" t="s">
        <v>22</v>
      </c>
      <c r="D33" s="6" t="s">
        <v>22</v>
      </c>
      <c r="E33" s="6" t="s">
        <v>22</v>
      </c>
      <c r="F33" s="6" t="s">
        <v>22</v>
      </c>
      <c r="G33" s="6" t="s">
        <v>22</v>
      </c>
      <c r="H33" s="6" t="s">
        <v>22</v>
      </c>
      <c r="I33" s="4" t="s">
        <v>20</v>
      </c>
      <c r="J33" s="9" t="s">
        <v>23</v>
      </c>
    </row>
    <row r="34">
      <c r="A34" s="2">
        <v>8202000.0</v>
      </c>
      <c r="B34" s="6" t="s">
        <v>22</v>
      </c>
      <c r="C34" s="6" t="s">
        <v>22</v>
      </c>
      <c r="D34" s="6" t="s">
        <v>22</v>
      </c>
      <c r="E34" s="6" t="s">
        <v>22</v>
      </c>
      <c r="F34" s="6" t="s">
        <v>22</v>
      </c>
      <c r="G34" s="6" t="s">
        <v>22</v>
      </c>
      <c r="H34" s="6" t="s">
        <v>22</v>
      </c>
      <c r="I34" s="6" t="s">
        <v>22</v>
      </c>
      <c r="J34" s="6" t="s">
        <v>22</v>
      </c>
    </row>
    <row r="35">
      <c r="A35" s="2">
        <v>5053743.0</v>
      </c>
      <c r="B35" s="6" t="s">
        <v>22</v>
      </c>
      <c r="C35" s="6" t="s">
        <v>22</v>
      </c>
      <c r="D35" s="6" t="s">
        <v>22</v>
      </c>
      <c r="E35" s="6" t="s">
        <v>22</v>
      </c>
      <c r="F35" s="4" t="s">
        <v>20</v>
      </c>
      <c r="G35" s="9" t="s">
        <v>23</v>
      </c>
      <c r="H35" s="4" t="s">
        <v>20</v>
      </c>
      <c r="I35" s="4" t="s">
        <v>20</v>
      </c>
      <c r="J35" s="4" t="s">
        <v>20</v>
      </c>
    </row>
    <row r="36">
      <c r="A36" s="2">
        <v>7144025.0</v>
      </c>
      <c r="B36" s="6" t="s">
        <v>22</v>
      </c>
      <c r="C36" s="6" t="s">
        <v>22</v>
      </c>
      <c r="D36" s="6" t="s">
        <v>22</v>
      </c>
      <c r="E36" s="6" t="s">
        <v>22</v>
      </c>
      <c r="F36" s="4" t="s">
        <v>20</v>
      </c>
      <c r="G36" s="9" t="s">
        <v>23</v>
      </c>
      <c r="H36" s="9" t="s">
        <v>23</v>
      </c>
      <c r="I36" s="9" t="s">
        <v>23</v>
      </c>
      <c r="J36" s="9" t="s">
        <v>23</v>
      </c>
    </row>
    <row r="37">
      <c r="A37" s="2">
        <v>7081804.0</v>
      </c>
      <c r="B37" s="4" t="s">
        <v>20</v>
      </c>
      <c r="C37" s="6" t="s">
        <v>22</v>
      </c>
      <c r="D37" s="6" t="s">
        <v>22</v>
      </c>
      <c r="E37" s="6" t="s">
        <v>22</v>
      </c>
      <c r="F37" s="6" t="s">
        <v>22</v>
      </c>
      <c r="G37" s="6" t="s">
        <v>22</v>
      </c>
      <c r="H37" s="6" t="s">
        <v>22</v>
      </c>
      <c r="I37" s="6" t="s">
        <v>22</v>
      </c>
      <c r="J37" s="6" t="s">
        <v>22</v>
      </c>
    </row>
    <row r="38">
      <c r="A38" s="2">
        <v>8115729.0</v>
      </c>
      <c r="B38" s="9" t="s">
        <v>23</v>
      </c>
      <c r="C38" s="9" t="s">
        <v>23</v>
      </c>
      <c r="D38" s="9" t="s">
        <v>23</v>
      </c>
      <c r="E38" s="4" t="s">
        <v>20</v>
      </c>
      <c r="F38" s="6" t="s">
        <v>22</v>
      </c>
      <c r="G38" s="6" t="s">
        <v>22</v>
      </c>
      <c r="H38" s="6" t="s">
        <v>22</v>
      </c>
      <c r="I38" s="6" t="s">
        <v>22</v>
      </c>
      <c r="J38" s="6" t="s">
        <v>22</v>
      </c>
    </row>
    <row r="39">
      <c r="A39" s="2">
        <v>5146385.0</v>
      </c>
      <c r="B39" s="6" t="s">
        <v>22</v>
      </c>
      <c r="C39" s="6" t="s">
        <v>22</v>
      </c>
      <c r="D39" s="6" t="s">
        <v>22</v>
      </c>
      <c r="E39" s="6" t="s">
        <v>22</v>
      </c>
      <c r="F39" s="6" t="s">
        <v>22</v>
      </c>
      <c r="G39" s="6" t="s">
        <v>22</v>
      </c>
      <c r="H39" s="6" t="s">
        <v>22</v>
      </c>
      <c r="I39" s="6" t="s">
        <v>22</v>
      </c>
      <c r="J39" s="6" t="s">
        <v>22</v>
      </c>
    </row>
    <row r="40">
      <c r="A40" s="2">
        <v>8357953.0</v>
      </c>
      <c r="B40" s="6" t="s">
        <v>22</v>
      </c>
      <c r="C40" s="6" t="s">
        <v>22</v>
      </c>
      <c r="D40" s="6" t="s">
        <v>22</v>
      </c>
      <c r="E40" s="6" t="s">
        <v>22</v>
      </c>
      <c r="F40" s="4" t="s">
        <v>20</v>
      </c>
      <c r="G40" s="9" t="s">
        <v>23</v>
      </c>
      <c r="H40" s="9" t="s">
        <v>23</v>
      </c>
      <c r="I40" s="9" t="s">
        <v>23</v>
      </c>
      <c r="J40" s="9" t="s">
        <v>23</v>
      </c>
    </row>
    <row r="41">
      <c r="A41" s="2">
        <v>7157051.0</v>
      </c>
      <c r="B41" s="4" t="s">
        <v>20</v>
      </c>
      <c r="C41" s="6" t="s">
        <v>22</v>
      </c>
      <c r="D41" s="6" t="s">
        <v>22</v>
      </c>
      <c r="E41" s="6" t="s">
        <v>22</v>
      </c>
      <c r="F41" s="6" t="s">
        <v>22</v>
      </c>
      <c r="G41" s="6" t="s">
        <v>22</v>
      </c>
      <c r="H41" s="6" t="s">
        <v>22</v>
      </c>
      <c r="I41" s="6" t="s">
        <v>22</v>
      </c>
      <c r="J41" s="6" t="s">
        <v>22</v>
      </c>
    </row>
    <row r="42">
      <c r="A42" s="2">
        <v>4383619.0</v>
      </c>
      <c r="B42" s="6" t="s">
        <v>22</v>
      </c>
      <c r="C42" s="4" t="s">
        <v>20</v>
      </c>
      <c r="D42" s="9" t="s">
        <v>23</v>
      </c>
      <c r="E42" s="9" t="s">
        <v>23</v>
      </c>
      <c r="F42" s="9" t="s">
        <v>23</v>
      </c>
      <c r="G42" s="9" t="s">
        <v>23</v>
      </c>
      <c r="H42" s="9" t="s">
        <v>23</v>
      </c>
      <c r="I42" s="9" t="s">
        <v>23</v>
      </c>
      <c r="J42" s="9" t="s">
        <v>23</v>
      </c>
    </row>
    <row r="43">
      <c r="A43" s="2">
        <v>5064080.0</v>
      </c>
      <c r="B43" s="6" t="s">
        <v>22</v>
      </c>
      <c r="C43" s="4" t="s">
        <v>20</v>
      </c>
      <c r="D43" s="9" t="s">
        <v>23</v>
      </c>
      <c r="E43" s="9" t="s">
        <v>23</v>
      </c>
      <c r="F43" s="9" t="s">
        <v>23</v>
      </c>
      <c r="G43" s="9" t="s">
        <v>23</v>
      </c>
      <c r="H43" s="9" t="s">
        <v>23</v>
      </c>
      <c r="I43" s="9" t="s">
        <v>23</v>
      </c>
      <c r="J43" s="9" t="s">
        <v>23</v>
      </c>
    </row>
    <row r="44">
      <c r="A44" s="2">
        <v>5203697.0</v>
      </c>
      <c r="B44" s="6" t="s">
        <v>22</v>
      </c>
      <c r="C44" s="6" t="s">
        <v>22</v>
      </c>
      <c r="D44" s="6" t="s">
        <v>22</v>
      </c>
      <c r="E44" s="6" t="s">
        <v>22</v>
      </c>
      <c r="F44" s="6" t="s">
        <v>22</v>
      </c>
      <c r="G44" s="6" t="s">
        <v>22</v>
      </c>
      <c r="H44" s="6" t="s">
        <v>22</v>
      </c>
      <c r="I44" s="6" t="s">
        <v>22</v>
      </c>
      <c r="J44" s="6" t="s">
        <v>22</v>
      </c>
    </row>
    <row r="45">
      <c r="A45" s="2">
        <v>5249134.0</v>
      </c>
      <c r="B45" s="6" t="s">
        <v>22</v>
      </c>
      <c r="C45" s="6" t="s">
        <v>22</v>
      </c>
      <c r="D45" s="6" t="s">
        <v>22</v>
      </c>
      <c r="E45" s="6" t="s">
        <v>22</v>
      </c>
      <c r="F45" s="6" t="s">
        <v>22</v>
      </c>
      <c r="G45" s="6" t="s">
        <v>22</v>
      </c>
      <c r="H45" s="6" t="s">
        <v>22</v>
      </c>
      <c r="I45" s="6" t="s">
        <v>22</v>
      </c>
      <c r="J45" s="6" t="s">
        <v>22</v>
      </c>
    </row>
    <row r="46">
      <c r="A46" s="2">
        <v>4683682.0</v>
      </c>
      <c r="B46" s="4" t="s">
        <v>20</v>
      </c>
      <c r="C46" s="6" t="s">
        <v>22</v>
      </c>
      <c r="D46" s="6" t="s">
        <v>22</v>
      </c>
      <c r="E46" s="6" t="s">
        <v>22</v>
      </c>
      <c r="F46" s="6" t="s">
        <v>22</v>
      </c>
      <c r="G46" s="6" t="s">
        <v>22</v>
      </c>
      <c r="H46" s="6" t="s">
        <v>22</v>
      </c>
      <c r="I46" s="6" t="s">
        <v>22</v>
      </c>
      <c r="J46" s="6" t="s">
        <v>22</v>
      </c>
    </row>
    <row r="47">
      <c r="A47" s="2">
        <v>5003391.0</v>
      </c>
      <c r="B47" s="6" t="s">
        <v>22</v>
      </c>
      <c r="C47" s="6" t="s">
        <v>22</v>
      </c>
      <c r="D47" s="6" t="s">
        <v>22</v>
      </c>
      <c r="E47" s="6" t="s">
        <v>22</v>
      </c>
      <c r="F47" s="6" t="s">
        <v>22</v>
      </c>
      <c r="G47" s="6" t="s">
        <v>22</v>
      </c>
      <c r="H47" s="6" t="s">
        <v>22</v>
      </c>
      <c r="I47" s="4" t="s">
        <v>20</v>
      </c>
      <c r="J47" s="9" t="s">
        <v>23</v>
      </c>
    </row>
    <row r="48">
      <c r="A48" s="2">
        <v>6910712.0</v>
      </c>
      <c r="B48" s="9" t="s">
        <v>23</v>
      </c>
      <c r="C48" s="9" t="s">
        <v>23</v>
      </c>
      <c r="D48" s="9" t="s">
        <v>23</v>
      </c>
      <c r="E48" s="9" t="s">
        <v>23</v>
      </c>
      <c r="F48" s="9" t="s">
        <v>23</v>
      </c>
      <c r="G48" s="9" t="s">
        <v>23</v>
      </c>
      <c r="H48" s="9" t="s">
        <v>23</v>
      </c>
      <c r="I48" s="9" t="s">
        <v>23</v>
      </c>
      <c r="J48" s="9" t="s">
        <v>23</v>
      </c>
    </row>
    <row r="49">
      <c r="A49" s="2">
        <v>6428995.0</v>
      </c>
      <c r="B49" s="9" t="s">
        <v>23</v>
      </c>
      <c r="C49" s="9" t="s">
        <v>23</v>
      </c>
      <c r="D49" s="9" t="s">
        <v>23</v>
      </c>
      <c r="E49" s="9" t="s">
        <v>23</v>
      </c>
      <c r="F49" s="9" t="s">
        <v>23</v>
      </c>
      <c r="G49" s="9" t="s">
        <v>23</v>
      </c>
      <c r="H49" s="4" t="s">
        <v>20</v>
      </c>
      <c r="I49" s="6" t="s">
        <v>22</v>
      </c>
      <c r="J49" s="6" t="s">
        <v>22</v>
      </c>
    </row>
    <row r="50">
      <c r="A50" s="2">
        <v>4604692.0</v>
      </c>
      <c r="B50" s="9" t="s">
        <v>23</v>
      </c>
      <c r="C50" s="9" t="s">
        <v>23</v>
      </c>
      <c r="D50" s="9" t="s">
        <v>23</v>
      </c>
      <c r="E50" s="9" t="s">
        <v>23</v>
      </c>
      <c r="F50" s="9" t="s">
        <v>23</v>
      </c>
      <c r="G50" s="9" t="s">
        <v>23</v>
      </c>
      <c r="H50" s="9" t="s">
        <v>23</v>
      </c>
      <c r="I50" s="9" t="s">
        <v>23</v>
      </c>
      <c r="J50" s="9" t="s">
        <v>23</v>
      </c>
    </row>
    <row r="51">
      <c r="A51" s="2">
        <v>6031430.0</v>
      </c>
      <c r="B51" s="6" t="s">
        <v>22</v>
      </c>
      <c r="C51" s="6" t="s">
        <v>22</v>
      </c>
      <c r="D51" s="6" t="s">
        <v>22</v>
      </c>
      <c r="E51" s="6" t="s">
        <v>22</v>
      </c>
      <c r="F51" s="6" t="s">
        <v>22</v>
      </c>
      <c r="G51" s="6" t="s">
        <v>22</v>
      </c>
      <c r="H51" s="6" t="s">
        <v>22</v>
      </c>
      <c r="I51" s="4" t="s">
        <v>20</v>
      </c>
      <c r="J51" s="9" t="s">
        <v>23</v>
      </c>
    </row>
    <row r="52">
      <c r="A52" s="2">
        <v>5682069.0</v>
      </c>
      <c r="B52" s="9" t="s">
        <v>23</v>
      </c>
      <c r="C52" s="9" t="s">
        <v>23</v>
      </c>
      <c r="D52" s="9" t="s">
        <v>23</v>
      </c>
      <c r="E52" s="4" t="s">
        <v>20</v>
      </c>
      <c r="F52" s="6" t="s">
        <v>22</v>
      </c>
      <c r="G52" s="6" t="s">
        <v>22</v>
      </c>
      <c r="H52" s="6" t="s">
        <v>22</v>
      </c>
      <c r="I52" s="6" t="s">
        <v>22</v>
      </c>
      <c r="J52" s="6" t="s">
        <v>22</v>
      </c>
    </row>
    <row r="53">
      <c r="A53" s="2">
        <v>1.231231E8</v>
      </c>
      <c r="B53" s="6" t="s">
        <v>22</v>
      </c>
      <c r="C53" s="6" t="s">
        <v>22</v>
      </c>
      <c r="D53" s="6" t="s">
        <v>22</v>
      </c>
      <c r="E53" s="6" t="s">
        <v>22</v>
      </c>
      <c r="F53" s="6" t="s">
        <v>22</v>
      </c>
      <c r="G53" s="6" t="s">
        <v>22</v>
      </c>
      <c r="H53" s="6" t="s">
        <v>22</v>
      </c>
      <c r="I53" s="6" t="s">
        <v>22</v>
      </c>
      <c r="J53" s="6" t="s">
        <v>22</v>
      </c>
    </row>
    <row r="54">
      <c r="A54" s="2">
        <v>1.23123123E8</v>
      </c>
      <c r="B54" s="9" t="s">
        <v>23</v>
      </c>
      <c r="C54" s="9" t="s">
        <v>23</v>
      </c>
      <c r="D54" s="9" t="s">
        <v>23</v>
      </c>
      <c r="E54" s="9" t="s">
        <v>23</v>
      </c>
      <c r="F54" s="9" t="s">
        <v>23</v>
      </c>
      <c r="G54" s="9" t="s">
        <v>23</v>
      </c>
      <c r="H54" s="9" t="s">
        <v>23</v>
      </c>
      <c r="I54" s="9" t="s">
        <v>23</v>
      </c>
      <c r="J54" s="9" t="s">
        <v>23</v>
      </c>
    </row>
    <row r="55">
      <c r="A55" s="2">
        <v>1.23123123E8</v>
      </c>
      <c r="B55" s="9" t="s">
        <v>23</v>
      </c>
      <c r="C55" s="9" t="s">
        <v>23</v>
      </c>
      <c r="D55" s="9" t="s">
        <v>23</v>
      </c>
      <c r="E55" s="9" t="s">
        <v>23</v>
      </c>
      <c r="F55" s="9" t="s">
        <v>23</v>
      </c>
      <c r="G55" s="9" t="s">
        <v>23</v>
      </c>
      <c r="H55" s="9" t="s">
        <v>23</v>
      </c>
      <c r="I55" s="9" t="s">
        <v>23</v>
      </c>
      <c r="J55" s="9" t="s">
        <v>23</v>
      </c>
    </row>
    <row r="56">
      <c r="A56" s="2">
        <v>7489746.0</v>
      </c>
      <c r="B56" s="9" t="s">
        <v>23</v>
      </c>
      <c r="C56" s="9" t="s">
        <v>23</v>
      </c>
      <c r="D56" s="9" t="s">
        <v>23</v>
      </c>
      <c r="E56" s="9" t="s">
        <v>23</v>
      </c>
      <c r="F56" s="9" t="s">
        <v>23</v>
      </c>
      <c r="G56" s="9" t="s">
        <v>23</v>
      </c>
      <c r="H56" s="9" t="s">
        <v>23</v>
      </c>
      <c r="I56" s="9" t="s">
        <v>23</v>
      </c>
      <c r="J56" s="9" t="s">
        <v>23</v>
      </c>
    </row>
    <row r="57">
      <c r="A57" s="2">
        <v>8689198.0</v>
      </c>
      <c r="B57" s="6" t="s">
        <v>22</v>
      </c>
      <c r="C57" s="4" t="s">
        <v>20</v>
      </c>
      <c r="D57" s="9" t="s">
        <v>23</v>
      </c>
      <c r="E57" s="9" t="s">
        <v>23</v>
      </c>
      <c r="F57" s="9" t="s">
        <v>23</v>
      </c>
      <c r="G57" s="9" t="s">
        <v>23</v>
      </c>
      <c r="H57" s="4" t="s">
        <v>20</v>
      </c>
      <c r="I57" s="6" t="s">
        <v>22</v>
      </c>
      <c r="J57" s="6" t="s">
        <v>22</v>
      </c>
    </row>
    <row r="58">
      <c r="A58" s="2">
        <v>7379602.0</v>
      </c>
      <c r="B58" s="9" t="s">
        <v>23</v>
      </c>
      <c r="C58" s="9" t="s">
        <v>23</v>
      </c>
      <c r="D58" s="9" t="s">
        <v>23</v>
      </c>
      <c r="E58" s="9" t="s">
        <v>23</v>
      </c>
      <c r="F58" s="9" t="s">
        <v>23</v>
      </c>
      <c r="G58" s="9" t="s">
        <v>23</v>
      </c>
      <c r="H58" s="4" t="s">
        <v>20</v>
      </c>
      <c r="I58" s="6" t="s">
        <v>22</v>
      </c>
      <c r="J58" s="6" t="s">
        <v>22</v>
      </c>
    </row>
    <row r="59">
      <c r="A59" s="2">
        <v>4667148.0</v>
      </c>
      <c r="B59" s="6" t="s">
        <v>22</v>
      </c>
      <c r="C59" s="6" t="s">
        <v>22</v>
      </c>
      <c r="D59" s="6" t="s">
        <v>22</v>
      </c>
      <c r="E59" s="6" t="s">
        <v>22</v>
      </c>
      <c r="F59" s="4" t="s">
        <v>20</v>
      </c>
      <c r="G59" s="9" t="s">
        <v>23</v>
      </c>
      <c r="H59" s="9" t="s">
        <v>23</v>
      </c>
      <c r="I59" s="9" t="s">
        <v>23</v>
      </c>
      <c r="J59" s="9" t="s">
        <v>23</v>
      </c>
    </row>
    <row r="60">
      <c r="A60" s="2">
        <v>6874858.0</v>
      </c>
      <c r="B60" s="9" t="s">
        <v>23</v>
      </c>
      <c r="C60" s="9" t="s">
        <v>23</v>
      </c>
      <c r="D60" s="9" t="s">
        <v>23</v>
      </c>
      <c r="E60" s="9" t="s">
        <v>23</v>
      </c>
      <c r="F60" s="9" t="s">
        <v>23</v>
      </c>
      <c r="G60" s="9" t="s">
        <v>23</v>
      </c>
      <c r="H60" s="9" t="s">
        <v>23</v>
      </c>
      <c r="I60" s="9" t="s">
        <v>23</v>
      </c>
      <c r="J60" s="9" t="s">
        <v>23</v>
      </c>
    </row>
    <row r="61">
      <c r="A61" s="2">
        <v>4635553.0</v>
      </c>
      <c r="B61" s="6" t="s">
        <v>22</v>
      </c>
      <c r="C61" s="6" t="s">
        <v>22</v>
      </c>
      <c r="D61" s="6" t="s">
        <v>22</v>
      </c>
      <c r="E61" s="6" t="s">
        <v>22</v>
      </c>
      <c r="F61" s="6" t="s">
        <v>22</v>
      </c>
      <c r="G61" s="6" t="s">
        <v>22</v>
      </c>
      <c r="H61" s="6" t="s">
        <v>22</v>
      </c>
      <c r="I61" s="6" t="s">
        <v>22</v>
      </c>
      <c r="J61" s="6" t="s">
        <v>22</v>
      </c>
    </row>
    <row r="62">
      <c r="A62" s="2">
        <v>8577287.0</v>
      </c>
      <c r="B62" s="9" t="s">
        <v>23</v>
      </c>
      <c r="C62" s="9" t="s">
        <v>23</v>
      </c>
      <c r="D62" s="9" t="s">
        <v>23</v>
      </c>
      <c r="E62" s="9" t="s">
        <v>23</v>
      </c>
      <c r="F62" s="9" t="s">
        <v>23</v>
      </c>
      <c r="G62" s="9" t="s">
        <v>23</v>
      </c>
      <c r="H62" s="4" t="s">
        <v>20</v>
      </c>
      <c r="I62" s="6" t="s">
        <v>22</v>
      </c>
      <c r="J62" s="6" t="s">
        <v>22</v>
      </c>
    </row>
    <row r="63">
      <c r="A63" s="2">
        <v>5222292.0</v>
      </c>
      <c r="B63" s="6" t="s">
        <v>22</v>
      </c>
      <c r="C63" s="6" t="s">
        <v>22</v>
      </c>
      <c r="D63" s="6" t="s">
        <v>22</v>
      </c>
      <c r="E63" s="6" t="s">
        <v>22</v>
      </c>
      <c r="F63" s="6" t="s">
        <v>22</v>
      </c>
      <c r="G63" s="6" t="s">
        <v>22</v>
      </c>
      <c r="H63" s="6" t="s">
        <v>22</v>
      </c>
      <c r="I63" s="4" t="s">
        <v>20</v>
      </c>
      <c r="J63" s="9" t="s">
        <v>23</v>
      </c>
    </row>
    <row r="64">
      <c r="A64" s="2">
        <v>7593462.0</v>
      </c>
      <c r="B64" s="6" t="s">
        <v>22</v>
      </c>
      <c r="C64" s="6" t="s">
        <v>22</v>
      </c>
      <c r="D64" s="6" t="s">
        <v>22</v>
      </c>
      <c r="E64" s="6" t="s">
        <v>22</v>
      </c>
      <c r="F64" s="6" t="s">
        <v>22</v>
      </c>
      <c r="G64" s="6" t="s">
        <v>22</v>
      </c>
      <c r="H64" s="6" t="s">
        <v>22</v>
      </c>
      <c r="I64" s="6" t="s">
        <v>22</v>
      </c>
      <c r="J64" s="6" t="s">
        <v>22</v>
      </c>
    </row>
    <row r="65">
      <c r="A65" s="2">
        <v>5759919.0</v>
      </c>
      <c r="B65" s="6" t="s">
        <v>22</v>
      </c>
      <c r="C65" s="4" t="s">
        <v>20</v>
      </c>
      <c r="D65" s="9" t="s">
        <v>23</v>
      </c>
      <c r="E65" s="9" t="s">
        <v>23</v>
      </c>
      <c r="F65" s="9" t="s">
        <v>23</v>
      </c>
      <c r="G65" s="9" t="s">
        <v>23</v>
      </c>
      <c r="H65" s="9" t="s">
        <v>23</v>
      </c>
      <c r="I65" s="9" t="s">
        <v>23</v>
      </c>
      <c r="J65" s="9" t="s">
        <v>23</v>
      </c>
    </row>
    <row r="66">
      <c r="A66" s="2">
        <v>7379590.0</v>
      </c>
      <c r="B66" s="4" t="s">
        <v>20</v>
      </c>
      <c r="C66" s="6" t="s">
        <v>22</v>
      </c>
      <c r="D66" s="6" t="s">
        <v>22</v>
      </c>
      <c r="E66" s="6" t="s">
        <v>22</v>
      </c>
      <c r="F66" s="6" t="s">
        <v>22</v>
      </c>
      <c r="G66" s="6" t="s">
        <v>22</v>
      </c>
      <c r="H66" s="6" t="s">
        <v>22</v>
      </c>
      <c r="I66" s="6" t="s">
        <v>22</v>
      </c>
      <c r="J66" s="6" t="s">
        <v>22</v>
      </c>
    </row>
    <row r="67">
      <c r="A67" s="2">
        <v>8621107.0</v>
      </c>
      <c r="B67" s="6" t="s">
        <v>22</v>
      </c>
      <c r="C67" s="4" t="s">
        <v>20</v>
      </c>
      <c r="D67" s="9" t="s">
        <v>23</v>
      </c>
      <c r="E67" s="6" t="s">
        <v>22</v>
      </c>
      <c r="F67" s="6" t="s">
        <v>22</v>
      </c>
      <c r="G67" s="6" t="s">
        <v>22</v>
      </c>
      <c r="H67" s="6" t="s">
        <v>22</v>
      </c>
      <c r="I67" s="6" t="s">
        <v>22</v>
      </c>
      <c r="J67" s="6" t="s">
        <v>22</v>
      </c>
    </row>
    <row r="68">
      <c r="A68" s="2">
        <v>3779457.0</v>
      </c>
      <c r="B68" s="4" t="s">
        <v>20</v>
      </c>
      <c r="C68" s="6" t="s">
        <v>22</v>
      </c>
      <c r="D68" s="6" t="s">
        <v>22</v>
      </c>
      <c r="E68" s="6" t="s">
        <v>22</v>
      </c>
      <c r="F68" s="6" t="s">
        <v>22</v>
      </c>
      <c r="G68" s="6" t="s">
        <v>22</v>
      </c>
      <c r="H68" s="6" t="s">
        <v>22</v>
      </c>
      <c r="I68" s="6" t="s">
        <v>22</v>
      </c>
      <c r="J68" s="6" t="s">
        <v>22</v>
      </c>
    </row>
    <row r="69">
      <c r="A69" s="2">
        <v>5075673.0</v>
      </c>
      <c r="B69" s="6" t="s">
        <v>22</v>
      </c>
      <c r="C69" s="6" t="s">
        <v>22</v>
      </c>
      <c r="D69" s="6" t="s">
        <v>22</v>
      </c>
      <c r="E69" s="6" t="s">
        <v>22</v>
      </c>
      <c r="F69" s="6" t="s">
        <v>22</v>
      </c>
      <c r="G69" s="6" t="s">
        <v>22</v>
      </c>
      <c r="H69" s="6" t="s">
        <v>22</v>
      </c>
      <c r="I69" s="6" t="s">
        <v>22</v>
      </c>
      <c r="J69" s="6" t="s">
        <v>22</v>
      </c>
    </row>
    <row r="70">
      <c r="A70" s="2">
        <v>8622878.0</v>
      </c>
      <c r="B70" s="4" t="s">
        <v>20</v>
      </c>
      <c r="C70" s="6" t="s">
        <v>22</v>
      </c>
      <c r="D70" s="6" t="s">
        <v>22</v>
      </c>
      <c r="E70" s="6" t="s">
        <v>22</v>
      </c>
      <c r="F70" s="6" t="s">
        <v>22</v>
      </c>
      <c r="G70" s="6" t="s">
        <v>22</v>
      </c>
      <c r="H70" s="6" t="s">
        <v>22</v>
      </c>
      <c r="I70" s="6" t="s">
        <v>22</v>
      </c>
      <c r="J70" s="6" t="s">
        <v>22</v>
      </c>
    </row>
    <row r="71">
      <c r="A71" s="2">
        <v>6357677.0</v>
      </c>
      <c r="B71" s="6" t="s">
        <v>22</v>
      </c>
      <c r="C71" s="6" t="s">
        <v>22</v>
      </c>
      <c r="D71" s="6" t="s">
        <v>22</v>
      </c>
      <c r="E71" s="6" t="s">
        <v>22</v>
      </c>
      <c r="F71" s="6" t="s">
        <v>22</v>
      </c>
      <c r="G71" s="6" t="s">
        <v>22</v>
      </c>
      <c r="H71" s="6" t="s">
        <v>22</v>
      </c>
      <c r="I71" s="6" t="s">
        <v>22</v>
      </c>
      <c r="J71" s="6" t="s">
        <v>22</v>
      </c>
    </row>
    <row r="72">
      <c r="A72" s="2">
        <v>5085966.0</v>
      </c>
      <c r="B72" s="6" t="s">
        <v>22</v>
      </c>
      <c r="C72" s="6" t="s">
        <v>22</v>
      </c>
      <c r="D72" s="6" t="s">
        <v>22</v>
      </c>
      <c r="E72" s="6" t="s">
        <v>22</v>
      </c>
      <c r="F72" s="6" t="s">
        <v>22</v>
      </c>
      <c r="G72" s="6" t="s">
        <v>22</v>
      </c>
      <c r="H72" s="6" t="s">
        <v>22</v>
      </c>
      <c r="I72" s="6" t="s">
        <v>22</v>
      </c>
      <c r="J72" s="6" t="s">
        <v>22</v>
      </c>
    </row>
    <row r="73">
      <c r="A73" s="2">
        <v>4276047.0</v>
      </c>
      <c r="B73" s="6" t="s">
        <v>22</v>
      </c>
      <c r="C73" s="4" t="s">
        <v>20</v>
      </c>
      <c r="D73" s="9" t="s">
        <v>23</v>
      </c>
      <c r="E73" s="9" t="s">
        <v>23</v>
      </c>
      <c r="F73" s="9" t="s">
        <v>23</v>
      </c>
      <c r="G73" s="9" t="s">
        <v>23</v>
      </c>
      <c r="H73" s="9" t="s">
        <v>23</v>
      </c>
      <c r="I73" s="9" t="s">
        <v>23</v>
      </c>
      <c r="J73" s="9" t="s">
        <v>23</v>
      </c>
    </row>
    <row r="74">
      <c r="A74" s="2">
        <v>7563119.0</v>
      </c>
      <c r="B74" s="4" t="s">
        <v>20</v>
      </c>
      <c r="C74" s="6" t="s">
        <v>22</v>
      </c>
      <c r="D74" s="6" t="s">
        <v>22</v>
      </c>
      <c r="E74" s="6" t="s">
        <v>22</v>
      </c>
      <c r="F74" s="6" t="s">
        <v>22</v>
      </c>
      <c r="G74" s="6" t="s">
        <v>22</v>
      </c>
      <c r="H74" s="6" t="s">
        <v>22</v>
      </c>
      <c r="I74" s="6" t="s">
        <v>22</v>
      </c>
      <c r="J74" s="6" t="s">
        <v>22</v>
      </c>
    </row>
    <row r="75">
      <c r="A75" s="2">
        <v>7256596.0</v>
      </c>
      <c r="B75" s="6" t="s">
        <v>22</v>
      </c>
      <c r="C75" s="6" t="s">
        <v>22</v>
      </c>
      <c r="D75" s="6" t="s">
        <v>22</v>
      </c>
      <c r="E75" s="6" t="s">
        <v>22</v>
      </c>
      <c r="F75" s="6" t="s">
        <v>22</v>
      </c>
      <c r="G75" s="6" t="s">
        <v>22</v>
      </c>
      <c r="H75" s="6" t="s">
        <v>22</v>
      </c>
      <c r="I75" s="6" t="s">
        <v>22</v>
      </c>
      <c r="J75" s="6" t="s">
        <v>22</v>
      </c>
    </row>
    <row r="76">
      <c r="A76" s="2">
        <v>5000933.0</v>
      </c>
      <c r="B76" s="6" t="s">
        <v>22</v>
      </c>
      <c r="C76" s="6" t="s">
        <v>22</v>
      </c>
      <c r="D76" s="6" t="s">
        <v>22</v>
      </c>
      <c r="E76" s="6" t="s">
        <v>22</v>
      </c>
      <c r="F76" s="6" t="s">
        <v>22</v>
      </c>
      <c r="G76" s="6" t="s">
        <v>22</v>
      </c>
      <c r="H76" s="6" t="s">
        <v>22</v>
      </c>
      <c r="I76" s="6" t="s">
        <v>22</v>
      </c>
      <c r="J76" s="6" t="s">
        <v>22</v>
      </c>
    </row>
    <row r="77">
      <c r="A77" s="2">
        <v>7082818.0</v>
      </c>
      <c r="B77" s="9" t="s">
        <v>23</v>
      </c>
      <c r="C77" s="9" t="s">
        <v>23</v>
      </c>
      <c r="D77" s="9" t="s">
        <v>23</v>
      </c>
      <c r="E77" s="4" t="s">
        <v>20</v>
      </c>
      <c r="F77" s="6" t="s">
        <v>22</v>
      </c>
      <c r="G77" s="6" t="s">
        <v>22</v>
      </c>
      <c r="H77" s="6" t="s">
        <v>22</v>
      </c>
      <c r="I77" s="6" t="s">
        <v>22</v>
      </c>
      <c r="J77" s="6" t="s">
        <v>22</v>
      </c>
    </row>
    <row r="78">
      <c r="A78" s="2">
        <v>8276502.0</v>
      </c>
      <c r="B78" s="6" t="s">
        <v>22</v>
      </c>
      <c r="C78" s="6" t="s">
        <v>22</v>
      </c>
      <c r="D78" s="6" t="s">
        <v>22</v>
      </c>
      <c r="E78" s="6" t="s">
        <v>22</v>
      </c>
      <c r="F78" s="6" t="s">
        <v>22</v>
      </c>
      <c r="G78" s="6" t="s">
        <v>22</v>
      </c>
      <c r="H78" s="6" t="s">
        <v>22</v>
      </c>
      <c r="I78" s="6" t="s">
        <v>22</v>
      </c>
      <c r="J78" s="6" t="s">
        <v>22</v>
      </c>
    </row>
    <row r="79">
      <c r="A79" s="2">
        <v>5071665.0</v>
      </c>
      <c r="B79" s="6" t="s">
        <v>22</v>
      </c>
      <c r="C79" s="6" t="s">
        <v>22</v>
      </c>
      <c r="D79" s="6" t="s">
        <v>22</v>
      </c>
      <c r="E79" s="6" t="s">
        <v>22</v>
      </c>
      <c r="F79" s="6" t="s">
        <v>22</v>
      </c>
      <c r="G79" s="6" t="s">
        <v>22</v>
      </c>
      <c r="H79" s="6" t="s">
        <v>22</v>
      </c>
      <c r="I79" s="6" t="s">
        <v>22</v>
      </c>
      <c r="J79" s="6" t="s">
        <v>22</v>
      </c>
    </row>
    <row r="80">
      <c r="A80" s="2">
        <v>4382868.0</v>
      </c>
      <c r="B80" s="9" t="s">
        <v>23</v>
      </c>
      <c r="C80" s="9" t="s">
        <v>23</v>
      </c>
      <c r="D80" s="9" t="s">
        <v>23</v>
      </c>
      <c r="E80" s="9" t="s">
        <v>23</v>
      </c>
      <c r="F80" s="9" t="s">
        <v>23</v>
      </c>
      <c r="G80" s="9" t="s">
        <v>23</v>
      </c>
      <c r="H80" s="9" t="s">
        <v>23</v>
      </c>
      <c r="I80" s="9" t="s">
        <v>23</v>
      </c>
      <c r="J80" s="9" t="s">
        <v>23</v>
      </c>
    </row>
    <row r="81">
      <c r="A81" s="2">
        <v>5151252.0</v>
      </c>
      <c r="B81" s="4" t="s">
        <v>20</v>
      </c>
      <c r="C81" s="6" t="s">
        <v>22</v>
      </c>
      <c r="D81" s="6" t="s">
        <v>22</v>
      </c>
      <c r="E81" s="6" t="s">
        <v>22</v>
      </c>
      <c r="F81" s="6" t="s">
        <v>22</v>
      </c>
      <c r="G81" s="6" t="s">
        <v>22</v>
      </c>
      <c r="H81" s="6" t="s">
        <v>22</v>
      </c>
      <c r="I81" s="6" t="s">
        <v>22</v>
      </c>
      <c r="J81" s="6" t="s">
        <v>22</v>
      </c>
    </row>
    <row r="82">
      <c r="A82" s="2">
        <v>8708706.0</v>
      </c>
      <c r="B82" s="4" t="s">
        <v>20</v>
      </c>
      <c r="C82" s="6" t="s">
        <v>22</v>
      </c>
      <c r="D82" s="6" t="s">
        <v>22</v>
      </c>
      <c r="E82" s="6" t="s">
        <v>22</v>
      </c>
      <c r="F82" s="6" t="s">
        <v>22</v>
      </c>
      <c r="G82" s="6" t="s">
        <v>22</v>
      </c>
      <c r="H82" s="6" t="s">
        <v>22</v>
      </c>
      <c r="I82" s="6" t="s">
        <v>22</v>
      </c>
      <c r="J82" s="6" t="s">
        <v>22</v>
      </c>
    </row>
    <row r="83">
      <c r="A83" s="2">
        <v>4357123.0</v>
      </c>
      <c r="B83" s="9" t="s">
        <v>23</v>
      </c>
      <c r="C83" s="9" t="s">
        <v>23</v>
      </c>
      <c r="D83" s="9" t="s">
        <v>23</v>
      </c>
      <c r="E83" s="9" t="s">
        <v>23</v>
      </c>
      <c r="F83" s="9" t="s">
        <v>23</v>
      </c>
      <c r="G83" s="9" t="s">
        <v>23</v>
      </c>
      <c r="H83" s="9" t="s">
        <v>23</v>
      </c>
      <c r="I83" s="9" t="s">
        <v>23</v>
      </c>
      <c r="J83" s="9" t="s">
        <v>23</v>
      </c>
    </row>
    <row r="84">
      <c r="A84" s="2">
        <v>5645367.0</v>
      </c>
      <c r="B84" s="4" t="s">
        <v>20</v>
      </c>
      <c r="C84" s="6" t="s">
        <v>22</v>
      </c>
      <c r="D84" s="6" t="s">
        <v>22</v>
      </c>
      <c r="E84" s="6" t="s">
        <v>22</v>
      </c>
      <c r="F84" s="6" t="s">
        <v>22</v>
      </c>
      <c r="G84" s="6" t="s">
        <v>22</v>
      </c>
      <c r="H84" s="6" t="s">
        <v>22</v>
      </c>
      <c r="I84" s="6" t="s">
        <v>22</v>
      </c>
      <c r="J84" s="6" t="s">
        <v>22</v>
      </c>
    </row>
    <row r="85">
      <c r="A85" s="2">
        <v>5811600.0</v>
      </c>
      <c r="B85" s="6" t="s">
        <v>22</v>
      </c>
      <c r="C85" s="6" t="s">
        <v>22</v>
      </c>
      <c r="D85" s="6" t="s">
        <v>22</v>
      </c>
      <c r="E85" s="6" t="s">
        <v>22</v>
      </c>
      <c r="F85" s="6" t="s">
        <v>22</v>
      </c>
      <c r="G85" s="6" t="s">
        <v>22</v>
      </c>
      <c r="H85" s="6" t="s">
        <v>22</v>
      </c>
      <c r="I85" s="6" t="s">
        <v>22</v>
      </c>
      <c r="J85" s="6" t="s">
        <v>22</v>
      </c>
    </row>
    <row r="86">
      <c r="A86" s="2">
        <v>6370712.0</v>
      </c>
      <c r="B86" s="9" t="s">
        <v>23</v>
      </c>
      <c r="C86" s="9" t="s">
        <v>23</v>
      </c>
      <c r="D86" s="9" t="s">
        <v>23</v>
      </c>
      <c r="E86" s="4" t="s">
        <v>20</v>
      </c>
      <c r="F86" s="6" t="s">
        <v>22</v>
      </c>
      <c r="G86" s="6" t="s">
        <v>22</v>
      </c>
      <c r="H86" s="6" t="s">
        <v>22</v>
      </c>
      <c r="I86" s="6" t="s">
        <v>22</v>
      </c>
      <c r="J86" s="6" t="s">
        <v>22</v>
      </c>
    </row>
    <row r="87">
      <c r="A87" s="5" t="s">
        <v>96</v>
      </c>
      <c r="B87" s="9" t="s">
        <v>23</v>
      </c>
      <c r="C87" s="9" t="s">
        <v>23</v>
      </c>
      <c r="D87" s="9" t="s">
        <v>23</v>
      </c>
      <c r="E87" s="9" t="s">
        <v>23</v>
      </c>
      <c r="F87" s="9" t="s">
        <v>23</v>
      </c>
      <c r="G87" s="9" t="s">
        <v>23</v>
      </c>
      <c r="H87" s="9" t="s">
        <v>23</v>
      </c>
      <c r="I87" s="9" t="s">
        <v>23</v>
      </c>
      <c r="J87" s="9" t="s">
        <v>23</v>
      </c>
    </row>
    <row r="88">
      <c r="A88" s="5" t="s">
        <v>97</v>
      </c>
      <c r="B88" s="9" t="s">
        <v>23</v>
      </c>
      <c r="C88" s="9" t="s">
        <v>23</v>
      </c>
      <c r="D88" s="9" t="s">
        <v>23</v>
      </c>
      <c r="E88" s="9" t="s">
        <v>23</v>
      </c>
      <c r="F88" s="9" t="s">
        <v>23</v>
      </c>
      <c r="G88" s="9" t="s">
        <v>23</v>
      </c>
      <c r="H88" s="9" t="s">
        <v>23</v>
      </c>
      <c r="I88" s="9" t="s">
        <v>23</v>
      </c>
      <c r="J88" s="9" t="s">
        <v>23</v>
      </c>
    </row>
    <row r="89">
      <c r="A89" s="5" t="s">
        <v>98</v>
      </c>
      <c r="B89" s="9" t="s">
        <v>23</v>
      </c>
      <c r="C89" s="9" t="s">
        <v>23</v>
      </c>
      <c r="D89" s="9" t="s">
        <v>23</v>
      </c>
      <c r="E89" s="9" t="s">
        <v>23</v>
      </c>
      <c r="F89" s="9" t="s">
        <v>23</v>
      </c>
      <c r="G89" s="9" t="s">
        <v>23</v>
      </c>
      <c r="H89" s="3" t="s">
        <v>23</v>
      </c>
      <c r="I89" s="3" t="s">
        <v>23</v>
      </c>
      <c r="J89" s="3" t="s">
        <v>23</v>
      </c>
    </row>
    <row r="90">
      <c r="A90" s="3" t="s">
        <v>99</v>
      </c>
      <c r="B90" s="3" t="s">
        <v>23</v>
      </c>
      <c r="C90" s="3" t="s">
        <v>23</v>
      </c>
      <c r="D90" s="3" t="s">
        <v>23</v>
      </c>
      <c r="E90" s="3" t="s">
        <v>23</v>
      </c>
      <c r="F90" s="3" t="s">
        <v>23</v>
      </c>
      <c r="G90" s="3" t="s">
        <v>23</v>
      </c>
      <c r="H90" s="3" t="s">
        <v>23</v>
      </c>
      <c r="I90" s="3" t="s">
        <v>23</v>
      </c>
      <c r="J90" s="3" t="s">
        <v>23</v>
      </c>
    </row>
    <row r="91">
      <c r="A91" s="3" t="s">
        <v>100</v>
      </c>
      <c r="B91" s="3" t="s">
        <v>23</v>
      </c>
      <c r="C91" s="3" t="s">
        <v>23</v>
      </c>
      <c r="D91" s="3" t="s">
        <v>23</v>
      </c>
      <c r="E91" s="3" t="s">
        <v>23</v>
      </c>
      <c r="F91" s="3" t="s">
        <v>23</v>
      </c>
      <c r="G91" s="3" t="s">
        <v>23</v>
      </c>
      <c r="H91" s="3" t="s">
        <v>23</v>
      </c>
      <c r="I91" s="3" t="s">
        <v>23</v>
      </c>
      <c r="J91" s="3" t="s">
        <v>23</v>
      </c>
    </row>
    <row r="92">
      <c r="A92" s="3" t="s">
        <v>101</v>
      </c>
      <c r="B92" s="3" t="s">
        <v>22</v>
      </c>
      <c r="C92" s="3" t="s">
        <v>22</v>
      </c>
      <c r="D92" s="3" t="s">
        <v>22</v>
      </c>
      <c r="E92" s="3" t="s">
        <v>22</v>
      </c>
      <c r="F92" s="3" t="s">
        <v>22</v>
      </c>
      <c r="G92" s="3" t="s">
        <v>22</v>
      </c>
      <c r="H92" s="3" t="s">
        <v>22</v>
      </c>
      <c r="I92" s="3" t="s">
        <v>22</v>
      </c>
      <c r="J92" s="3" t="s">
        <v>22</v>
      </c>
    </row>
    <row r="93">
      <c r="A93" s="3" t="s">
        <v>103</v>
      </c>
      <c r="B93" s="3" t="s">
        <v>23</v>
      </c>
      <c r="C93" s="3" t="s">
        <v>23</v>
      </c>
      <c r="D93" s="3" t="s">
        <v>23</v>
      </c>
      <c r="E93" s="3" t="s">
        <v>23</v>
      </c>
      <c r="F93" s="3" t="s">
        <v>23</v>
      </c>
      <c r="G93" s="3" t="s">
        <v>23</v>
      </c>
      <c r="H93" s="3" t="s">
        <v>23</v>
      </c>
      <c r="I93" s="3" t="s">
        <v>23</v>
      </c>
      <c r="J93" s="3" t="s">
        <v>23</v>
      </c>
    </row>
    <row r="94">
      <c r="A94" s="3" t="s">
        <v>104</v>
      </c>
      <c r="B94" s="3" t="s">
        <v>23</v>
      </c>
      <c r="C94" s="3" t="s">
        <v>23</v>
      </c>
      <c r="D94" s="3" t="s">
        <v>23</v>
      </c>
      <c r="E94" s="3" t="s">
        <v>23</v>
      </c>
      <c r="F94" s="3" t="s">
        <v>23</v>
      </c>
      <c r="G94" s="3" t="s">
        <v>23</v>
      </c>
      <c r="H94" s="3" t="s">
        <v>23</v>
      </c>
      <c r="I94" s="3" t="s">
        <v>23</v>
      </c>
      <c r="J94" s="3" t="s">
        <v>23</v>
      </c>
    </row>
    <row r="95">
      <c r="A95" s="7" t="s">
        <v>105</v>
      </c>
      <c r="B95" s="3" t="s">
        <v>23</v>
      </c>
      <c r="C95" s="3" t="s">
        <v>23</v>
      </c>
      <c r="D95" s="3" t="s">
        <v>23</v>
      </c>
      <c r="E95" s="3" t="s">
        <v>23</v>
      </c>
      <c r="F95" s="3" t="s">
        <v>23</v>
      </c>
      <c r="G95" s="3" t="s">
        <v>23</v>
      </c>
      <c r="H95" s="3" t="s">
        <v>23</v>
      </c>
      <c r="I95" s="3" t="s">
        <v>23</v>
      </c>
      <c r="J95" s="3" t="s">
        <v>23</v>
      </c>
    </row>
    <row r="96">
      <c r="A96" s="3" t="s">
        <v>106</v>
      </c>
      <c r="B96" s="3" t="s">
        <v>23</v>
      </c>
      <c r="C96" s="3" t="s">
        <v>23</v>
      </c>
      <c r="D96" s="3" t="s">
        <v>23</v>
      </c>
      <c r="E96" s="3" t="s">
        <v>23</v>
      </c>
      <c r="F96" s="3" t="s">
        <v>23</v>
      </c>
      <c r="G96" s="3" t="s">
        <v>23</v>
      </c>
      <c r="H96" s="3" t="s">
        <v>23</v>
      </c>
      <c r="I96" s="3" t="s">
        <v>23</v>
      </c>
      <c r="J96" s="3" t="s">
        <v>23</v>
      </c>
    </row>
    <row r="97">
      <c r="A97" s="3" t="s">
        <v>107</v>
      </c>
      <c r="B97" s="3" t="s">
        <v>23</v>
      </c>
      <c r="C97" s="3" t="s">
        <v>23</v>
      </c>
      <c r="D97" s="3" t="s">
        <v>23</v>
      </c>
      <c r="E97" s="3" t="s">
        <v>23</v>
      </c>
      <c r="F97" s="3" t="s">
        <v>23</v>
      </c>
      <c r="G97" s="3" t="s">
        <v>23</v>
      </c>
      <c r="H97" s="3" t="s">
        <v>23</v>
      </c>
      <c r="I97" s="3" t="s">
        <v>23</v>
      </c>
      <c r="J97" s="3" t="s">
        <v>23</v>
      </c>
    </row>
    <row r="98">
      <c r="A98" s="3" t="s">
        <v>108</v>
      </c>
      <c r="B98" s="3" t="s">
        <v>23</v>
      </c>
      <c r="C98" s="3" t="s">
        <v>23</v>
      </c>
      <c r="D98" s="3" t="s">
        <v>23</v>
      </c>
      <c r="E98" s="3" t="s">
        <v>23</v>
      </c>
      <c r="F98" s="3" t="s">
        <v>23</v>
      </c>
      <c r="G98" s="3" t="s">
        <v>23</v>
      </c>
      <c r="H98" s="3" t="s">
        <v>23</v>
      </c>
      <c r="I98" s="3" t="s">
        <v>23</v>
      </c>
      <c r="J98" s="3" t="s">
        <v>23</v>
      </c>
    </row>
    <row r="99">
      <c r="A99" s="3" t="s">
        <v>109</v>
      </c>
      <c r="B99" s="3" t="s">
        <v>22</v>
      </c>
      <c r="C99" s="3" t="s">
        <v>22</v>
      </c>
      <c r="D99" s="3" t="s">
        <v>22</v>
      </c>
      <c r="E99" s="3" t="s">
        <v>23</v>
      </c>
      <c r="F99" s="3" t="s">
        <v>23</v>
      </c>
      <c r="G99" s="3" t="s">
        <v>23</v>
      </c>
      <c r="H99" s="3" t="s">
        <v>23</v>
      </c>
      <c r="I99" s="3" t="s">
        <v>23</v>
      </c>
      <c r="J99" s="3" t="s">
        <v>23</v>
      </c>
    </row>
    <row r="100">
      <c r="A100" s="3" t="s">
        <v>98</v>
      </c>
      <c r="B100" s="3" t="s">
        <v>23</v>
      </c>
      <c r="C100" s="3" t="s">
        <v>23</v>
      </c>
      <c r="D100" s="3" t="s">
        <v>23</v>
      </c>
      <c r="E100" s="3" t="s">
        <v>23</v>
      </c>
      <c r="F100" s="3" t="s">
        <v>23</v>
      </c>
      <c r="G100" s="3" t="s">
        <v>23</v>
      </c>
      <c r="H100" s="3" t="s">
        <v>23</v>
      </c>
      <c r="I100" s="3" t="s">
        <v>23</v>
      </c>
      <c r="J100" s="3" t="s">
        <v>23</v>
      </c>
    </row>
    <row r="101">
      <c r="A101" s="3" t="s">
        <v>99</v>
      </c>
      <c r="B101" s="3" t="s">
        <v>23</v>
      </c>
      <c r="C101" s="3" t="s">
        <v>23</v>
      </c>
      <c r="D101" s="3" t="s">
        <v>23</v>
      </c>
      <c r="E101" s="3" t="s">
        <v>23</v>
      </c>
      <c r="F101" s="3" t="s">
        <v>23</v>
      </c>
      <c r="G101" s="3" t="s">
        <v>23</v>
      </c>
      <c r="H101" s="3" t="s">
        <v>23</v>
      </c>
      <c r="I101" s="3" t="s">
        <v>23</v>
      </c>
      <c r="J101" s="3" t="s">
        <v>23</v>
      </c>
    </row>
    <row r="102">
      <c r="A102" s="3" t="s">
        <v>100</v>
      </c>
      <c r="B102" s="3" t="s">
        <v>23</v>
      </c>
      <c r="C102" s="3" t="s">
        <v>23</v>
      </c>
      <c r="D102" s="3" t="s">
        <v>23</v>
      </c>
      <c r="E102" s="3" t="s">
        <v>23</v>
      </c>
      <c r="F102" s="3" t="s">
        <v>23</v>
      </c>
      <c r="G102" s="3" t="s">
        <v>23</v>
      </c>
      <c r="H102" s="3" t="s">
        <v>23</v>
      </c>
      <c r="I102" s="3" t="s">
        <v>23</v>
      </c>
      <c r="J102" s="3" t="s">
        <v>23</v>
      </c>
    </row>
    <row r="103">
      <c r="A103" s="3" t="s">
        <v>101</v>
      </c>
      <c r="B103" s="3" t="s">
        <v>22</v>
      </c>
      <c r="C103" s="3" t="s">
        <v>22</v>
      </c>
      <c r="D103" s="3" t="s">
        <v>22</v>
      </c>
      <c r="E103" s="3" t="s">
        <v>22</v>
      </c>
      <c r="F103" s="3" t="s">
        <v>22</v>
      </c>
      <c r="G103" s="3" t="s">
        <v>22</v>
      </c>
      <c r="H103" s="3" t="s">
        <v>22</v>
      </c>
      <c r="I103" s="3" t="s">
        <v>22</v>
      </c>
      <c r="J103" s="3" t="s">
        <v>22</v>
      </c>
    </row>
    <row r="104">
      <c r="A104" s="3" t="s">
        <v>103</v>
      </c>
      <c r="B104" s="3" t="s">
        <v>23</v>
      </c>
      <c r="C104" s="3" t="s">
        <v>23</v>
      </c>
      <c r="D104" s="3" t="s">
        <v>23</v>
      </c>
      <c r="E104" s="3" t="s">
        <v>23</v>
      </c>
      <c r="F104" s="3" t="s">
        <v>23</v>
      </c>
      <c r="G104" s="3" t="s">
        <v>23</v>
      </c>
      <c r="H104" s="3" t="s">
        <v>23</v>
      </c>
      <c r="I104" s="3" t="s">
        <v>23</v>
      </c>
      <c r="J104" s="3" t="s">
        <v>23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sheetData>
    <row r="1">
      <c r="A1" s="3"/>
      <c r="B1" s="5" t="s">
        <v>21</v>
      </c>
      <c r="C1" s="8"/>
      <c r="D1" s="8"/>
      <c r="E1" s="8"/>
      <c r="F1" s="8"/>
      <c r="G1" s="8"/>
      <c r="H1" s="8"/>
    </row>
    <row r="2">
      <c r="A2" s="11"/>
      <c r="B2" s="13">
        <v>46025.0</v>
      </c>
      <c r="C2" s="15" t="s">
        <v>28</v>
      </c>
      <c r="D2" s="15" t="s">
        <v>29</v>
      </c>
      <c r="E2" s="15" t="s">
        <v>30</v>
      </c>
      <c r="F2" s="15" t="s">
        <v>31</v>
      </c>
      <c r="G2" s="15" t="s">
        <v>32</v>
      </c>
      <c r="H2" s="15" t="s">
        <v>33</v>
      </c>
    </row>
    <row r="3">
      <c r="A3" s="3"/>
      <c r="B3" s="5" t="s">
        <v>34</v>
      </c>
      <c r="C3" s="18" t="s">
        <v>35</v>
      </c>
      <c r="D3" s="18" t="s">
        <v>36</v>
      </c>
      <c r="E3" s="18" t="s">
        <v>37</v>
      </c>
      <c r="F3" s="18" t="s">
        <v>38</v>
      </c>
      <c r="G3" s="18" t="s">
        <v>39</v>
      </c>
      <c r="H3" s="18" t="s">
        <v>40</v>
      </c>
    </row>
    <row r="4">
      <c r="A4" s="3" t="s">
        <v>41</v>
      </c>
      <c r="B4" s="20"/>
      <c r="C4" s="18" t="s">
        <v>42</v>
      </c>
      <c r="D4" s="18" t="s">
        <v>42</v>
      </c>
      <c r="E4" s="21" t="s">
        <v>43</v>
      </c>
      <c r="F4" s="18" t="s">
        <v>42</v>
      </c>
      <c r="G4" s="18" t="s">
        <v>42</v>
      </c>
      <c r="H4" s="8"/>
    </row>
    <row r="5">
      <c r="A5" s="3" t="s">
        <v>44</v>
      </c>
      <c r="B5" s="20"/>
      <c r="C5" s="21" t="s">
        <v>45</v>
      </c>
      <c r="D5" s="21" t="s">
        <v>45</v>
      </c>
      <c r="E5" s="21" t="s">
        <v>46</v>
      </c>
      <c r="F5" s="8"/>
      <c r="G5" s="8"/>
      <c r="H5" s="8"/>
    </row>
    <row r="6">
      <c r="A6" s="3" t="s">
        <v>47</v>
      </c>
      <c r="B6" s="20"/>
      <c r="C6" s="21" t="s">
        <v>48</v>
      </c>
      <c r="D6" s="21" t="s">
        <v>48</v>
      </c>
      <c r="E6" s="21" t="s">
        <v>49</v>
      </c>
      <c r="F6" s="8"/>
      <c r="G6" s="8"/>
      <c r="H6" s="8"/>
    </row>
    <row r="7">
      <c r="A7" s="3" t="s">
        <v>50</v>
      </c>
      <c r="B7" s="20"/>
      <c r="C7" s="21" t="s">
        <v>51</v>
      </c>
      <c r="D7" s="21" t="s">
        <v>52</v>
      </c>
      <c r="E7" s="21" t="s">
        <v>53</v>
      </c>
      <c r="F7" s="21" t="s">
        <v>51</v>
      </c>
      <c r="G7" s="21" t="s">
        <v>51</v>
      </c>
      <c r="H7" s="8"/>
    </row>
    <row r="8">
      <c r="A8" s="3" t="s">
        <v>54</v>
      </c>
      <c r="B8" s="20"/>
      <c r="C8" s="18" t="s">
        <v>55</v>
      </c>
      <c r="D8" s="18" t="s">
        <v>56</v>
      </c>
      <c r="E8" s="18" t="s">
        <v>56</v>
      </c>
      <c r="F8" s="18" t="s">
        <v>56</v>
      </c>
      <c r="G8" s="18" t="s">
        <v>56</v>
      </c>
      <c r="H8" s="8"/>
    </row>
    <row r="9">
      <c r="A9" s="3" t="s">
        <v>57</v>
      </c>
      <c r="B9" s="20"/>
      <c r="C9" s="18" t="s">
        <v>58</v>
      </c>
      <c r="D9" s="18" t="s">
        <v>59</v>
      </c>
      <c r="E9" s="18" t="s">
        <v>60</v>
      </c>
      <c r="F9" s="18" t="s">
        <v>61</v>
      </c>
      <c r="G9" s="18" t="s">
        <v>62</v>
      </c>
      <c r="H9" s="8"/>
    </row>
    <row r="10">
      <c r="A10" s="3" t="s">
        <v>63</v>
      </c>
      <c r="B10" s="20"/>
      <c r="C10" s="18" t="s">
        <v>64</v>
      </c>
      <c r="D10" s="18" t="s">
        <v>65</v>
      </c>
      <c r="E10" s="18"/>
      <c r="F10" s="18" t="s">
        <v>62</v>
      </c>
      <c r="G10" s="18" t="s">
        <v>66</v>
      </c>
      <c r="H10" s="8"/>
    </row>
    <row r="11">
      <c r="B11" s="20"/>
      <c r="C11" s="18" t="s">
        <v>67</v>
      </c>
      <c r="D11" s="18" t="s">
        <v>66</v>
      </c>
      <c r="E11" s="18" t="s">
        <v>66</v>
      </c>
      <c r="F11" s="18" t="s">
        <v>66</v>
      </c>
      <c r="G11" s="18" t="s">
        <v>68</v>
      </c>
      <c r="H11" s="8"/>
    </row>
    <row r="12">
      <c r="B12" s="20"/>
      <c r="C12" s="18" t="s">
        <v>65</v>
      </c>
      <c r="D12" s="18" t="s">
        <v>69</v>
      </c>
      <c r="E12" s="18" t="s">
        <v>61</v>
      </c>
      <c r="F12" s="3" t="s">
        <v>69</v>
      </c>
      <c r="G12" s="18" t="s">
        <v>70</v>
      </c>
      <c r="H12" s="8"/>
    </row>
    <row r="13">
      <c r="B13" s="20"/>
      <c r="C13" s="18" t="s">
        <v>71</v>
      </c>
      <c r="D13" s="18" t="s">
        <v>70</v>
      </c>
      <c r="E13" s="18" t="s">
        <v>62</v>
      </c>
      <c r="F13" s="18" t="s">
        <v>72</v>
      </c>
      <c r="G13" s="18" t="s">
        <v>73</v>
      </c>
      <c r="H13" s="8"/>
    </row>
    <row r="14">
      <c r="B14" s="20"/>
      <c r="C14" s="18" t="s">
        <v>74</v>
      </c>
      <c r="D14" s="18" t="s">
        <v>71</v>
      </c>
      <c r="E14" s="18" t="s">
        <v>75</v>
      </c>
      <c r="F14" s="18" t="s">
        <v>76</v>
      </c>
      <c r="G14" s="18" t="s">
        <v>72</v>
      </c>
      <c r="H14" s="8"/>
    </row>
    <row r="15">
      <c r="B15" s="20"/>
      <c r="C15" s="18" t="s">
        <v>77</v>
      </c>
      <c r="D15" s="18" t="s">
        <v>78</v>
      </c>
      <c r="E15" s="18" t="s">
        <v>70</v>
      </c>
      <c r="F15" s="18" t="s">
        <v>80</v>
      </c>
      <c r="G15" s="18" t="s">
        <v>76</v>
      </c>
      <c r="H15" s="8"/>
    </row>
    <row r="16">
      <c r="B16" s="20"/>
      <c r="D16" s="18" t="s">
        <v>82</v>
      </c>
      <c r="E16" s="18" t="s">
        <v>73</v>
      </c>
      <c r="F16" s="8"/>
      <c r="G16" s="8"/>
      <c r="H16" s="8"/>
    </row>
    <row r="17">
      <c r="B17" s="20"/>
      <c r="C17" s="18"/>
      <c r="D17" s="18" t="s">
        <v>83</v>
      </c>
      <c r="E17" s="18" t="s">
        <v>68</v>
      </c>
      <c r="F17" s="8"/>
      <c r="G17" s="8"/>
      <c r="H17" s="8"/>
    </row>
    <row r="18">
      <c r="B18" s="20"/>
      <c r="C18" s="8"/>
      <c r="D18" s="18" t="s">
        <v>61</v>
      </c>
      <c r="E18" s="8"/>
      <c r="F18" s="8"/>
      <c r="G18" s="8"/>
      <c r="H18" s="8"/>
    </row>
    <row r="19">
      <c r="B19" s="20"/>
      <c r="C19" s="8"/>
      <c r="D19" s="18" t="s">
        <v>84</v>
      </c>
      <c r="E19" s="8"/>
      <c r="F19" s="8"/>
      <c r="G19" s="8"/>
      <c r="H19" s="8"/>
    </row>
    <row r="20">
      <c r="B20" s="20"/>
      <c r="C20" s="8"/>
      <c r="D20" s="8"/>
      <c r="E20" s="8"/>
      <c r="F20" s="8"/>
      <c r="G20" s="8"/>
      <c r="H20" s="8"/>
    </row>
    <row r="21">
      <c r="B21" s="20"/>
      <c r="C21" s="8"/>
      <c r="D21" s="18" t="s">
        <v>85</v>
      </c>
      <c r="E21" s="8"/>
      <c r="F21" s="8"/>
      <c r="G21" s="8"/>
      <c r="H21" s="8"/>
    </row>
    <row r="22">
      <c r="B22" s="20"/>
      <c r="C22" s="8"/>
      <c r="D22" s="18" t="s">
        <v>86</v>
      </c>
      <c r="E22" s="8"/>
      <c r="F22" s="8"/>
      <c r="G22" s="8"/>
      <c r="H22" s="8"/>
    </row>
    <row r="23">
      <c r="B23" s="20"/>
      <c r="C23" s="8"/>
      <c r="D23" s="8"/>
      <c r="E23" s="8"/>
      <c r="F23" s="8"/>
      <c r="G23" s="8"/>
      <c r="H23" s="8"/>
    </row>
    <row r="24">
      <c r="B24" s="20"/>
      <c r="C24" s="8"/>
      <c r="D24" s="8"/>
      <c r="E24" s="8"/>
      <c r="F24" s="8"/>
      <c r="G24" s="8"/>
      <c r="H24" s="8"/>
    </row>
    <row r="25">
      <c r="B25" s="20"/>
      <c r="C25" s="8"/>
      <c r="D25" s="8"/>
      <c r="E25" s="8"/>
      <c r="F25" s="8"/>
      <c r="G25" s="8"/>
      <c r="H25" s="8"/>
    </row>
    <row r="26">
      <c r="B26" s="20"/>
      <c r="C26" s="8"/>
      <c r="D26" s="8"/>
      <c r="E26" s="8"/>
      <c r="F26" s="8"/>
      <c r="G26" s="8"/>
      <c r="H26" s="8"/>
    </row>
    <row r="27">
      <c r="B27" s="20"/>
      <c r="C27" s="8"/>
      <c r="D27" s="8"/>
      <c r="E27" s="8"/>
      <c r="F27" s="8"/>
      <c r="G27" s="8"/>
      <c r="H27" s="8"/>
    </row>
    <row r="28">
      <c r="B28" s="20"/>
      <c r="C28" s="8"/>
      <c r="D28" s="8"/>
      <c r="E28" s="8"/>
      <c r="F28" s="8"/>
      <c r="G28" s="8"/>
      <c r="H28" s="8"/>
    </row>
    <row r="29">
      <c r="B29" s="20"/>
      <c r="C29" s="8"/>
      <c r="D29" s="8"/>
      <c r="E29" s="8"/>
      <c r="F29" s="8"/>
      <c r="G29" s="8"/>
      <c r="H29" s="8"/>
    </row>
    <row r="30">
      <c r="B30" s="20"/>
      <c r="C30" s="8"/>
      <c r="D30" s="8"/>
      <c r="E30" s="8"/>
      <c r="F30" s="8"/>
      <c r="G30" s="8"/>
      <c r="H30" s="8"/>
    </row>
    <row r="31">
      <c r="B31" s="20"/>
      <c r="C31" s="8"/>
      <c r="D31" s="8"/>
      <c r="E31" s="8"/>
      <c r="F31" s="8"/>
      <c r="G31" s="8"/>
      <c r="H31" s="8"/>
    </row>
    <row r="32">
      <c r="B32" s="20"/>
      <c r="C32" s="8"/>
      <c r="D32" s="8"/>
      <c r="E32" s="8"/>
      <c r="F32" s="8"/>
      <c r="G32" s="8"/>
      <c r="H32" s="8"/>
    </row>
    <row r="33">
      <c r="B33" s="20"/>
      <c r="C33" s="8"/>
      <c r="D33" s="8"/>
      <c r="E33" s="8"/>
      <c r="F33" s="8"/>
      <c r="G33" s="8"/>
      <c r="H33" s="8"/>
    </row>
    <row r="34">
      <c r="B34" s="20"/>
      <c r="C34" s="8"/>
      <c r="D34" s="8"/>
      <c r="E34" s="8"/>
      <c r="F34" s="8"/>
      <c r="G34" s="8"/>
      <c r="H34" s="8"/>
    </row>
    <row r="35">
      <c r="B35" s="20"/>
      <c r="C35" s="8"/>
      <c r="D35" s="8"/>
      <c r="E35" s="8"/>
      <c r="F35" s="8"/>
      <c r="G35" s="8"/>
      <c r="H35" s="8"/>
    </row>
    <row r="36">
      <c r="B36" s="20"/>
      <c r="C36" s="8"/>
      <c r="D36" s="8"/>
      <c r="E36" s="8"/>
      <c r="F36" s="8"/>
      <c r="G36" s="8"/>
      <c r="H36" s="8"/>
    </row>
    <row r="37">
      <c r="B37" s="20"/>
      <c r="C37" s="8"/>
      <c r="D37" s="8"/>
      <c r="E37" s="8"/>
      <c r="F37" s="8"/>
      <c r="G37" s="8"/>
      <c r="H37" s="8"/>
    </row>
    <row r="38">
      <c r="B38" s="20"/>
      <c r="C38" s="8"/>
      <c r="D38" s="8"/>
      <c r="E38" s="8"/>
      <c r="F38" s="8"/>
      <c r="G38" s="8"/>
      <c r="H38" s="8"/>
    </row>
    <row r="39">
      <c r="B39" s="20"/>
      <c r="C39" s="8"/>
      <c r="D39" s="8"/>
      <c r="E39" s="8"/>
      <c r="F39" s="8"/>
      <c r="G39" s="8"/>
      <c r="H39" s="8"/>
    </row>
    <row r="40">
      <c r="B40" s="20"/>
      <c r="C40" s="8"/>
      <c r="D40" s="8"/>
      <c r="E40" s="8"/>
      <c r="F40" s="8"/>
      <c r="G40" s="8"/>
      <c r="H40" s="8"/>
    </row>
    <row r="41">
      <c r="B41" s="20"/>
      <c r="C41" s="8"/>
      <c r="D41" s="8"/>
      <c r="E41" s="8"/>
      <c r="F41" s="8"/>
      <c r="G41" s="8"/>
      <c r="H41" s="8"/>
    </row>
    <row r="42">
      <c r="B42" s="20"/>
      <c r="C42" s="8"/>
      <c r="D42" s="8"/>
      <c r="E42" s="8"/>
      <c r="F42" s="8"/>
      <c r="G42" s="8"/>
      <c r="H42" s="8"/>
    </row>
    <row r="43">
      <c r="B43" s="20"/>
      <c r="C43" s="8"/>
      <c r="D43" s="8"/>
      <c r="E43" s="8"/>
      <c r="F43" s="8"/>
      <c r="G43" s="8"/>
      <c r="H43" s="8"/>
    </row>
    <row r="44">
      <c r="B44" s="20"/>
      <c r="C44" s="8"/>
      <c r="D44" s="8"/>
      <c r="E44" s="8"/>
      <c r="F44" s="8"/>
      <c r="G44" s="8"/>
      <c r="H44" s="8"/>
    </row>
    <row r="45">
      <c r="B45" s="20"/>
      <c r="C45" s="8"/>
      <c r="D45" s="8"/>
      <c r="E45" s="8"/>
      <c r="F45" s="8"/>
      <c r="G45" s="8"/>
      <c r="H45" s="8"/>
    </row>
    <row r="46">
      <c r="B46" s="20"/>
      <c r="C46" s="8"/>
      <c r="D46" s="8"/>
      <c r="E46" s="8"/>
      <c r="F46" s="8"/>
      <c r="G46" s="8"/>
      <c r="H46" s="8"/>
    </row>
    <row r="47">
      <c r="B47" s="20"/>
      <c r="C47" s="8"/>
      <c r="D47" s="8"/>
      <c r="E47" s="8"/>
      <c r="F47" s="8"/>
      <c r="G47" s="8"/>
      <c r="H47" s="8"/>
    </row>
    <row r="48">
      <c r="B48" s="20"/>
      <c r="C48" s="8"/>
      <c r="D48" s="8"/>
      <c r="E48" s="8"/>
      <c r="F48" s="8"/>
      <c r="G48" s="8"/>
      <c r="H48" s="8"/>
    </row>
    <row r="49">
      <c r="B49" s="20"/>
      <c r="C49" s="8"/>
      <c r="D49" s="8"/>
      <c r="E49" s="8"/>
      <c r="F49" s="8"/>
      <c r="G49" s="8"/>
      <c r="H49" s="8"/>
    </row>
    <row r="50">
      <c r="B50" s="20"/>
      <c r="C50" s="8"/>
      <c r="D50" s="8"/>
      <c r="E50" s="8"/>
      <c r="F50" s="8"/>
      <c r="G50" s="8"/>
      <c r="H50" s="8"/>
    </row>
    <row r="51">
      <c r="B51" s="20"/>
      <c r="C51" s="8"/>
      <c r="D51" s="8"/>
      <c r="E51" s="8"/>
      <c r="F51" s="8"/>
      <c r="G51" s="8"/>
      <c r="H51" s="8"/>
    </row>
    <row r="52">
      <c r="B52" s="20"/>
      <c r="C52" s="8"/>
      <c r="D52" s="8"/>
      <c r="E52" s="8"/>
      <c r="F52" s="8"/>
      <c r="G52" s="8"/>
      <c r="H52" s="8"/>
    </row>
    <row r="53">
      <c r="B53" s="20"/>
      <c r="C53" s="8"/>
      <c r="D53" s="8"/>
      <c r="E53" s="8"/>
      <c r="F53" s="8"/>
      <c r="G53" s="8"/>
      <c r="H53" s="8"/>
    </row>
    <row r="54">
      <c r="B54" s="20"/>
      <c r="C54" s="8"/>
      <c r="D54" s="8"/>
      <c r="E54" s="8"/>
      <c r="F54" s="8"/>
      <c r="G54" s="8"/>
      <c r="H54" s="8"/>
    </row>
    <row r="55">
      <c r="B55" s="20"/>
      <c r="C55" s="8"/>
      <c r="D55" s="8"/>
      <c r="E55" s="8"/>
      <c r="F55" s="8"/>
      <c r="G55" s="8"/>
      <c r="H55" s="8"/>
    </row>
    <row r="56">
      <c r="B56" s="20"/>
      <c r="C56" s="8"/>
      <c r="D56" s="8"/>
      <c r="E56" s="8"/>
      <c r="F56" s="8"/>
      <c r="G56" s="8"/>
      <c r="H56" s="8"/>
    </row>
    <row r="57">
      <c r="B57" s="20"/>
      <c r="C57" s="8"/>
      <c r="D57" s="8"/>
      <c r="E57" s="8"/>
      <c r="F57" s="8"/>
      <c r="G57" s="8"/>
      <c r="H57" s="8"/>
    </row>
    <row r="58">
      <c r="B58" s="20"/>
      <c r="C58" s="8"/>
      <c r="D58" s="8"/>
      <c r="E58" s="8"/>
      <c r="F58" s="8"/>
      <c r="G58" s="8"/>
      <c r="H58" s="8"/>
    </row>
    <row r="59">
      <c r="B59" s="20"/>
      <c r="C59" s="8"/>
      <c r="D59" s="8"/>
      <c r="E59" s="8"/>
      <c r="F59" s="8"/>
      <c r="G59" s="8"/>
      <c r="H59" s="8"/>
    </row>
    <row r="60">
      <c r="B60" s="20"/>
      <c r="C60" s="8"/>
      <c r="D60" s="8"/>
      <c r="E60" s="8"/>
      <c r="F60" s="8"/>
      <c r="G60" s="8"/>
      <c r="H60" s="8"/>
    </row>
    <row r="61">
      <c r="B61" s="20"/>
      <c r="C61" s="8"/>
      <c r="D61" s="8"/>
      <c r="E61" s="8"/>
      <c r="F61" s="8"/>
      <c r="G61" s="8"/>
      <c r="H61" s="8"/>
    </row>
    <row r="62">
      <c r="B62" s="20"/>
      <c r="C62" s="8"/>
      <c r="D62" s="8"/>
      <c r="E62" s="8"/>
      <c r="F62" s="8"/>
      <c r="G62" s="8"/>
      <c r="H62" s="8"/>
    </row>
    <row r="63">
      <c r="B63" s="20"/>
      <c r="C63" s="8"/>
      <c r="D63" s="8"/>
      <c r="E63" s="8"/>
      <c r="F63" s="8"/>
      <c r="G63" s="8"/>
      <c r="H63" s="8"/>
    </row>
    <row r="64">
      <c r="B64" s="20"/>
      <c r="C64" s="8"/>
      <c r="D64" s="8"/>
      <c r="E64" s="8"/>
      <c r="F64" s="8"/>
      <c r="G64" s="8"/>
      <c r="H64" s="8"/>
    </row>
    <row r="65">
      <c r="B65" s="20"/>
      <c r="C65" s="8"/>
      <c r="D65" s="8"/>
      <c r="E65" s="8"/>
      <c r="F65" s="8"/>
      <c r="G65" s="8"/>
      <c r="H65" s="8"/>
    </row>
    <row r="66">
      <c r="B66" s="20"/>
      <c r="C66" s="8"/>
      <c r="D66" s="8"/>
      <c r="E66" s="8"/>
      <c r="F66" s="8"/>
      <c r="G66" s="8"/>
      <c r="H66" s="8"/>
    </row>
    <row r="67">
      <c r="B67" s="20"/>
      <c r="C67" s="8"/>
      <c r="D67" s="8"/>
      <c r="E67" s="8"/>
      <c r="F67" s="8"/>
      <c r="G67" s="8"/>
      <c r="H67" s="8"/>
    </row>
    <row r="68">
      <c r="B68" s="20"/>
      <c r="C68" s="8"/>
      <c r="D68" s="8"/>
      <c r="E68" s="8"/>
      <c r="F68" s="8"/>
      <c r="G68" s="8"/>
      <c r="H68" s="8"/>
    </row>
    <row r="69">
      <c r="B69" s="20"/>
      <c r="C69" s="8"/>
      <c r="D69" s="8"/>
      <c r="E69" s="8"/>
      <c r="F69" s="8"/>
      <c r="G69" s="8"/>
      <c r="H69" s="8"/>
    </row>
    <row r="70">
      <c r="B70" s="20"/>
      <c r="C70" s="8"/>
      <c r="D70" s="8"/>
      <c r="E70" s="8"/>
      <c r="F70" s="8"/>
      <c r="G70" s="8"/>
      <c r="H70" s="8"/>
    </row>
    <row r="71">
      <c r="B71" s="20"/>
      <c r="C71" s="8"/>
      <c r="D71" s="8"/>
      <c r="E71" s="8"/>
      <c r="F71" s="8"/>
      <c r="G71" s="8"/>
      <c r="H71" s="8"/>
    </row>
    <row r="72">
      <c r="B72" s="20"/>
      <c r="C72" s="8"/>
      <c r="D72" s="8"/>
      <c r="E72" s="8"/>
      <c r="F72" s="8"/>
      <c r="G72" s="8"/>
      <c r="H72" s="8"/>
    </row>
    <row r="73">
      <c r="B73" s="20"/>
      <c r="C73" s="8"/>
      <c r="D73" s="8"/>
      <c r="E73" s="8"/>
      <c r="F73" s="8"/>
      <c r="G73" s="8"/>
      <c r="H73" s="8"/>
    </row>
    <row r="74">
      <c r="B74" s="20"/>
      <c r="C74" s="8"/>
      <c r="D74" s="8"/>
      <c r="E74" s="8"/>
      <c r="F74" s="8"/>
      <c r="G74" s="8"/>
      <c r="H74" s="8"/>
    </row>
    <row r="75">
      <c r="B75" s="20"/>
      <c r="C75" s="8"/>
      <c r="D75" s="8"/>
      <c r="E75" s="8"/>
      <c r="F75" s="8"/>
      <c r="G75" s="8"/>
      <c r="H75" s="8"/>
    </row>
    <row r="76">
      <c r="B76" s="20"/>
      <c r="C76" s="8"/>
      <c r="D76" s="8"/>
      <c r="E76" s="8"/>
      <c r="F76" s="8"/>
      <c r="G76" s="8"/>
      <c r="H76" s="8"/>
    </row>
    <row r="77">
      <c r="B77" s="20"/>
      <c r="C77" s="8"/>
      <c r="D77" s="8"/>
      <c r="E77" s="8"/>
      <c r="F77" s="8"/>
      <c r="G77" s="8"/>
      <c r="H77" s="8"/>
    </row>
    <row r="78">
      <c r="B78" s="20"/>
      <c r="C78" s="8"/>
      <c r="D78" s="8"/>
      <c r="E78" s="8"/>
      <c r="F78" s="8"/>
      <c r="G78" s="8"/>
      <c r="H78" s="8"/>
    </row>
    <row r="79">
      <c r="B79" s="20"/>
      <c r="C79" s="8"/>
      <c r="D79" s="8"/>
      <c r="E79" s="8"/>
      <c r="F79" s="8"/>
      <c r="G79" s="8"/>
      <c r="H79" s="8"/>
    </row>
    <row r="80">
      <c r="B80" s="20"/>
      <c r="C80" s="8"/>
      <c r="D80" s="8"/>
      <c r="E80" s="8"/>
      <c r="F80" s="8"/>
      <c r="G80" s="8"/>
      <c r="H80" s="8"/>
    </row>
    <row r="81">
      <c r="B81" s="20"/>
      <c r="C81" s="8"/>
      <c r="D81" s="8"/>
      <c r="E81" s="8"/>
      <c r="F81" s="8"/>
      <c r="G81" s="8"/>
      <c r="H81" s="8"/>
    </row>
    <row r="82">
      <c r="B82" s="20"/>
      <c r="C82" s="8"/>
      <c r="D82" s="8"/>
      <c r="E82" s="8"/>
      <c r="F82" s="8"/>
      <c r="G82" s="8"/>
      <c r="H82" s="8"/>
    </row>
    <row r="83">
      <c r="B83" s="20"/>
      <c r="C83" s="8"/>
      <c r="D83" s="8"/>
      <c r="E83" s="8"/>
      <c r="F83" s="8"/>
      <c r="G83" s="8"/>
      <c r="H83" s="8"/>
    </row>
    <row r="84">
      <c r="B84" s="20"/>
      <c r="C84" s="8"/>
      <c r="D84" s="8"/>
      <c r="E84" s="8"/>
      <c r="F84" s="8"/>
      <c r="G84" s="8"/>
      <c r="H84" s="8"/>
    </row>
    <row r="85">
      <c r="B85" s="20"/>
      <c r="C85" s="8"/>
      <c r="D85" s="8"/>
      <c r="E85" s="8"/>
      <c r="F85" s="8"/>
      <c r="G85" s="8"/>
      <c r="H85" s="8"/>
    </row>
    <row r="86">
      <c r="B86" s="20"/>
      <c r="C86" s="8"/>
      <c r="D86" s="8"/>
      <c r="E86" s="8"/>
      <c r="F86" s="8"/>
      <c r="G86" s="8"/>
      <c r="H86" s="8"/>
    </row>
    <row r="87">
      <c r="B87" s="20"/>
      <c r="C87" s="8"/>
      <c r="D87" s="8"/>
      <c r="E87" s="8"/>
      <c r="F87" s="8"/>
      <c r="G87" s="8"/>
      <c r="H87" s="8"/>
    </row>
    <row r="88">
      <c r="B88" s="20"/>
      <c r="C88" s="8"/>
      <c r="D88" s="8"/>
      <c r="E88" s="8"/>
      <c r="F88" s="8"/>
      <c r="G88" s="8"/>
      <c r="H88" s="8"/>
    </row>
    <row r="89">
      <c r="B89" s="20"/>
      <c r="C89" s="8"/>
      <c r="D89" s="8"/>
      <c r="E89" s="8"/>
      <c r="F89" s="8"/>
      <c r="G89" s="8"/>
      <c r="H89" s="8"/>
    </row>
    <row r="90">
      <c r="B90" s="20"/>
      <c r="C90" s="8"/>
      <c r="D90" s="8"/>
      <c r="E90" s="8"/>
      <c r="F90" s="8"/>
      <c r="G90" s="8"/>
      <c r="H90" s="8"/>
    </row>
    <row r="91">
      <c r="B91" s="20"/>
      <c r="C91" s="8"/>
      <c r="D91" s="8"/>
      <c r="E91" s="8"/>
      <c r="F91" s="8"/>
      <c r="G91" s="8"/>
      <c r="H91" s="8"/>
    </row>
    <row r="92">
      <c r="B92" s="20"/>
      <c r="C92" s="8"/>
      <c r="D92" s="8"/>
      <c r="E92" s="8"/>
      <c r="F92" s="8"/>
      <c r="G92" s="8"/>
      <c r="H92" s="8"/>
    </row>
    <row r="93">
      <c r="B93" s="20"/>
      <c r="C93" s="8"/>
      <c r="D93" s="8"/>
      <c r="E93" s="8"/>
      <c r="F93" s="8"/>
      <c r="G93" s="8"/>
      <c r="H93" s="8"/>
    </row>
    <row r="94">
      <c r="B94" s="20"/>
      <c r="C94" s="8"/>
      <c r="D94" s="8"/>
      <c r="E94" s="8"/>
      <c r="F94" s="8"/>
      <c r="G94" s="8"/>
      <c r="H94" s="8"/>
    </row>
    <row r="95">
      <c r="B95" s="20"/>
      <c r="C95" s="8"/>
      <c r="D95" s="8"/>
      <c r="E95" s="8"/>
      <c r="F95" s="8"/>
      <c r="G95" s="8"/>
      <c r="H95" s="8"/>
    </row>
    <row r="96">
      <c r="B96" s="20"/>
      <c r="C96" s="8"/>
      <c r="D96" s="8"/>
      <c r="E96" s="8"/>
      <c r="F96" s="8"/>
      <c r="G96" s="8"/>
      <c r="H96" s="8"/>
    </row>
    <row r="97">
      <c r="B97" s="20"/>
      <c r="C97" s="8"/>
      <c r="D97" s="8"/>
      <c r="E97" s="8"/>
      <c r="F97" s="8"/>
      <c r="G97" s="8"/>
      <c r="H97" s="8"/>
    </row>
    <row r="98">
      <c r="B98" s="20"/>
      <c r="C98" s="8"/>
      <c r="D98" s="8"/>
      <c r="E98" s="8"/>
      <c r="F98" s="8"/>
      <c r="G98" s="8"/>
      <c r="H98" s="8"/>
    </row>
    <row r="99">
      <c r="B99" s="20"/>
      <c r="C99" s="8"/>
      <c r="D99" s="8"/>
      <c r="E99" s="8"/>
      <c r="F99" s="8"/>
      <c r="G99" s="8"/>
      <c r="H99" s="8"/>
    </row>
    <row r="100">
      <c r="B100" s="20"/>
      <c r="C100" s="8"/>
      <c r="D100" s="8"/>
      <c r="E100" s="8"/>
      <c r="F100" s="8"/>
      <c r="G100" s="8"/>
      <c r="H100" s="8"/>
    </row>
    <row r="101">
      <c r="B101" s="20"/>
      <c r="C101" s="8"/>
      <c r="D101" s="8"/>
      <c r="E101" s="8"/>
      <c r="F101" s="8"/>
      <c r="G101" s="8"/>
      <c r="H101" s="8"/>
    </row>
    <row r="102">
      <c r="B102" s="20"/>
      <c r="C102" s="8"/>
      <c r="D102" s="8"/>
      <c r="E102" s="8"/>
      <c r="F102" s="8"/>
      <c r="G102" s="8"/>
      <c r="H102" s="8"/>
    </row>
    <row r="103">
      <c r="B103" s="20"/>
      <c r="C103" s="8"/>
      <c r="D103" s="8"/>
      <c r="E103" s="8"/>
      <c r="F103" s="8"/>
      <c r="G103" s="8"/>
      <c r="H103" s="8"/>
    </row>
    <row r="104">
      <c r="B104" s="20"/>
      <c r="C104" s="8"/>
      <c r="D104" s="8"/>
      <c r="E104" s="8"/>
      <c r="F104" s="8"/>
      <c r="G104" s="8"/>
      <c r="H104" s="8"/>
    </row>
    <row r="105">
      <c r="B105" s="20"/>
      <c r="C105" s="8"/>
      <c r="D105" s="8"/>
      <c r="E105" s="8"/>
      <c r="F105" s="8"/>
      <c r="G105" s="8"/>
      <c r="H105" s="8"/>
    </row>
    <row r="106">
      <c r="B106" s="20"/>
      <c r="C106" s="8"/>
      <c r="D106" s="8"/>
      <c r="E106" s="8"/>
      <c r="F106" s="8"/>
      <c r="G106" s="8"/>
      <c r="H106" s="8"/>
    </row>
    <row r="107">
      <c r="B107" s="20"/>
      <c r="C107" s="8"/>
      <c r="D107" s="8"/>
      <c r="E107" s="8"/>
      <c r="F107" s="8"/>
      <c r="G107" s="8"/>
      <c r="H107" s="8"/>
    </row>
    <row r="108">
      <c r="B108" s="20"/>
      <c r="C108" s="8"/>
      <c r="D108" s="8"/>
      <c r="E108" s="8"/>
      <c r="F108" s="8"/>
      <c r="G108" s="8"/>
      <c r="H108" s="8"/>
    </row>
    <row r="109">
      <c r="B109" s="20"/>
      <c r="C109" s="8"/>
      <c r="D109" s="8"/>
      <c r="E109" s="8"/>
      <c r="F109" s="8"/>
      <c r="G109" s="8"/>
      <c r="H109" s="8"/>
    </row>
    <row r="110">
      <c r="B110" s="20"/>
      <c r="C110" s="8"/>
      <c r="D110" s="8"/>
      <c r="E110" s="8"/>
      <c r="F110" s="8"/>
      <c r="G110" s="8"/>
      <c r="H110" s="8"/>
    </row>
    <row r="111">
      <c r="B111" s="20"/>
      <c r="C111" s="8"/>
      <c r="D111" s="8"/>
      <c r="E111" s="8"/>
      <c r="F111" s="8"/>
      <c r="G111" s="8"/>
      <c r="H111" s="8"/>
    </row>
    <row r="112">
      <c r="B112" s="20"/>
      <c r="C112" s="8"/>
      <c r="D112" s="8"/>
      <c r="E112" s="8"/>
      <c r="F112" s="8"/>
      <c r="G112" s="8"/>
      <c r="H112" s="8"/>
    </row>
    <row r="113">
      <c r="B113" s="20"/>
      <c r="C113" s="8"/>
      <c r="D113" s="8"/>
      <c r="E113" s="8"/>
      <c r="F113" s="8"/>
      <c r="G113" s="8"/>
      <c r="H113" s="8"/>
    </row>
    <row r="114">
      <c r="B114" s="20"/>
      <c r="C114" s="8"/>
      <c r="D114" s="8"/>
      <c r="E114" s="8"/>
      <c r="F114" s="8"/>
      <c r="G114" s="8"/>
      <c r="H114" s="8"/>
    </row>
    <row r="115">
      <c r="B115" s="20"/>
      <c r="C115" s="8"/>
      <c r="D115" s="8"/>
      <c r="E115" s="8"/>
      <c r="F115" s="8"/>
      <c r="G115" s="8"/>
      <c r="H115" s="8"/>
    </row>
    <row r="116">
      <c r="B116" s="20"/>
      <c r="C116" s="8"/>
      <c r="D116" s="8"/>
      <c r="E116" s="8"/>
      <c r="F116" s="8"/>
      <c r="G116" s="8"/>
      <c r="H116" s="8"/>
    </row>
    <row r="117">
      <c r="B117" s="20"/>
      <c r="C117" s="8"/>
      <c r="D117" s="8"/>
      <c r="E117" s="8"/>
      <c r="F117" s="8"/>
      <c r="G117" s="8"/>
      <c r="H117" s="8"/>
    </row>
    <row r="118">
      <c r="B118" s="20"/>
      <c r="C118" s="8"/>
      <c r="D118" s="8"/>
      <c r="E118" s="8"/>
      <c r="F118" s="8"/>
      <c r="G118" s="8"/>
      <c r="H118" s="8"/>
    </row>
    <row r="119">
      <c r="B119" s="20"/>
      <c r="C119" s="8"/>
      <c r="D119" s="8"/>
      <c r="E119" s="8"/>
      <c r="F119" s="8"/>
      <c r="G119" s="8"/>
      <c r="H119" s="8"/>
    </row>
    <row r="120">
      <c r="B120" s="20"/>
      <c r="C120" s="8"/>
      <c r="D120" s="8"/>
      <c r="E120" s="8"/>
      <c r="F120" s="8"/>
      <c r="G120" s="8"/>
      <c r="H120" s="8"/>
    </row>
    <row r="121">
      <c r="B121" s="20"/>
      <c r="C121" s="8"/>
      <c r="D121" s="8"/>
      <c r="E121" s="8"/>
      <c r="F121" s="8"/>
      <c r="G121" s="8"/>
      <c r="H121" s="8"/>
    </row>
    <row r="122">
      <c r="B122" s="20"/>
      <c r="C122" s="8"/>
      <c r="D122" s="8"/>
      <c r="E122" s="8"/>
      <c r="F122" s="8"/>
      <c r="G122" s="8"/>
      <c r="H122" s="8"/>
    </row>
    <row r="123">
      <c r="B123" s="20"/>
      <c r="C123" s="8"/>
      <c r="D123" s="8"/>
      <c r="E123" s="8"/>
      <c r="F123" s="8"/>
      <c r="G123" s="8"/>
      <c r="H123" s="8"/>
    </row>
    <row r="124">
      <c r="B124" s="20"/>
      <c r="C124" s="8"/>
      <c r="D124" s="8"/>
      <c r="E124" s="8"/>
      <c r="F124" s="8"/>
      <c r="G124" s="8"/>
      <c r="H124" s="8"/>
    </row>
    <row r="125">
      <c r="B125" s="20"/>
      <c r="C125" s="8"/>
      <c r="D125" s="8"/>
      <c r="E125" s="8"/>
      <c r="F125" s="8"/>
      <c r="G125" s="8"/>
      <c r="H125" s="8"/>
    </row>
    <row r="126">
      <c r="B126" s="20"/>
      <c r="C126" s="8"/>
      <c r="D126" s="8"/>
      <c r="E126" s="8"/>
      <c r="F126" s="8"/>
      <c r="G126" s="8"/>
      <c r="H126" s="8"/>
    </row>
    <row r="127">
      <c r="B127" s="20"/>
      <c r="C127" s="8"/>
      <c r="D127" s="8"/>
      <c r="E127" s="8"/>
      <c r="F127" s="8"/>
      <c r="G127" s="8"/>
      <c r="H127" s="8"/>
    </row>
    <row r="128">
      <c r="B128" s="20"/>
      <c r="C128" s="8"/>
      <c r="D128" s="8"/>
      <c r="E128" s="8"/>
      <c r="F128" s="8"/>
      <c r="G128" s="8"/>
      <c r="H128" s="8"/>
    </row>
    <row r="129">
      <c r="B129" s="20"/>
      <c r="C129" s="8"/>
      <c r="D129" s="8"/>
      <c r="E129" s="8"/>
      <c r="F129" s="8"/>
      <c r="G129" s="8"/>
      <c r="H129" s="8"/>
    </row>
    <row r="130">
      <c r="B130" s="20"/>
      <c r="C130" s="8"/>
      <c r="D130" s="8"/>
      <c r="E130" s="8"/>
      <c r="F130" s="8"/>
      <c r="G130" s="8"/>
      <c r="H130" s="8"/>
    </row>
    <row r="131">
      <c r="B131" s="20"/>
      <c r="C131" s="8"/>
      <c r="D131" s="8"/>
      <c r="E131" s="8"/>
      <c r="F131" s="8"/>
      <c r="G131" s="8"/>
      <c r="H131" s="8"/>
    </row>
    <row r="132">
      <c r="B132" s="20"/>
      <c r="C132" s="8"/>
      <c r="D132" s="8"/>
      <c r="E132" s="8"/>
      <c r="F132" s="8"/>
      <c r="G132" s="8"/>
      <c r="H132" s="8"/>
    </row>
    <row r="133">
      <c r="B133" s="20"/>
      <c r="C133" s="8"/>
      <c r="D133" s="8"/>
      <c r="E133" s="8"/>
      <c r="F133" s="8"/>
      <c r="G133" s="8"/>
      <c r="H133" s="8"/>
    </row>
    <row r="134">
      <c r="B134" s="20"/>
      <c r="C134" s="8"/>
      <c r="D134" s="8"/>
      <c r="E134" s="8"/>
      <c r="F134" s="8"/>
      <c r="G134" s="8"/>
      <c r="H134" s="8"/>
    </row>
    <row r="135">
      <c r="B135" s="20"/>
      <c r="C135" s="8"/>
      <c r="D135" s="8"/>
      <c r="E135" s="8"/>
      <c r="F135" s="8"/>
      <c r="G135" s="8"/>
      <c r="H135" s="8"/>
    </row>
    <row r="136">
      <c r="B136" s="20"/>
      <c r="C136" s="8"/>
      <c r="D136" s="8"/>
      <c r="E136" s="8"/>
      <c r="F136" s="8"/>
      <c r="G136" s="8"/>
      <c r="H136" s="8"/>
    </row>
    <row r="137">
      <c r="B137" s="20"/>
      <c r="C137" s="8"/>
      <c r="D137" s="8"/>
      <c r="E137" s="8"/>
      <c r="F137" s="8"/>
      <c r="G137" s="8"/>
      <c r="H137" s="8"/>
    </row>
    <row r="138">
      <c r="B138" s="20"/>
      <c r="C138" s="8"/>
      <c r="D138" s="8"/>
      <c r="E138" s="8"/>
      <c r="F138" s="8"/>
      <c r="G138" s="8"/>
      <c r="H138" s="8"/>
    </row>
    <row r="139">
      <c r="B139" s="20"/>
      <c r="C139" s="8"/>
      <c r="D139" s="8"/>
      <c r="E139" s="8"/>
      <c r="F139" s="8"/>
      <c r="G139" s="8"/>
      <c r="H139" s="8"/>
    </row>
    <row r="140">
      <c r="B140" s="20"/>
      <c r="C140" s="8"/>
      <c r="D140" s="8"/>
      <c r="E140" s="8"/>
      <c r="F140" s="8"/>
      <c r="G140" s="8"/>
      <c r="H140" s="8"/>
    </row>
    <row r="141">
      <c r="B141" s="20"/>
      <c r="C141" s="8"/>
      <c r="D141" s="8"/>
      <c r="E141" s="8"/>
      <c r="F141" s="8"/>
      <c r="G141" s="8"/>
      <c r="H141" s="8"/>
    </row>
    <row r="142">
      <c r="B142" s="20"/>
      <c r="C142" s="8"/>
      <c r="D142" s="8"/>
      <c r="E142" s="8"/>
      <c r="F142" s="8"/>
      <c r="G142" s="8"/>
      <c r="H142" s="8"/>
    </row>
    <row r="143">
      <c r="B143" s="20"/>
      <c r="C143" s="8"/>
      <c r="D143" s="8"/>
      <c r="E143" s="8"/>
      <c r="F143" s="8"/>
      <c r="G143" s="8"/>
      <c r="H143" s="8"/>
    </row>
    <row r="144">
      <c r="B144" s="20"/>
      <c r="C144" s="8"/>
      <c r="D144" s="8"/>
      <c r="E144" s="8"/>
      <c r="F144" s="8"/>
      <c r="G144" s="8"/>
      <c r="H144" s="8"/>
    </row>
    <row r="145">
      <c r="B145" s="20"/>
      <c r="C145" s="8"/>
      <c r="D145" s="8"/>
      <c r="E145" s="8"/>
      <c r="F145" s="8"/>
      <c r="G145" s="8"/>
      <c r="H145" s="8"/>
    </row>
    <row r="146">
      <c r="B146" s="20"/>
      <c r="C146" s="8"/>
      <c r="D146" s="8"/>
      <c r="E146" s="8"/>
      <c r="F146" s="8"/>
      <c r="G146" s="8"/>
      <c r="H146" s="8"/>
    </row>
    <row r="147">
      <c r="B147" s="20"/>
      <c r="C147" s="8"/>
      <c r="D147" s="8"/>
      <c r="E147" s="8"/>
      <c r="F147" s="8"/>
      <c r="G147" s="8"/>
      <c r="H147" s="8"/>
    </row>
    <row r="148">
      <c r="B148" s="20"/>
      <c r="C148" s="8"/>
      <c r="D148" s="8"/>
      <c r="E148" s="8"/>
      <c r="F148" s="8"/>
      <c r="G148" s="8"/>
      <c r="H148" s="8"/>
    </row>
    <row r="149">
      <c r="B149" s="20"/>
      <c r="C149" s="8"/>
      <c r="D149" s="8"/>
      <c r="E149" s="8"/>
      <c r="F149" s="8"/>
      <c r="G149" s="8"/>
      <c r="H149" s="8"/>
    </row>
    <row r="150">
      <c r="B150" s="20"/>
      <c r="C150" s="8"/>
      <c r="D150" s="8"/>
      <c r="E150" s="8"/>
      <c r="F150" s="8"/>
      <c r="G150" s="8"/>
      <c r="H150" s="8"/>
    </row>
    <row r="151">
      <c r="B151" s="20"/>
      <c r="C151" s="8"/>
      <c r="D151" s="8"/>
      <c r="E151" s="8"/>
      <c r="F151" s="8"/>
      <c r="G151" s="8"/>
      <c r="H151" s="8"/>
    </row>
    <row r="152">
      <c r="B152" s="20"/>
      <c r="C152" s="8"/>
      <c r="D152" s="8"/>
      <c r="E152" s="8"/>
      <c r="F152" s="8"/>
      <c r="G152" s="8"/>
      <c r="H152" s="8"/>
    </row>
    <row r="153">
      <c r="B153" s="20"/>
      <c r="C153" s="8"/>
      <c r="D153" s="8"/>
      <c r="E153" s="8"/>
      <c r="F153" s="8"/>
      <c r="G153" s="8"/>
      <c r="H153" s="8"/>
    </row>
    <row r="154">
      <c r="B154" s="20"/>
      <c r="C154" s="8"/>
      <c r="D154" s="8"/>
      <c r="E154" s="8"/>
      <c r="F154" s="8"/>
      <c r="G154" s="8"/>
      <c r="H154" s="8"/>
    </row>
    <row r="155">
      <c r="B155" s="20"/>
      <c r="C155" s="8"/>
      <c r="D155" s="8"/>
      <c r="E155" s="8"/>
      <c r="F155" s="8"/>
      <c r="G155" s="8"/>
      <c r="H155" s="8"/>
    </row>
    <row r="156">
      <c r="B156" s="20"/>
      <c r="C156" s="8"/>
      <c r="D156" s="8"/>
      <c r="E156" s="8"/>
      <c r="F156" s="8"/>
      <c r="G156" s="8"/>
      <c r="H156" s="8"/>
    </row>
    <row r="157">
      <c r="B157" s="20"/>
      <c r="C157" s="8"/>
      <c r="D157" s="8"/>
      <c r="E157" s="8"/>
      <c r="F157" s="8"/>
      <c r="G157" s="8"/>
      <c r="H157" s="8"/>
    </row>
    <row r="158">
      <c r="B158" s="20"/>
      <c r="C158" s="8"/>
      <c r="D158" s="8"/>
      <c r="E158" s="8"/>
      <c r="F158" s="8"/>
      <c r="G158" s="8"/>
      <c r="H158" s="8"/>
    </row>
    <row r="159">
      <c r="B159" s="20"/>
      <c r="C159" s="8"/>
      <c r="D159" s="8"/>
      <c r="E159" s="8"/>
      <c r="F159" s="8"/>
      <c r="G159" s="8"/>
      <c r="H159" s="8"/>
    </row>
    <row r="160">
      <c r="B160" s="20"/>
      <c r="C160" s="8"/>
      <c r="D160" s="8"/>
      <c r="E160" s="8"/>
      <c r="F160" s="8"/>
      <c r="G160" s="8"/>
      <c r="H160" s="8"/>
    </row>
    <row r="161">
      <c r="B161" s="20"/>
      <c r="C161" s="8"/>
      <c r="D161" s="8"/>
      <c r="E161" s="8"/>
      <c r="F161" s="8"/>
      <c r="G161" s="8"/>
      <c r="H161" s="8"/>
    </row>
    <row r="162">
      <c r="B162" s="20"/>
      <c r="C162" s="8"/>
      <c r="D162" s="8"/>
      <c r="E162" s="8"/>
      <c r="F162" s="8"/>
      <c r="G162" s="8"/>
      <c r="H162" s="8"/>
    </row>
    <row r="163">
      <c r="B163" s="20"/>
      <c r="C163" s="8"/>
      <c r="D163" s="8"/>
      <c r="E163" s="8"/>
      <c r="F163" s="8"/>
      <c r="G163" s="8"/>
      <c r="H163" s="8"/>
    </row>
    <row r="164">
      <c r="B164" s="20"/>
      <c r="C164" s="8"/>
      <c r="D164" s="8"/>
      <c r="E164" s="8"/>
      <c r="F164" s="8"/>
      <c r="G164" s="8"/>
      <c r="H164" s="8"/>
    </row>
    <row r="165">
      <c r="B165" s="20"/>
      <c r="C165" s="8"/>
      <c r="D165" s="8"/>
      <c r="E165" s="8"/>
      <c r="F165" s="8"/>
      <c r="G165" s="8"/>
      <c r="H165" s="8"/>
    </row>
    <row r="166">
      <c r="B166" s="20"/>
      <c r="C166" s="8"/>
      <c r="D166" s="8"/>
      <c r="E166" s="8"/>
      <c r="F166" s="8"/>
      <c r="G166" s="8"/>
      <c r="H166" s="8"/>
    </row>
    <row r="167">
      <c r="B167" s="20"/>
      <c r="C167" s="8"/>
      <c r="D167" s="8"/>
      <c r="E167" s="8"/>
      <c r="F167" s="8"/>
      <c r="G167" s="8"/>
      <c r="H167" s="8"/>
    </row>
    <row r="168">
      <c r="B168" s="20"/>
      <c r="C168" s="8"/>
      <c r="D168" s="8"/>
      <c r="E168" s="8"/>
      <c r="F168" s="8"/>
      <c r="G168" s="8"/>
      <c r="H168" s="8"/>
    </row>
    <row r="169">
      <c r="B169" s="20"/>
      <c r="C169" s="8"/>
      <c r="D169" s="8"/>
      <c r="E169" s="8"/>
      <c r="F169" s="8"/>
      <c r="G169" s="8"/>
      <c r="H169" s="8"/>
    </row>
    <row r="170">
      <c r="B170" s="20"/>
      <c r="C170" s="8"/>
      <c r="D170" s="8"/>
      <c r="E170" s="8"/>
      <c r="F170" s="8"/>
      <c r="G170" s="8"/>
      <c r="H170" s="8"/>
    </row>
    <row r="171">
      <c r="B171" s="20"/>
      <c r="C171" s="8"/>
      <c r="D171" s="8"/>
      <c r="E171" s="8"/>
      <c r="F171" s="8"/>
      <c r="G171" s="8"/>
      <c r="H171" s="8"/>
    </row>
    <row r="172">
      <c r="B172" s="20"/>
      <c r="C172" s="8"/>
      <c r="D172" s="8"/>
      <c r="E172" s="8"/>
      <c r="F172" s="8"/>
      <c r="G172" s="8"/>
      <c r="H172" s="8"/>
    </row>
    <row r="173">
      <c r="B173" s="20"/>
      <c r="C173" s="8"/>
      <c r="D173" s="8"/>
      <c r="E173" s="8"/>
      <c r="F173" s="8"/>
      <c r="G173" s="8"/>
      <c r="H173" s="8"/>
    </row>
    <row r="174">
      <c r="B174" s="20"/>
      <c r="C174" s="8"/>
      <c r="D174" s="8"/>
      <c r="E174" s="8"/>
      <c r="F174" s="8"/>
      <c r="G174" s="8"/>
      <c r="H174" s="8"/>
    </row>
    <row r="175">
      <c r="B175" s="20"/>
      <c r="C175" s="8"/>
      <c r="D175" s="8"/>
      <c r="E175" s="8"/>
      <c r="F175" s="8"/>
      <c r="G175" s="8"/>
      <c r="H175" s="8"/>
    </row>
    <row r="176">
      <c r="B176" s="20"/>
      <c r="C176" s="8"/>
      <c r="D176" s="8"/>
      <c r="E176" s="8"/>
      <c r="F176" s="8"/>
      <c r="G176" s="8"/>
      <c r="H176" s="8"/>
    </row>
    <row r="177">
      <c r="B177" s="20"/>
      <c r="C177" s="8"/>
      <c r="D177" s="8"/>
      <c r="E177" s="8"/>
      <c r="F177" s="8"/>
      <c r="G177" s="8"/>
      <c r="H177" s="8"/>
    </row>
    <row r="178">
      <c r="B178" s="20"/>
      <c r="C178" s="8"/>
      <c r="D178" s="8"/>
      <c r="E178" s="8"/>
      <c r="F178" s="8"/>
      <c r="G178" s="8"/>
      <c r="H178" s="8"/>
    </row>
    <row r="179">
      <c r="B179" s="20"/>
      <c r="C179" s="8"/>
      <c r="D179" s="8"/>
      <c r="E179" s="8"/>
      <c r="F179" s="8"/>
      <c r="G179" s="8"/>
      <c r="H179" s="8"/>
    </row>
    <row r="180">
      <c r="B180" s="20"/>
      <c r="C180" s="8"/>
      <c r="D180" s="8"/>
      <c r="E180" s="8"/>
      <c r="F180" s="8"/>
      <c r="G180" s="8"/>
      <c r="H180" s="8"/>
    </row>
    <row r="181">
      <c r="B181" s="20"/>
      <c r="C181" s="8"/>
      <c r="D181" s="8"/>
      <c r="E181" s="8"/>
      <c r="F181" s="8"/>
      <c r="G181" s="8"/>
      <c r="H181" s="8"/>
    </row>
    <row r="182">
      <c r="B182" s="20"/>
      <c r="C182" s="8"/>
      <c r="D182" s="8"/>
      <c r="E182" s="8"/>
      <c r="F182" s="8"/>
      <c r="G182" s="8"/>
      <c r="H182" s="8"/>
    </row>
    <row r="183">
      <c r="B183" s="20"/>
      <c r="C183" s="8"/>
      <c r="D183" s="8"/>
      <c r="E183" s="8"/>
      <c r="F183" s="8"/>
      <c r="G183" s="8"/>
      <c r="H183" s="8"/>
    </row>
    <row r="184">
      <c r="B184" s="20"/>
      <c r="C184" s="8"/>
      <c r="D184" s="8"/>
      <c r="E184" s="8"/>
      <c r="F184" s="8"/>
      <c r="G184" s="8"/>
      <c r="H184" s="8"/>
    </row>
    <row r="185">
      <c r="B185" s="20"/>
      <c r="C185" s="8"/>
      <c r="D185" s="8"/>
      <c r="E185" s="8"/>
      <c r="F185" s="8"/>
      <c r="G185" s="8"/>
      <c r="H185" s="8"/>
    </row>
    <row r="186">
      <c r="B186" s="20"/>
      <c r="C186" s="8"/>
      <c r="D186" s="8"/>
      <c r="E186" s="8"/>
      <c r="F186" s="8"/>
      <c r="G186" s="8"/>
      <c r="H186" s="8"/>
    </row>
    <row r="187">
      <c r="B187" s="20"/>
      <c r="C187" s="8"/>
      <c r="D187" s="8"/>
      <c r="E187" s="8"/>
      <c r="F187" s="8"/>
      <c r="G187" s="8"/>
      <c r="H187" s="8"/>
    </row>
    <row r="188">
      <c r="B188" s="20"/>
      <c r="C188" s="8"/>
      <c r="D188" s="8"/>
      <c r="E188" s="8"/>
      <c r="F188" s="8"/>
      <c r="G188" s="8"/>
      <c r="H188" s="8"/>
    </row>
    <row r="189">
      <c r="B189" s="20"/>
      <c r="C189" s="8"/>
      <c r="D189" s="8"/>
      <c r="E189" s="8"/>
      <c r="F189" s="8"/>
      <c r="G189" s="8"/>
      <c r="H189" s="8"/>
    </row>
    <row r="190">
      <c r="B190" s="20"/>
      <c r="C190" s="8"/>
      <c r="D190" s="8"/>
      <c r="E190" s="8"/>
      <c r="F190" s="8"/>
      <c r="G190" s="8"/>
      <c r="H190" s="8"/>
    </row>
    <row r="191">
      <c r="B191" s="20"/>
      <c r="C191" s="8"/>
      <c r="D191" s="8"/>
      <c r="E191" s="8"/>
      <c r="F191" s="8"/>
      <c r="G191" s="8"/>
      <c r="H191" s="8"/>
    </row>
    <row r="192">
      <c r="B192" s="20"/>
      <c r="C192" s="8"/>
      <c r="D192" s="8"/>
      <c r="E192" s="8"/>
      <c r="F192" s="8"/>
      <c r="G192" s="8"/>
      <c r="H192" s="8"/>
    </row>
    <row r="193">
      <c r="B193" s="20"/>
      <c r="C193" s="8"/>
      <c r="D193" s="8"/>
      <c r="E193" s="8"/>
      <c r="F193" s="8"/>
      <c r="G193" s="8"/>
      <c r="H193" s="8"/>
    </row>
    <row r="194">
      <c r="B194" s="20"/>
      <c r="C194" s="8"/>
      <c r="D194" s="8"/>
      <c r="E194" s="8"/>
      <c r="F194" s="8"/>
      <c r="G194" s="8"/>
      <c r="H194" s="8"/>
    </row>
    <row r="195">
      <c r="B195" s="20"/>
      <c r="C195" s="8"/>
      <c r="D195" s="8"/>
      <c r="E195" s="8"/>
      <c r="F195" s="8"/>
      <c r="G195" s="8"/>
      <c r="H195" s="8"/>
    </row>
    <row r="196">
      <c r="B196" s="20"/>
      <c r="C196" s="8"/>
      <c r="D196" s="8"/>
      <c r="E196" s="8"/>
      <c r="F196" s="8"/>
      <c r="G196" s="8"/>
      <c r="H196" s="8"/>
    </row>
    <row r="197">
      <c r="B197" s="20"/>
      <c r="C197" s="8"/>
      <c r="D197" s="8"/>
      <c r="E197" s="8"/>
      <c r="F197" s="8"/>
      <c r="G197" s="8"/>
      <c r="H197" s="8"/>
    </row>
    <row r="198">
      <c r="B198" s="20"/>
      <c r="C198" s="8"/>
      <c r="D198" s="8"/>
      <c r="E198" s="8"/>
      <c r="F198" s="8"/>
      <c r="G198" s="8"/>
      <c r="H198" s="8"/>
    </row>
    <row r="199">
      <c r="B199" s="20"/>
      <c r="C199" s="8"/>
      <c r="D199" s="8"/>
      <c r="E199" s="8"/>
      <c r="F199" s="8"/>
      <c r="G199" s="8"/>
      <c r="H199" s="8"/>
    </row>
    <row r="200">
      <c r="B200" s="20"/>
      <c r="C200" s="8"/>
      <c r="D200" s="8"/>
      <c r="E200" s="8"/>
      <c r="F200" s="8"/>
      <c r="G200" s="8"/>
      <c r="H200" s="8"/>
    </row>
    <row r="201">
      <c r="B201" s="20"/>
      <c r="C201" s="8"/>
      <c r="D201" s="8"/>
      <c r="E201" s="8"/>
      <c r="F201" s="8"/>
      <c r="G201" s="8"/>
      <c r="H201" s="8"/>
    </row>
    <row r="202">
      <c r="B202" s="20"/>
      <c r="C202" s="8"/>
      <c r="D202" s="8"/>
      <c r="E202" s="8"/>
      <c r="F202" s="8"/>
      <c r="G202" s="8"/>
      <c r="H202" s="8"/>
    </row>
    <row r="203">
      <c r="B203" s="20"/>
      <c r="C203" s="8"/>
      <c r="D203" s="8"/>
      <c r="E203" s="8"/>
      <c r="F203" s="8"/>
      <c r="G203" s="8"/>
      <c r="H203" s="8"/>
    </row>
    <row r="204">
      <c r="B204" s="20"/>
      <c r="C204" s="8"/>
      <c r="D204" s="8"/>
      <c r="E204" s="8"/>
      <c r="F204" s="8"/>
      <c r="G204" s="8"/>
      <c r="H204" s="8"/>
    </row>
    <row r="205">
      <c r="B205" s="20"/>
      <c r="C205" s="8"/>
      <c r="D205" s="8"/>
      <c r="E205" s="8"/>
      <c r="F205" s="8"/>
      <c r="G205" s="8"/>
      <c r="H205" s="8"/>
    </row>
    <row r="206">
      <c r="B206" s="20"/>
      <c r="C206" s="8"/>
      <c r="D206" s="8"/>
      <c r="E206" s="8"/>
      <c r="F206" s="8"/>
      <c r="G206" s="8"/>
      <c r="H206" s="8"/>
    </row>
    <row r="207">
      <c r="B207" s="20"/>
      <c r="C207" s="8"/>
      <c r="D207" s="8"/>
      <c r="E207" s="8"/>
      <c r="F207" s="8"/>
      <c r="G207" s="8"/>
      <c r="H207" s="8"/>
    </row>
    <row r="208">
      <c r="B208" s="20"/>
      <c r="C208" s="8"/>
      <c r="D208" s="8"/>
      <c r="E208" s="8"/>
      <c r="F208" s="8"/>
      <c r="G208" s="8"/>
      <c r="H208" s="8"/>
    </row>
    <row r="209">
      <c r="B209" s="20"/>
      <c r="C209" s="8"/>
      <c r="D209" s="8"/>
      <c r="E209" s="8"/>
      <c r="F209" s="8"/>
      <c r="G209" s="8"/>
      <c r="H209" s="8"/>
    </row>
    <row r="210">
      <c r="B210" s="20"/>
      <c r="C210" s="8"/>
      <c r="D210" s="8"/>
      <c r="E210" s="8"/>
      <c r="F210" s="8"/>
      <c r="G210" s="8"/>
      <c r="H210" s="8"/>
    </row>
    <row r="211">
      <c r="B211" s="20"/>
      <c r="C211" s="8"/>
      <c r="D211" s="8"/>
      <c r="E211" s="8"/>
      <c r="F211" s="8"/>
      <c r="G211" s="8"/>
      <c r="H211" s="8"/>
    </row>
    <row r="212">
      <c r="B212" s="20"/>
      <c r="C212" s="8"/>
      <c r="D212" s="8"/>
      <c r="E212" s="8"/>
      <c r="F212" s="8"/>
      <c r="G212" s="8"/>
      <c r="H212" s="8"/>
    </row>
    <row r="213">
      <c r="B213" s="20"/>
      <c r="C213" s="8"/>
      <c r="D213" s="8"/>
      <c r="E213" s="8"/>
      <c r="F213" s="8"/>
      <c r="G213" s="8"/>
      <c r="H213" s="8"/>
    </row>
    <row r="214">
      <c r="B214" s="20"/>
      <c r="C214" s="8"/>
      <c r="D214" s="8"/>
      <c r="E214" s="8"/>
      <c r="F214" s="8"/>
      <c r="G214" s="8"/>
      <c r="H214" s="8"/>
    </row>
    <row r="215">
      <c r="B215" s="20"/>
      <c r="C215" s="8"/>
      <c r="D215" s="8"/>
      <c r="E215" s="8"/>
      <c r="F215" s="8"/>
      <c r="G215" s="8"/>
      <c r="H215" s="8"/>
    </row>
    <row r="216">
      <c r="B216" s="20"/>
      <c r="C216" s="8"/>
      <c r="D216" s="8"/>
      <c r="E216" s="8"/>
      <c r="F216" s="8"/>
      <c r="G216" s="8"/>
      <c r="H216" s="8"/>
    </row>
    <row r="217">
      <c r="B217" s="20"/>
      <c r="C217" s="8"/>
      <c r="D217" s="8"/>
      <c r="E217" s="8"/>
      <c r="F217" s="8"/>
      <c r="G217" s="8"/>
      <c r="H217" s="8"/>
    </row>
    <row r="218">
      <c r="B218" s="20"/>
      <c r="C218" s="8"/>
      <c r="D218" s="8"/>
      <c r="E218" s="8"/>
      <c r="F218" s="8"/>
      <c r="G218" s="8"/>
      <c r="H218" s="8"/>
    </row>
    <row r="219">
      <c r="B219" s="20"/>
      <c r="C219" s="8"/>
      <c r="D219" s="8"/>
      <c r="E219" s="8"/>
      <c r="F219" s="8"/>
      <c r="G219" s="8"/>
      <c r="H219" s="8"/>
    </row>
    <row r="220">
      <c r="B220" s="20"/>
      <c r="C220" s="8"/>
      <c r="D220" s="8"/>
      <c r="E220" s="8"/>
      <c r="F220" s="8"/>
      <c r="G220" s="8"/>
      <c r="H220" s="8"/>
    </row>
    <row r="221">
      <c r="B221" s="20"/>
      <c r="C221" s="8"/>
      <c r="D221" s="8"/>
      <c r="E221" s="8"/>
      <c r="F221" s="8"/>
      <c r="G221" s="8"/>
      <c r="H221" s="8"/>
    </row>
    <row r="222">
      <c r="B222" s="20"/>
      <c r="C222" s="8"/>
      <c r="D222" s="8"/>
      <c r="E222" s="8"/>
      <c r="F222" s="8"/>
      <c r="G222" s="8"/>
      <c r="H222" s="8"/>
    </row>
    <row r="223">
      <c r="B223" s="20"/>
      <c r="C223" s="8"/>
      <c r="D223" s="8"/>
      <c r="E223" s="8"/>
      <c r="F223" s="8"/>
      <c r="G223" s="8"/>
      <c r="H223" s="8"/>
    </row>
    <row r="224">
      <c r="B224" s="20"/>
      <c r="C224" s="8"/>
      <c r="D224" s="8"/>
      <c r="E224" s="8"/>
      <c r="F224" s="8"/>
      <c r="G224" s="8"/>
      <c r="H224" s="8"/>
    </row>
    <row r="225">
      <c r="B225" s="20"/>
      <c r="C225" s="8"/>
      <c r="D225" s="8"/>
      <c r="E225" s="8"/>
      <c r="F225" s="8"/>
      <c r="G225" s="8"/>
      <c r="H225" s="8"/>
    </row>
    <row r="226">
      <c r="B226" s="20"/>
      <c r="C226" s="8"/>
      <c r="D226" s="8"/>
      <c r="E226" s="8"/>
      <c r="F226" s="8"/>
      <c r="G226" s="8"/>
      <c r="H226" s="8"/>
    </row>
    <row r="227">
      <c r="B227" s="20"/>
      <c r="C227" s="8"/>
      <c r="D227" s="8"/>
      <c r="E227" s="8"/>
      <c r="F227" s="8"/>
      <c r="G227" s="8"/>
      <c r="H227" s="8"/>
    </row>
    <row r="228">
      <c r="B228" s="20"/>
      <c r="C228" s="8"/>
      <c r="D228" s="8"/>
      <c r="E228" s="8"/>
      <c r="F228" s="8"/>
      <c r="G228" s="8"/>
      <c r="H228" s="8"/>
    </row>
    <row r="229">
      <c r="B229" s="20"/>
      <c r="C229" s="8"/>
      <c r="D229" s="8"/>
      <c r="E229" s="8"/>
      <c r="F229" s="8"/>
      <c r="G229" s="8"/>
      <c r="H229" s="8"/>
    </row>
    <row r="230">
      <c r="B230" s="20"/>
      <c r="C230" s="8"/>
      <c r="D230" s="8"/>
      <c r="E230" s="8"/>
      <c r="F230" s="8"/>
      <c r="G230" s="8"/>
      <c r="H230" s="8"/>
    </row>
    <row r="231">
      <c r="B231" s="20"/>
      <c r="C231" s="8"/>
      <c r="D231" s="8"/>
      <c r="E231" s="8"/>
      <c r="F231" s="8"/>
      <c r="G231" s="8"/>
      <c r="H231" s="8"/>
    </row>
    <row r="232">
      <c r="B232" s="20"/>
      <c r="C232" s="8"/>
      <c r="D232" s="8"/>
      <c r="E232" s="8"/>
      <c r="F232" s="8"/>
      <c r="G232" s="8"/>
      <c r="H232" s="8"/>
    </row>
    <row r="233">
      <c r="B233" s="20"/>
      <c r="C233" s="8"/>
      <c r="D233" s="8"/>
      <c r="E233" s="8"/>
      <c r="F233" s="8"/>
      <c r="G233" s="8"/>
      <c r="H233" s="8"/>
    </row>
    <row r="234">
      <c r="B234" s="20"/>
      <c r="C234" s="8"/>
      <c r="D234" s="8"/>
      <c r="E234" s="8"/>
      <c r="F234" s="8"/>
      <c r="G234" s="8"/>
      <c r="H234" s="8"/>
    </row>
    <row r="235">
      <c r="B235" s="20"/>
      <c r="C235" s="8"/>
      <c r="D235" s="8"/>
      <c r="E235" s="8"/>
      <c r="F235" s="8"/>
      <c r="G235" s="8"/>
      <c r="H235" s="8"/>
    </row>
    <row r="236">
      <c r="B236" s="20"/>
      <c r="C236" s="8"/>
      <c r="D236" s="8"/>
      <c r="E236" s="8"/>
      <c r="F236" s="8"/>
      <c r="G236" s="8"/>
      <c r="H236" s="8"/>
    </row>
    <row r="237">
      <c r="B237" s="20"/>
      <c r="C237" s="8"/>
      <c r="D237" s="8"/>
      <c r="E237" s="8"/>
      <c r="F237" s="8"/>
      <c r="G237" s="8"/>
      <c r="H237" s="8"/>
    </row>
    <row r="238">
      <c r="B238" s="20"/>
      <c r="C238" s="8"/>
      <c r="D238" s="8"/>
      <c r="E238" s="8"/>
      <c r="F238" s="8"/>
      <c r="G238" s="8"/>
      <c r="H238" s="8"/>
    </row>
    <row r="239">
      <c r="B239" s="20"/>
      <c r="C239" s="8"/>
      <c r="D239" s="8"/>
      <c r="E239" s="8"/>
      <c r="F239" s="8"/>
      <c r="G239" s="8"/>
      <c r="H239" s="8"/>
    </row>
    <row r="240">
      <c r="B240" s="20"/>
      <c r="C240" s="8"/>
      <c r="D240" s="8"/>
      <c r="E240" s="8"/>
      <c r="F240" s="8"/>
      <c r="G240" s="8"/>
      <c r="H240" s="8"/>
    </row>
    <row r="241">
      <c r="B241" s="20"/>
      <c r="C241" s="8"/>
      <c r="D241" s="8"/>
      <c r="E241" s="8"/>
      <c r="F241" s="8"/>
      <c r="G241" s="8"/>
      <c r="H241" s="8"/>
    </row>
    <row r="242">
      <c r="B242" s="20"/>
      <c r="C242" s="8"/>
      <c r="D242" s="8"/>
      <c r="E242" s="8"/>
      <c r="F242" s="8"/>
      <c r="G242" s="8"/>
      <c r="H242" s="8"/>
    </row>
    <row r="243">
      <c r="B243" s="20"/>
      <c r="C243" s="8"/>
      <c r="D243" s="8"/>
      <c r="E243" s="8"/>
      <c r="F243" s="8"/>
      <c r="G243" s="8"/>
      <c r="H243" s="8"/>
    </row>
    <row r="244">
      <c r="B244" s="20"/>
      <c r="C244" s="8"/>
      <c r="D244" s="8"/>
      <c r="E244" s="8"/>
      <c r="F244" s="8"/>
      <c r="G244" s="8"/>
      <c r="H244" s="8"/>
    </row>
    <row r="245">
      <c r="B245" s="20"/>
      <c r="C245" s="8"/>
      <c r="D245" s="8"/>
      <c r="E245" s="8"/>
      <c r="F245" s="8"/>
      <c r="G245" s="8"/>
      <c r="H245" s="8"/>
    </row>
    <row r="246">
      <c r="B246" s="20"/>
      <c r="C246" s="8"/>
      <c r="D246" s="8"/>
      <c r="E246" s="8"/>
      <c r="F246" s="8"/>
      <c r="G246" s="8"/>
      <c r="H246" s="8"/>
    </row>
    <row r="247">
      <c r="B247" s="20"/>
      <c r="C247" s="8"/>
      <c r="D247" s="8"/>
      <c r="E247" s="8"/>
      <c r="F247" s="8"/>
      <c r="G247" s="8"/>
      <c r="H247" s="8"/>
    </row>
    <row r="248">
      <c r="B248" s="20"/>
      <c r="C248" s="8"/>
      <c r="D248" s="8"/>
      <c r="E248" s="8"/>
      <c r="F248" s="8"/>
      <c r="G248" s="8"/>
      <c r="H248" s="8"/>
    </row>
    <row r="249">
      <c r="B249" s="20"/>
      <c r="C249" s="8"/>
      <c r="D249" s="8"/>
      <c r="E249" s="8"/>
      <c r="F249" s="8"/>
      <c r="G249" s="8"/>
      <c r="H249" s="8"/>
    </row>
    <row r="250">
      <c r="B250" s="20"/>
      <c r="C250" s="8"/>
      <c r="D250" s="8"/>
      <c r="E250" s="8"/>
      <c r="F250" s="8"/>
      <c r="G250" s="8"/>
      <c r="H250" s="8"/>
    </row>
    <row r="251">
      <c r="B251" s="20"/>
      <c r="C251" s="8"/>
      <c r="D251" s="8"/>
      <c r="E251" s="8"/>
      <c r="F251" s="8"/>
      <c r="G251" s="8"/>
      <c r="H251" s="8"/>
    </row>
    <row r="252">
      <c r="B252" s="20"/>
      <c r="C252" s="8"/>
      <c r="D252" s="8"/>
      <c r="E252" s="8"/>
      <c r="F252" s="8"/>
      <c r="G252" s="8"/>
      <c r="H252" s="8"/>
    </row>
    <row r="253">
      <c r="B253" s="20"/>
      <c r="C253" s="8"/>
      <c r="D253" s="8"/>
      <c r="E253" s="8"/>
      <c r="F253" s="8"/>
      <c r="G253" s="8"/>
      <c r="H253" s="8"/>
    </row>
    <row r="254">
      <c r="B254" s="20"/>
      <c r="C254" s="8"/>
      <c r="D254" s="8"/>
      <c r="E254" s="8"/>
      <c r="F254" s="8"/>
      <c r="G254" s="8"/>
      <c r="H254" s="8"/>
    </row>
    <row r="255">
      <c r="B255" s="20"/>
      <c r="C255" s="8"/>
      <c r="D255" s="8"/>
      <c r="E255" s="8"/>
      <c r="F255" s="8"/>
      <c r="G255" s="8"/>
      <c r="H255" s="8"/>
    </row>
    <row r="256">
      <c r="B256" s="20"/>
      <c r="C256" s="8"/>
      <c r="D256" s="8"/>
      <c r="E256" s="8"/>
      <c r="F256" s="8"/>
      <c r="G256" s="8"/>
      <c r="H256" s="8"/>
    </row>
    <row r="257">
      <c r="B257" s="20"/>
      <c r="C257" s="8"/>
      <c r="D257" s="8"/>
      <c r="E257" s="8"/>
      <c r="F257" s="8"/>
      <c r="G257" s="8"/>
      <c r="H257" s="8"/>
    </row>
    <row r="258">
      <c r="B258" s="20"/>
      <c r="C258" s="8"/>
      <c r="D258" s="8"/>
      <c r="E258" s="8"/>
      <c r="F258" s="8"/>
      <c r="G258" s="8"/>
      <c r="H258" s="8"/>
    </row>
    <row r="259">
      <c r="B259" s="20"/>
      <c r="C259" s="8"/>
      <c r="D259" s="8"/>
      <c r="E259" s="8"/>
      <c r="F259" s="8"/>
      <c r="G259" s="8"/>
      <c r="H259" s="8"/>
    </row>
    <row r="260">
      <c r="B260" s="20"/>
      <c r="C260" s="8"/>
      <c r="D260" s="8"/>
      <c r="E260" s="8"/>
      <c r="F260" s="8"/>
      <c r="G260" s="8"/>
      <c r="H260" s="8"/>
    </row>
    <row r="261">
      <c r="B261" s="20"/>
      <c r="C261" s="8"/>
      <c r="D261" s="8"/>
      <c r="E261" s="8"/>
      <c r="F261" s="8"/>
      <c r="G261" s="8"/>
      <c r="H261" s="8"/>
    </row>
    <row r="262">
      <c r="B262" s="20"/>
      <c r="C262" s="8"/>
      <c r="D262" s="8"/>
      <c r="E262" s="8"/>
      <c r="F262" s="8"/>
      <c r="G262" s="8"/>
      <c r="H262" s="8"/>
    </row>
    <row r="263">
      <c r="B263" s="20"/>
      <c r="C263" s="8"/>
      <c r="D263" s="8"/>
      <c r="E263" s="8"/>
      <c r="F263" s="8"/>
      <c r="G263" s="8"/>
      <c r="H263" s="8"/>
    </row>
    <row r="264">
      <c r="B264" s="20"/>
      <c r="C264" s="8"/>
      <c r="D264" s="8"/>
      <c r="E264" s="8"/>
      <c r="F264" s="8"/>
      <c r="G264" s="8"/>
      <c r="H264" s="8"/>
    </row>
    <row r="265">
      <c r="B265" s="20"/>
      <c r="C265" s="8"/>
      <c r="D265" s="8"/>
      <c r="E265" s="8"/>
      <c r="F265" s="8"/>
      <c r="G265" s="8"/>
      <c r="H265" s="8"/>
    </row>
    <row r="266">
      <c r="B266" s="20"/>
      <c r="C266" s="8"/>
      <c r="D266" s="8"/>
      <c r="E266" s="8"/>
      <c r="F266" s="8"/>
      <c r="G266" s="8"/>
      <c r="H266" s="8"/>
    </row>
    <row r="267">
      <c r="B267" s="20"/>
      <c r="C267" s="8"/>
      <c r="D267" s="8"/>
      <c r="E267" s="8"/>
      <c r="F267" s="8"/>
      <c r="G267" s="8"/>
      <c r="H267" s="8"/>
    </row>
    <row r="268">
      <c r="B268" s="20"/>
      <c r="C268" s="8"/>
      <c r="D268" s="8"/>
      <c r="E268" s="8"/>
      <c r="F268" s="8"/>
      <c r="G268" s="8"/>
      <c r="H268" s="8"/>
    </row>
    <row r="269">
      <c r="B269" s="20"/>
      <c r="C269" s="8"/>
      <c r="D269" s="8"/>
      <c r="E269" s="8"/>
      <c r="F269" s="8"/>
      <c r="G269" s="8"/>
      <c r="H269" s="8"/>
    </row>
    <row r="270">
      <c r="B270" s="20"/>
      <c r="C270" s="8"/>
      <c r="D270" s="8"/>
      <c r="E270" s="8"/>
      <c r="F270" s="8"/>
      <c r="G270" s="8"/>
      <c r="H270" s="8"/>
    </row>
    <row r="271">
      <c r="B271" s="20"/>
      <c r="C271" s="8"/>
      <c r="D271" s="8"/>
      <c r="E271" s="8"/>
      <c r="F271" s="8"/>
      <c r="G271" s="8"/>
      <c r="H271" s="8"/>
    </row>
    <row r="272">
      <c r="B272" s="20"/>
      <c r="C272" s="8"/>
      <c r="D272" s="8"/>
      <c r="E272" s="8"/>
      <c r="F272" s="8"/>
      <c r="G272" s="8"/>
      <c r="H272" s="8"/>
    </row>
    <row r="273">
      <c r="B273" s="20"/>
      <c r="C273" s="8"/>
      <c r="D273" s="8"/>
      <c r="E273" s="8"/>
      <c r="F273" s="8"/>
      <c r="G273" s="8"/>
      <c r="H273" s="8"/>
    </row>
    <row r="274">
      <c r="B274" s="20"/>
      <c r="C274" s="8"/>
      <c r="D274" s="8"/>
      <c r="E274" s="8"/>
      <c r="F274" s="8"/>
      <c r="G274" s="8"/>
      <c r="H274" s="8"/>
    </row>
    <row r="275">
      <c r="B275" s="20"/>
      <c r="C275" s="8"/>
      <c r="D275" s="8"/>
      <c r="E275" s="8"/>
      <c r="F275" s="8"/>
      <c r="G275" s="8"/>
      <c r="H275" s="8"/>
    </row>
    <row r="276">
      <c r="B276" s="20"/>
      <c r="C276" s="8"/>
      <c r="D276" s="8"/>
      <c r="E276" s="8"/>
      <c r="F276" s="8"/>
      <c r="G276" s="8"/>
      <c r="H276" s="8"/>
    </row>
    <row r="277">
      <c r="B277" s="20"/>
      <c r="C277" s="8"/>
      <c r="D277" s="8"/>
      <c r="E277" s="8"/>
      <c r="F277" s="8"/>
      <c r="G277" s="8"/>
      <c r="H277" s="8"/>
    </row>
    <row r="278">
      <c r="B278" s="20"/>
      <c r="C278" s="8"/>
      <c r="D278" s="8"/>
      <c r="E278" s="8"/>
      <c r="F278" s="8"/>
      <c r="G278" s="8"/>
      <c r="H278" s="8"/>
    </row>
    <row r="279">
      <c r="B279" s="20"/>
      <c r="C279" s="8"/>
      <c r="D279" s="8"/>
      <c r="E279" s="8"/>
      <c r="F279" s="8"/>
      <c r="G279" s="8"/>
      <c r="H279" s="8"/>
    </row>
    <row r="280">
      <c r="B280" s="20"/>
      <c r="C280" s="8"/>
      <c r="D280" s="8"/>
      <c r="E280" s="8"/>
      <c r="F280" s="8"/>
      <c r="G280" s="8"/>
      <c r="H280" s="8"/>
    </row>
    <row r="281">
      <c r="B281" s="20"/>
      <c r="C281" s="8"/>
      <c r="D281" s="8"/>
      <c r="E281" s="8"/>
      <c r="F281" s="8"/>
      <c r="G281" s="8"/>
      <c r="H281" s="8"/>
    </row>
    <row r="282">
      <c r="B282" s="20"/>
      <c r="C282" s="8"/>
      <c r="D282" s="8"/>
      <c r="E282" s="8"/>
      <c r="F282" s="8"/>
      <c r="G282" s="8"/>
      <c r="H282" s="8"/>
    </row>
    <row r="283">
      <c r="B283" s="20"/>
      <c r="C283" s="8"/>
      <c r="D283" s="8"/>
      <c r="E283" s="8"/>
      <c r="F283" s="8"/>
      <c r="G283" s="8"/>
      <c r="H283" s="8"/>
    </row>
    <row r="284">
      <c r="B284" s="20"/>
      <c r="C284" s="8"/>
      <c r="D284" s="8"/>
      <c r="E284" s="8"/>
      <c r="F284" s="8"/>
      <c r="G284" s="8"/>
      <c r="H284" s="8"/>
    </row>
    <row r="285">
      <c r="B285" s="20"/>
      <c r="C285" s="8"/>
      <c r="D285" s="8"/>
      <c r="E285" s="8"/>
      <c r="F285" s="8"/>
      <c r="G285" s="8"/>
      <c r="H285" s="8"/>
    </row>
    <row r="286">
      <c r="B286" s="20"/>
      <c r="C286" s="8"/>
      <c r="D286" s="8"/>
      <c r="E286" s="8"/>
      <c r="F286" s="8"/>
      <c r="G286" s="8"/>
      <c r="H286" s="8"/>
    </row>
    <row r="287">
      <c r="B287" s="20"/>
      <c r="C287" s="8"/>
      <c r="D287" s="8"/>
      <c r="E287" s="8"/>
      <c r="F287" s="8"/>
      <c r="G287" s="8"/>
      <c r="H287" s="8"/>
    </row>
    <row r="288">
      <c r="B288" s="20"/>
      <c r="C288" s="8"/>
      <c r="D288" s="8"/>
      <c r="E288" s="8"/>
      <c r="F288" s="8"/>
      <c r="G288" s="8"/>
      <c r="H288" s="8"/>
    </row>
    <row r="289">
      <c r="B289" s="20"/>
      <c r="C289" s="8"/>
      <c r="D289" s="8"/>
      <c r="E289" s="8"/>
      <c r="F289" s="8"/>
      <c r="G289" s="8"/>
      <c r="H289" s="8"/>
    </row>
    <row r="290">
      <c r="B290" s="20"/>
      <c r="C290" s="8"/>
      <c r="D290" s="8"/>
      <c r="E290" s="8"/>
      <c r="F290" s="8"/>
      <c r="G290" s="8"/>
      <c r="H290" s="8"/>
    </row>
    <row r="291">
      <c r="B291" s="20"/>
      <c r="C291" s="8"/>
      <c r="D291" s="8"/>
      <c r="E291" s="8"/>
      <c r="F291" s="8"/>
      <c r="G291" s="8"/>
      <c r="H291" s="8"/>
    </row>
    <row r="292">
      <c r="B292" s="20"/>
      <c r="C292" s="8"/>
      <c r="D292" s="8"/>
      <c r="E292" s="8"/>
      <c r="F292" s="8"/>
      <c r="G292" s="8"/>
      <c r="H292" s="8"/>
    </row>
    <row r="293">
      <c r="B293" s="20"/>
      <c r="C293" s="8"/>
      <c r="D293" s="8"/>
      <c r="E293" s="8"/>
      <c r="F293" s="8"/>
      <c r="G293" s="8"/>
      <c r="H293" s="8"/>
    </row>
    <row r="294">
      <c r="B294" s="20"/>
      <c r="C294" s="8"/>
      <c r="D294" s="8"/>
      <c r="E294" s="8"/>
      <c r="F294" s="8"/>
      <c r="G294" s="8"/>
      <c r="H294" s="8"/>
    </row>
    <row r="295">
      <c r="B295" s="20"/>
      <c r="C295" s="8"/>
      <c r="D295" s="8"/>
      <c r="E295" s="8"/>
      <c r="F295" s="8"/>
      <c r="G295" s="8"/>
      <c r="H295" s="8"/>
    </row>
    <row r="296">
      <c r="B296" s="20"/>
      <c r="C296" s="8"/>
      <c r="D296" s="8"/>
      <c r="E296" s="8"/>
      <c r="F296" s="8"/>
      <c r="G296" s="8"/>
      <c r="H296" s="8"/>
    </row>
    <row r="297">
      <c r="B297" s="20"/>
      <c r="C297" s="8"/>
      <c r="D297" s="8"/>
      <c r="E297" s="8"/>
      <c r="F297" s="8"/>
      <c r="G297" s="8"/>
      <c r="H297" s="8"/>
    </row>
    <row r="298">
      <c r="B298" s="20"/>
      <c r="C298" s="8"/>
      <c r="D298" s="8"/>
      <c r="E298" s="8"/>
      <c r="F298" s="8"/>
      <c r="G298" s="8"/>
      <c r="H298" s="8"/>
    </row>
    <row r="299">
      <c r="B299" s="20"/>
      <c r="C299" s="8"/>
      <c r="D299" s="8"/>
      <c r="E299" s="8"/>
      <c r="F299" s="8"/>
      <c r="G299" s="8"/>
      <c r="H299" s="8"/>
    </row>
    <row r="300">
      <c r="B300" s="20"/>
      <c r="C300" s="8"/>
      <c r="D300" s="8"/>
      <c r="E300" s="8"/>
      <c r="F300" s="8"/>
      <c r="G300" s="8"/>
      <c r="H300" s="8"/>
    </row>
    <row r="301">
      <c r="B301" s="20"/>
      <c r="C301" s="8"/>
      <c r="D301" s="8"/>
      <c r="E301" s="8"/>
      <c r="F301" s="8"/>
      <c r="G301" s="8"/>
      <c r="H301" s="8"/>
    </row>
    <row r="302">
      <c r="B302" s="20"/>
      <c r="C302" s="8"/>
      <c r="D302" s="8"/>
      <c r="E302" s="8"/>
      <c r="F302" s="8"/>
      <c r="G302" s="8"/>
      <c r="H302" s="8"/>
    </row>
    <row r="303">
      <c r="B303" s="20"/>
      <c r="C303" s="8"/>
      <c r="D303" s="8"/>
      <c r="E303" s="8"/>
      <c r="F303" s="8"/>
      <c r="G303" s="8"/>
      <c r="H303" s="8"/>
    </row>
    <row r="304">
      <c r="B304" s="20"/>
      <c r="C304" s="8"/>
      <c r="D304" s="8"/>
      <c r="E304" s="8"/>
      <c r="F304" s="8"/>
      <c r="G304" s="8"/>
      <c r="H304" s="8"/>
    </row>
    <row r="305">
      <c r="B305" s="20"/>
      <c r="C305" s="8"/>
      <c r="D305" s="8"/>
      <c r="E305" s="8"/>
      <c r="F305" s="8"/>
      <c r="G305" s="8"/>
      <c r="H305" s="8"/>
    </row>
    <row r="306">
      <c r="B306" s="20"/>
      <c r="C306" s="8"/>
      <c r="D306" s="8"/>
      <c r="E306" s="8"/>
      <c r="F306" s="8"/>
      <c r="G306" s="8"/>
      <c r="H306" s="8"/>
    </row>
    <row r="307">
      <c r="B307" s="20"/>
      <c r="C307" s="8"/>
      <c r="D307" s="8"/>
      <c r="E307" s="8"/>
      <c r="F307" s="8"/>
      <c r="G307" s="8"/>
      <c r="H307" s="8"/>
    </row>
    <row r="308">
      <c r="B308" s="20"/>
      <c r="C308" s="8"/>
      <c r="D308" s="8"/>
      <c r="E308" s="8"/>
      <c r="F308" s="8"/>
      <c r="G308" s="8"/>
      <c r="H308" s="8"/>
    </row>
    <row r="309">
      <c r="B309" s="20"/>
      <c r="C309" s="8"/>
      <c r="D309" s="8"/>
      <c r="E309" s="8"/>
      <c r="F309" s="8"/>
      <c r="G309" s="8"/>
      <c r="H309" s="8"/>
    </row>
    <row r="310">
      <c r="B310" s="20"/>
      <c r="C310" s="8"/>
      <c r="D310" s="8"/>
      <c r="E310" s="8"/>
      <c r="F310" s="8"/>
      <c r="G310" s="8"/>
      <c r="H310" s="8"/>
    </row>
    <row r="311">
      <c r="B311" s="20"/>
      <c r="C311" s="8"/>
      <c r="D311" s="8"/>
      <c r="E311" s="8"/>
      <c r="F311" s="8"/>
      <c r="G311" s="8"/>
      <c r="H311" s="8"/>
    </row>
    <row r="312">
      <c r="B312" s="20"/>
      <c r="C312" s="8"/>
      <c r="D312" s="8"/>
      <c r="E312" s="8"/>
      <c r="F312" s="8"/>
      <c r="G312" s="8"/>
      <c r="H312" s="8"/>
    </row>
    <row r="313">
      <c r="B313" s="20"/>
      <c r="C313" s="8"/>
      <c r="D313" s="8"/>
      <c r="E313" s="8"/>
      <c r="F313" s="8"/>
      <c r="G313" s="8"/>
      <c r="H313" s="8"/>
    </row>
    <row r="314">
      <c r="B314" s="20"/>
      <c r="C314" s="8"/>
      <c r="D314" s="8"/>
      <c r="E314" s="8"/>
      <c r="F314" s="8"/>
      <c r="G314" s="8"/>
      <c r="H314" s="8"/>
    </row>
    <row r="315">
      <c r="B315" s="20"/>
      <c r="C315" s="8"/>
      <c r="D315" s="8"/>
      <c r="E315" s="8"/>
      <c r="F315" s="8"/>
      <c r="G315" s="8"/>
      <c r="H315" s="8"/>
    </row>
    <row r="316">
      <c r="B316" s="20"/>
      <c r="C316" s="8"/>
      <c r="D316" s="8"/>
      <c r="E316" s="8"/>
      <c r="F316" s="8"/>
      <c r="G316" s="8"/>
      <c r="H316" s="8"/>
    </row>
    <row r="317">
      <c r="B317" s="20"/>
      <c r="C317" s="8"/>
      <c r="D317" s="8"/>
      <c r="E317" s="8"/>
      <c r="F317" s="8"/>
      <c r="G317" s="8"/>
      <c r="H317" s="8"/>
    </row>
    <row r="318">
      <c r="B318" s="20"/>
      <c r="C318" s="8"/>
      <c r="D318" s="8"/>
      <c r="E318" s="8"/>
      <c r="F318" s="8"/>
      <c r="G318" s="8"/>
      <c r="H318" s="8"/>
    </row>
    <row r="319">
      <c r="B319" s="20"/>
      <c r="C319" s="8"/>
      <c r="D319" s="8"/>
      <c r="E319" s="8"/>
      <c r="F319" s="8"/>
      <c r="G319" s="8"/>
      <c r="H319" s="8"/>
    </row>
    <row r="320">
      <c r="B320" s="20"/>
      <c r="C320" s="8"/>
      <c r="D320" s="8"/>
      <c r="E320" s="8"/>
      <c r="F320" s="8"/>
      <c r="G320" s="8"/>
      <c r="H320" s="8"/>
    </row>
    <row r="321">
      <c r="B321" s="20"/>
      <c r="C321" s="8"/>
      <c r="D321" s="8"/>
      <c r="E321" s="8"/>
      <c r="F321" s="8"/>
      <c r="G321" s="8"/>
      <c r="H321" s="8"/>
    </row>
    <row r="322">
      <c r="B322" s="20"/>
      <c r="C322" s="8"/>
      <c r="D322" s="8"/>
      <c r="E322" s="8"/>
      <c r="F322" s="8"/>
      <c r="G322" s="8"/>
      <c r="H322" s="8"/>
    </row>
    <row r="323">
      <c r="B323" s="20"/>
      <c r="C323" s="8"/>
      <c r="D323" s="8"/>
      <c r="E323" s="8"/>
      <c r="F323" s="8"/>
      <c r="G323" s="8"/>
      <c r="H323" s="8"/>
    </row>
    <row r="324">
      <c r="B324" s="20"/>
      <c r="C324" s="8"/>
      <c r="D324" s="8"/>
      <c r="E324" s="8"/>
      <c r="F324" s="8"/>
      <c r="G324" s="8"/>
      <c r="H324" s="8"/>
    </row>
    <row r="325">
      <c r="B325" s="20"/>
      <c r="C325" s="8"/>
      <c r="D325" s="8"/>
      <c r="E325" s="8"/>
      <c r="F325" s="8"/>
      <c r="G325" s="8"/>
      <c r="H325" s="8"/>
    </row>
    <row r="326">
      <c r="B326" s="20"/>
      <c r="C326" s="8"/>
      <c r="D326" s="8"/>
      <c r="E326" s="8"/>
      <c r="F326" s="8"/>
      <c r="G326" s="8"/>
      <c r="H326" s="8"/>
    </row>
    <row r="327">
      <c r="B327" s="20"/>
      <c r="C327" s="8"/>
      <c r="D327" s="8"/>
      <c r="E327" s="8"/>
      <c r="F327" s="8"/>
      <c r="G327" s="8"/>
      <c r="H327" s="8"/>
    </row>
    <row r="328">
      <c r="B328" s="20"/>
      <c r="C328" s="8"/>
      <c r="D328" s="8"/>
      <c r="E328" s="8"/>
      <c r="F328" s="8"/>
      <c r="G328" s="8"/>
      <c r="H328" s="8"/>
    </row>
    <row r="329">
      <c r="B329" s="20"/>
      <c r="C329" s="8"/>
      <c r="D329" s="8"/>
      <c r="E329" s="8"/>
      <c r="F329" s="8"/>
      <c r="G329" s="8"/>
      <c r="H329" s="8"/>
    </row>
    <row r="330">
      <c r="B330" s="20"/>
      <c r="C330" s="8"/>
      <c r="D330" s="8"/>
      <c r="E330" s="8"/>
      <c r="F330" s="8"/>
      <c r="G330" s="8"/>
      <c r="H330" s="8"/>
    </row>
    <row r="331">
      <c r="B331" s="20"/>
      <c r="C331" s="8"/>
      <c r="D331" s="8"/>
      <c r="E331" s="8"/>
      <c r="F331" s="8"/>
      <c r="G331" s="8"/>
      <c r="H331" s="8"/>
    </row>
    <row r="332">
      <c r="B332" s="20"/>
      <c r="C332" s="8"/>
      <c r="D332" s="8"/>
      <c r="E332" s="8"/>
      <c r="F332" s="8"/>
      <c r="G332" s="8"/>
      <c r="H332" s="8"/>
    </row>
    <row r="333">
      <c r="B333" s="20"/>
      <c r="C333" s="8"/>
      <c r="D333" s="8"/>
      <c r="E333" s="8"/>
      <c r="F333" s="8"/>
      <c r="G333" s="8"/>
      <c r="H333" s="8"/>
    </row>
    <row r="334">
      <c r="B334" s="20"/>
      <c r="C334" s="8"/>
      <c r="D334" s="8"/>
      <c r="E334" s="8"/>
      <c r="F334" s="8"/>
      <c r="G334" s="8"/>
      <c r="H334" s="8"/>
    </row>
    <row r="335">
      <c r="B335" s="20"/>
      <c r="C335" s="8"/>
      <c r="D335" s="8"/>
      <c r="E335" s="8"/>
      <c r="F335" s="8"/>
      <c r="G335" s="8"/>
      <c r="H335" s="8"/>
    </row>
    <row r="336">
      <c r="B336" s="20"/>
      <c r="C336" s="8"/>
      <c r="D336" s="8"/>
      <c r="E336" s="8"/>
      <c r="F336" s="8"/>
      <c r="G336" s="8"/>
      <c r="H336" s="8"/>
    </row>
    <row r="337">
      <c r="B337" s="20"/>
      <c r="C337" s="8"/>
      <c r="D337" s="8"/>
      <c r="E337" s="8"/>
      <c r="F337" s="8"/>
      <c r="G337" s="8"/>
      <c r="H337" s="8"/>
    </row>
    <row r="338">
      <c r="B338" s="20"/>
      <c r="C338" s="8"/>
      <c r="D338" s="8"/>
      <c r="E338" s="8"/>
      <c r="F338" s="8"/>
      <c r="G338" s="8"/>
      <c r="H338" s="8"/>
    </row>
    <row r="339">
      <c r="B339" s="20"/>
      <c r="C339" s="8"/>
      <c r="D339" s="8"/>
      <c r="E339" s="8"/>
      <c r="F339" s="8"/>
      <c r="G339" s="8"/>
      <c r="H339" s="8"/>
    </row>
    <row r="340">
      <c r="B340" s="20"/>
      <c r="C340" s="8"/>
      <c r="D340" s="8"/>
      <c r="E340" s="8"/>
      <c r="F340" s="8"/>
      <c r="G340" s="8"/>
      <c r="H340" s="8"/>
    </row>
    <row r="341">
      <c r="B341" s="20"/>
      <c r="C341" s="8"/>
      <c r="D341" s="8"/>
      <c r="E341" s="8"/>
      <c r="F341" s="8"/>
      <c r="G341" s="8"/>
      <c r="H341" s="8"/>
    </row>
    <row r="342">
      <c r="B342" s="20"/>
      <c r="C342" s="8"/>
      <c r="D342" s="8"/>
      <c r="E342" s="8"/>
      <c r="F342" s="8"/>
      <c r="G342" s="8"/>
      <c r="H342" s="8"/>
    </row>
    <row r="343">
      <c r="B343" s="20"/>
      <c r="C343" s="8"/>
      <c r="D343" s="8"/>
      <c r="E343" s="8"/>
      <c r="F343" s="8"/>
      <c r="G343" s="8"/>
      <c r="H343" s="8"/>
    </row>
    <row r="344">
      <c r="B344" s="20"/>
      <c r="C344" s="8"/>
      <c r="D344" s="8"/>
      <c r="E344" s="8"/>
      <c r="F344" s="8"/>
      <c r="G344" s="8"/>
      <c r="H344" s="8"/>
    </row>
    <row r="345">
      <c r="B345" s="20"/>
      <c r="C345" s="8"/>
      <c r="D345" s="8"/>
      <c r="E345" s="8"/>
      <c r="F345" s="8"/>
      <c r="G345" s="8"/>
      <c r="H345" s="8"/>
    </row>
    <row r="346">
      <c r="B346" s="20"/>
      <c r="C346" s="8"/>
      <c r="D346" s="8"/>
      <c r="E346" s="8"/>
      <c r="F346" s="8"/>
      <c r="G346" s="8"/>
      <c r="H346" s="8"/>
    </row>
    <row r="347">
      <c r="B347" s="20"/>
      <c r="C347" s="8"/>
      <c r="D347" s="8"/>
      <c r="E347" s="8"/>
      <c r="F347" s="8"/>
      <c r="G347" s="8"/>
      <c r="H347" s="8"/>
    </row>
    <row r="348">
      <c r="B348" s="20"/>
      <c r="C348" s="8"/>
      <c r="D348" s="8"/>
      <c r="E348" s="8"/>
      <c r="F348" s="8"/>
      <c r="G348" s="8"/>
      <c r="H348" s="8"/>
    </row>
    <row r="349">
      <c r="B349" s="20"/>
      <c r="C349" s="8"/>
      <c r="D349" s="8"/>
      <c r="E349" s="8"/>
      <c r="F349" s="8"/>
      <c r="G349" s="8"/>
      <c r="H349" s="8"/>
    </row>
    <row r="350">
      <c r="B350" s="20"/>
      <c r="C350" s="8"/>
      <c r="D350" s="8"/>
      <c r="E350" s="8"/>
      <c r="F350" s="8"/>
      <c r="G350" s="8"/>
      <c r="H350" s="8"/>
    </row>
    <row r="351">
      <c r="B351" s="20"/>
      <c r="C351" s="8"/>
      <c r="D351" s="8"/>
      <c r="E351" s="8"/>
      <c r="F351" s="8"/>
      <c r="G351" s="8"/>
      <c r="H351" s="8"/>
    </row>
    <row r="352">
      <c r="B352" s="20"/>
      <c r="C352" s="8"/>
      <c r="D352" s="8"/>
      <c r="E352" s="8"/>
      <c r="F352" s="8"/>
      <c r="G352" s="8"/>
      <c r="H352" s="8"/>
    </row>
    <row r="353">
      <c r="B353" s="20"/>
      <c r="C353" s="8"/>
      <c r="D353" s="8"/>
      <c r="E353" s="8"/>
      <c r="F353" s="8"/>
      <c r="G353" s="8"/>
      <c r="H353" s="8"/>
    </row>
    <row r="354">
      <c r="B354" s="20"/>
      <c r="C354" s="8"/>
      <c r="D354" s="8"/>
      <c r="E354" s="8"/>
      <c r="F354" s="8"/>
      <c r="G354" s="8"/>
      <c r="H354" s="8"/>
    </row>
    <row r="355">
      <c r="B355" s="20"/>
      <c r="C355" s="8"/>
      <c r="D355" s="8"/>
      <c r="E355" s="8"/>
      <c r="F355" s="8"/>
      <c r="G355" s="8"/>
      <c r="H355" s="8"/>
    </row>
    <row r="356">
      <c r="B356" s="20"/>
      <c r="C356" s="8"/>
      <c r="D356" s="8"/>
      <c r="E356" s="8"/>
      <c r="F356" s="8"/>
      <c r="G356" s="8"/>
      <c r="H356" s="8"/>
    </row>
    <row r="357">
      <c r="B357" s="20"/>
      <c r="C357" s="8"/>
      <c r="D357" s="8"/>
      <c r="E357" s="8"/>
      <c r="F357" s="8"/>
      <c r="G357" s="8"/>
      <c r="H357" s="8"/>
    </row>
    <row r="358">
      <c r="B358" s="20"/>
      <c r="C358" s="8"/>
      <c r="D358" s="8"/>
      <c r="E358" s="8"/>
      <c r="F358" s="8"/>
      <c r="G358" s="8"/>
      <c r="H358" s="8"/>
    </row>
    <row r="359">
      <c r="B359" s="20"/>
      <c r="C359" s="8"/>
      <c r="D359" s="8"/>
      <c r="E359" s="8"/>
      <c r="F359" s="8"/>
      <c r="G359" s="8"/>
      <c r="H359" s="8"/>
    </row>
    <row r="360">
      <c r="B360" s="20"/>
      <c r="C360" s="8"/>
      <c r="D360" s="8"/>
      <c r="E360" s="8"/>
      <c r="F360" s="8"/>
      <c r="G360" s="8"/>
      <c r="H360" s="8"/>
    </row>
    <row r="361">
      <c r="B361" s="20"/>
      <c r="C361" s="8"/>
      <c r="D361" s="8"/>
      <c r="E361" s="8"/>
      <c r="F361" s="8"/>
      <c r="G361" s="8"/>
      <c r="H361" s="8"/>
    </row>
    <row r="362">
      <c r="B362" s="20"/>
      <c r="C362" s="8"/>
      <c r="D362" s="8"/>
      <c r="E362" s="8"/>
      <c r="F362" s="8"/>
      <c r="G362" s="8"/>
      <c r="H362" s="8"/>
    </row>
    <row r="363">
      <c r="B363" s="20"/>
      <c r="C363" s="8"/>
      <c r="D363" s="8"/>
      <c r="E363" s="8"/>
      <c r="F363" s="8"/>
      <c r="G363" s="8"/>
      <c r="H363" s="8"/>
    </row>
    <row r="364">
      <c r="B364" s="20"/>
      <c r="C364" s="8"/>
      <c r="D364" s="8"/>
      <c r="E364" s="8"/>
      <c r="F364" s="8"/>
      <c r="G364" s="8"/>
      <c r="H364" s="8"/>
    </row>
    <row r="365">
      <c r="B365" s="20"/>
      <c r="C365" s="8"/>
      <c r="D365" s="8"/>
      <c r="E365" s="8"/>
      <c r="F365" s="8"/>
      <c r="G365" s="8"/>
      <c r="H365" s="8"/>
    </row>
    <row r="366">
      <c r="B366" s="20"/>
      <c r="C366" s="8"/>
      <c r="D366" s="8"/>
      <c r="E366" s="8"/>
      <c r="F366" s="8"/>
      <c r="G366" s="8"/>
      <c r="H366" s="8"/>
    </row>
    <row r="367">
      <c r="B367" s="20"/>
      <c r="C367" s="8"/>
      <c r="D367" s="8"/>
      <c r="E367" s="8"/>
      <c r="F367" s="8"/>
      <c r="G367" s="8"/>
      <c r="H367" s="8"/>
    </row>
    <row r="368">
      <c r="B368" s="20"/>
      <c r="C368" s="8"/>
      <c r="D368" s="8"/>
      <c r="E368" s="8"/>
      <c r="F368" s="8"/>
      <c r="G368" s="8"/>
      <c r="H368" s="8"/>
    </row>
    <row r="369">
      <c r="B369" s="20"/>
      <c r="C369" s="8"/>
      <c r="D369" s="8"/>
      <c r="E369" s="8"/>
      <c r="F369" s="8"/>
      <c r="G369" s="8"/>
      <c r="H369" s="8"/>
    </row>
    <row r="370">
      <c r="B370" s="20"/>
      <c r="C370" s="8"/>
      <c r="D370" s="8"/>
      <c r="E370" s="8"/>
      <c r="F370" s="8"/>
      <c r="G370" s="8"/>
      <c r="H370" s="8"/>
    </row>
    <row r="371">
      <c r="B371" s="20"/>
      <c r="C371" s="8"/>
      <c r="D371" s="8"/>
      <c r="E371" s="8"/>
      <c r="F371" s="8"/>
      <c r="G371" s="8"/>
      <c r="H371" s="8"/>
    </row>
    <row r="372">
      <c r="B372" s="20"/>
      <c r="C372" s="8"/>
      <c r="D372" s="8"/>
      <c r="E372" s="8"/>
      <c r="F372" s="8"/>
      <c r="G372" s="8"/>
      <c r="H372" s="8"/>
    </row>
    <row r="373">
      <c r="B373" s="20"/>
      <c r="C373" s="8"/>
      <c r="D373" s="8"/>
      <c r="E373" s="8"/>
      <c r="F373" s="8"/>
      <c r="G373" s="8"/>
      <c r="H373" s="8"/>
    </row>
    <row r="374">
      <c r="B374" s="20"/>
      <c r="C374" s="8"/>
      <c r="D374" s="8"/>
      <c r="E374" s="8"/>
      <c r="F374" s="8"/>
      <c r="G374" s="8"/>
      <c r="H374" s="8"/>
    </row>
    <row r="375">
      <c r="B375" s="20"/>
      <c r="C375" s="8"/>
      <c r="D375" s="8"/>
      <c r="E375" s="8"/>
      <c r="F375" s="8"/>
      <c r="G375" s="8"/>
      <c r="H375" s="8"/>
    </row>
    <row r="376">
      <c r="B376" s="20"/>
      <c r="C376" s="8"/>
      <c r="D376" s="8"/>
      <c r="E376" s="8"/>
      <c r="F376" s="8"/>
      <c r="G376" s="8"/>
      <c r="H376" s="8"/>
    </row>
    <row r="377">
      <c r="B377" s="20"/>
      <c r="C377" s="8"/>
      <c r="D377" s="8"/>
      <c r="E377" s="8"/>
      <c r="F377" s="8"/>
      <c r="G377" s="8"/>
      <c r="H377" s="8"/>
    </row>
    <row r="378">
      <c r="B378" s="20"/>
      <c r="C378" s="8"/>
      <c r="D378" s="8"/>
      <c r="E378" s="8"/>
      <c r="F378" s="8"/>
      <c r="G378" s="8"/>
      <c r="H378" s="8"/>
    </row>
    <row r="379">
      <c r="B379" s="20"/>
      <c r="C379" s="8"/>
      <c r="D379" s="8"/>
      <c r="E379" s="8"/>
      <c r="F379" s="8"/>
      <c r="G379" s="8"/>
      <c r="H379" s="8"/>
    </row>
    <row r="380">
      <c r="B380" s="20"/>
      <c r="C380" s="8"/>
      <c r="D380" s="8"/>
      <c r="E380" s="8"/>
      <c r="F380" s="8"/>
      <c r="G380" s="8"/>
      <c r="H380" s="8"/>
    </row>
    <row r="381">
      <c r="B381" s="20"/>
      <c r="C381" s="8"/>
      <c r="D381" s="8"/>
      <c r="E381" s="8"/>
      <c r="F381" s="8"/>
      <c r="G381" s="8"/>
      <c r="H381" s="8"/>
    </row>
    <row r="382">
      <c r="B382" s="20"/>
      <c r="C382" s="8"/>
      <c r="D382" s="8"/>
      <c r="E382" s="8"/>
      <c r="F382" s="8"/>
      <c r="G382" s="8"/>
      <c r="H382" s="8"/>
    </row>
    <row r="383">
      <c r="B383" s="20"/>
      <c r="C383" s="8"/>
      <c r="D383" s="8"/>
      <c r="E383" s="8"/>
      <c r="F383" s="8"/>
      <c r="G383" s="8"/>
      <c r="H383" s="8"/>
    </row>
    <row r="384">
      <c r="B384" s="20"/>
      <c r="C384" s="8"/>
      <c r="D384" s="8"/>
      <c r="E384" s="8"/>
      <c r="F384" s="8"/>
      <c r="G384" s="8"/>
      <c r="H384" s="8"/>
    </row>
    <row r="385">
      <c r="B385" s="20"/>
      <c r="C385" s="8"/>
      <c r="D385" s="8"/>
      <c r="E385" s="8"/>
      <c r="F385" s="8"/>
      <c r="G385" s="8"/>
      <c r="H385" s="8"/>
    </row>
    <row r="386">
      <c r="B386" s="20"/>
      <c r="C386" s="8"/>
      <c r="D386" s="8"/>
      <c r="E386" s="8"/>
      <c r="F386" s="8"/>
      <c r="G386" s="8"/>
      <c r="H386" s="8"/>
    </row>
    <row r="387">
      <c r="B387" s="20"/>
      <c r="C387" s="8"/>
      <c r="D387" s="8"/>
      <c r="E387" s="8"/>
      <c r="F387" s="8"/>
      <c r="G387" s="8"/>
      <c r="H387" s="8"/>
    </row>
    <row r="388">
      <c r="B388" s="20"/>
      <c r="C388" s="8"/>
      <c r="D388" s="8"/>
      <c r="E388" s="8"/>
      <c r="F388" s="8"/>
      <c r="G388" s="8"/>
      <c r="H388" s="8"/>
    </row>
    <row r="389">
      <c r="B389" s="20"/>
      <c r="C389" s="8"/>
      <c r="D389" s="8"/>
      <c r="E389" s="8"/>
      <c r="F389" s="8"/>
      <c r="G389" s="8"/>
      <c r="H389" s="8"/>
    </row>
    <row r="390">
      <c r="B390" s="20"/>
      <c r="C390" s="8"/>
      <c r="D390" s="8"/>
      <c r="E390" s="8"/>
      <c r="F390" s="8"/>
      <c r="G390" s="8"/>
      <c r="H390" s="8"/>
    </row>
    <row r="391">
      <c r="B391" s="20"/>
      <c r="C391" s="8"/>
      <c r="D391" s="8"/>
      <c r="E391" s="8"/>
      <c r="F391" s="8"/>
      <c r="G391" s="8"/>
      <c r="H391" s="8"/>
    </row>
    <row r="392">
      <c r="B392" s="20"/>
      <c r="C392" s="8"/>
      <c r="D392" s="8"/>
      <c r="E392" s="8"/>
      <c r="F392" s="8"/>
      <c r="G392" s="8"/>
      <c r="H392" s="8"/>
    </row>
    <row r="393">
      <c r="B393" s="20"/>
      <c r="C393" s="8"/>
      <c r="D393" s="8"/>
      <c r="E393" s="8"/>
      <c r="F393" s="8"/>
      <c r="G393" s="8"/>
      <c r="H393" s="8"/>
    </row>
    <row r="394">
      <c r="B394" s="20"/>
      <c r="C394" s="8"/>
      <c r="D394" s="8"/>
      <c r="E394" s="8"/>
      <c r="F394" s="8"/>
      <c r="G394" s="8"/>
      <c r="H394" s="8"/>
    </row>
    <row r="395">
      <c r="B395" s="20"/>
      <c r="C395" s="8"/>
      <c r="D395" s="8"/>
      <c r="E395" s="8"/>
      <c r="F395" s="8"/>
      <c r="G395" s="8"/>
      <c r="H395" s="8"/>
    </row>
    <row r="396">
      <c r="B396" s="20"/>
      <c r="C396" s="8"/>
      <c r="D396" s="8"/>
      <c r="E396" s="8"/>
      <c r="F396" s="8"/>
      <c r="G396" s="8"/>
      <c r="H396" s="8"/>
    </row>
    <row r="397">
      <c r="B397" s="20"/>
      <c r="C397" s="8"/>
      <c r="D397" s="8"/>
      <c r="E397" s="8"/>
      <c r="F397" s="8"/>
      <c r="G397" s="8"/>
      <c r="H397" s="8"/>
    </row>
    <row r="398">
      <c r="B398" s="20"/>
      <c r="C398" s="8"/>
      <c r="D398" s="8"/>
      <c r="E398" s="8"/>
      <c r="F398" s="8"/>
      <c r="G398" s="8"/>
      <c r="H398" s="8"/>
    </row>
    <row r="399">
      <c r="B399" s="20"/>
      <c r="C399" s="8"/>
      <c r="D399" s="8"/>
      <c r="E399" s="8"/>
      <c r="F399" s="8"/>
      <c r="G399" s="8"/>
      <c r="H399" s="8"/>
    </row>
    <row r="400">
      <c r="B400" s="20"/>
      <c r="C400" s="8"/>
      <c r="D400" s="8"/>
      <c r="E400" s="8"/>
      <c r="F400" s="8"/>
      <c r="G400" s="8"/>
      <c r="H400" s="8"/>
    </row>
    <row r="401">
      <c r="B401" s="20"/>
      <c r="C401" s="8"/>
      <c r="D401" s="8"/>
      <c r="E401" s="8"/>
      <c r="F401" s="8"/>
      <c r="G401" s="8"/>
      <c r="H401" s="8"/>
    </row>
    <row r="402">
      <c r="B402" s="20"/>
      <c r="C402" s="8"/>
      <c r="D402" s="8"/>
      <c r="E402" s="8"/>
      <c r="F402" s="8"/>
      <c r="G402" s="8"/>
      <c r="H402" s="8"/>
    </row>
    <row r="403">
      <c r="B403" s="20"/>
      <c r="C403" s="8"/>
      <c r="D403" s="8"/>
      <c r="E403" s="8"/>
      <c r="F403" s="8"/>
      <c r="G403" s="8"/>
      <c r="H403" s="8"/>
    </row>
    <row r="404">
      <c r="B404" s="20"/>
      <c r="C404" s="8"/>
      <c r="D404" s="8"/>
      <c r="E404" s="8"/>
      <c r="F404" s="8"/>
      <c r="G404" s="8"/>
      <c r="H404" s="8"/>
    </row>
    <row r="405">
      <c r="B405" s="20"/>
      <c r="C405" s="8"/>
      <c r="D405" s="8"/>
      <c r="E405" s="8"/>
      <c r="F405" s="8"/>
      <c r="G405" s="8"/>
      <c r="H405" s="8"/>
    </row>
    <row r="406">
      <c r="B406" s="20"/>
      <c r="C406" s="8"/>
      <c r="D406" s="8"/>
      <c r="E406" s="8"/>
      <c r="F406" s="8"/>
      <c r="G406" s="8"/>
      <c r="H406" s="8"/>
    </row>
    <row r="407">
      <c r="B407" s="20"/>
      <c r="C407" s="8"/>
      <c r="D407" s="8"/>
      <c r="E407" s="8"/>
      <c r="F407" s="8"/>
      <c r="G407" s="8"/>
      <c r="H407" s="8"/>
    </row>
    <row r="408">
      <c r="B408" s="20"/>
      <c r="C408" s="8"/>
      <c r="D408" s="8"/>
      <c r="E408" s="8"/>
      <c r="F408" s="8"/>
      <c r="G408" s="8"/>
      <c r="H408" s="8"/>
    </row>
    <row r="409">
      <c r="B409" s="20"/>
      <c r="C409" s="8"/>
      <c r="D409" s="8"/>
      <c r="E409" s="8"/>
      <c r="F409" s="8"/>
      <c r="G409" s="8"/>
      <c r="H409" s="8"/>
    </row>
    <row r="410">
      <c r="B410" s="20"/>
      <c r="C410" s="8"/>
      <c r="D410" s="8"/>
      <c r="E410" s="8"/>
      <c r="F410" s="8"/>
      <c r="G410" s="8"/>
      <c r="H410" s="8"/>
    </row>
    <row r="411">
      <c r="B411" s="20"/>
      <c r="C411" s="8"/>
      <c r="D411" s="8"/>
      <c r="E411" s="8"/>
      <c r="F411" s="8"/>
      <c r="G411" s="8"/>
      <c r="H411" s="8"/>
    </row>
    <row r="412">
      <c r="B412" s="20"/>
      <c r="C412" s="8"/>
      <c r="D412" s="8"/>
      <c r="E412" s="8"/>
      <c r="F412" s="8"/>
      <c r="G412" s="8"/>
      <c r="H412" s="8"/>
    </row>
    <row r="413">
      <c r="B413" s="20"/>
      <c r="C413" s="8"/>
      <c r="D413" s="8"/>
      <c r="E413" s="8"/>
      <c r="F413" s="8"/>
      <c r="G413" s="8"/>
      <c r="H413" s="8"/>
    </row>
    <row r="414">
      <c r="B414" s="20"/>
      <c r="C414" s="8"/>
      <c r="D414" s="8"/>
      <c r="E414" s="8"/>
      <c r="F414" s="8"/>
      <c r="G414" s="8"/>
      <c r="H414" s="8"/>
    </row>
    <row r="415">
      <c r="B415" s="20"/>
      <c r="C415" s="8"/>
      <c r="D415" s="8"/>
      <c r="E415" s="8"/>
      <c r="F415" s="8"/>
      <c r="G415" s="8"/>
      <c r="H415" s="8"/>
    </row>
    <row r="416">
      <c r="B416" s="20"/>
      <c r="C416" s="8"/>
      <c r="D416" s="8"/>
      <c r="E416" s="8"/>
      <c r="F416" s="8"/>
      <c r="G416" s="8"/>
      <c r="H416" s="8"/>
    </row>
    <row r="417">
      <c r="B417" s="20"/>
      <c r="C417" s="8"/>
      <c r="D417" s="8"/>
      <c r="E417" s="8"/>
      <c r="F417" s="8"/>
      <c r="G417" s="8"/>
      <c r="H417" s="8"/>
    </row>
    <row r="418">
      <c r="B418" s="20"/>
      <c r="C418" s="8"/>
      <c r="D418" s="8"/>
      <c r="E418" s="8"/>
      <c r="F418" s="8"/>
      <c r="G418" s="8"/>
      <c r="H418" s="8"/>
    </row>
    <row r="419">
      <c r="B419" s="20"/>
      <c r="C419" s="8"/>
      <c r="D419" s="8"/>
      <c r="E419" s="8"/>
      <c r="F419" s="8"/>
      <c r="G419" s="8"/>
      <c r="H419" s="8"/>
    </row>
    <row r="420">
      <c r="B420" s="20"/>
      <c r="C420" s="8"/>
      <c r="D420" s="8"/>
      <c r="E420" s="8"/>
      <c r="F420" s="8"/>
      <c r="G420" s="8"/>
      <c r="H420" s="8"/>
    </row>
    <row r="421">
      <c r="B421" s="20"/>
      <c r="C421" s="8"/>
      <c r="D421" s="8"/>
      <c r="E421" s="8"/>
      <c r="F421" s="8"/>
      <c r="G421" s="8"/>
      <c r="H421" s="8"/>
    </row>
    <row r="422">
      <c r="B422" s="20"/>
      <c r="C422" s="8"/>
      <c r="D422" s="8"/>
      <c r="E422" s="8"/>
      <c r="F422" s="8"/>
      <c r="G422" s="8"/>
      <c r="H422" s="8"/>
    </row>
    <row r="423">
      <c r="B423" s="20"/>
      <c r="C423" s="8"/>
      <c r="D423" s="8"/>
      <c r="E423" s="8"/>
      <c r="F423" s="8"/>
      <c r="G423" s="8"/>
      <c r="H423" s="8"/>
    </row>
    <row r="424">
      <c r="B424" s="20"/>
      <c r="C424" s="8"/>
      <c r="D424" s="8"/>
      <c r="E424" s="8"/>
      <c r="F424" s="8"/>
      <c r="G424" s="8"/>
      <c r="H424" s="8"/>
    </row>
    <row r="425">
      <c r="B425" s="20"/>
      <c r="C425" s="8"/>
      <c r="D425" s="8"/>
      <c r="E425" s="8"/>
      <c r="F425" s="8"/>
      <c r="G425" s="8"/>
      <c r="H425" s="8"/>
    </row>
    <row r="426">
      <c r="B426" s="20"/>
      <c r="C426" s="8"/>
      <c r="D426" s="8"/>
      <c r="E426" s="8"/>
      <c r="F426" s="8"/>
      <c r="G426" s="8"/>
      <c r="H426" s="8"/>
    </row>
    <row r="427">
      <c r="B427" s="20"/>
      <c r="C427" s="8"/>
      <c r="D427" s="8"/>
      <c r="E427" s="8"/>
      <c r="F427" s="8"/>
      <c r="G427" s="8"/>
      <c r="H427" s="8"/>
    </row>
    <row r="428">
      <c r="B428" s="20"/>
      <c r="C428" s="8"/>
      <c r="D428" s="8"/>
      <c r="E428" s="8"/>
      <c r="F428" s="8"/>
      <c r="G428" s="8"/>
      <c r="H428" s="8"/>
    </row>
    <row r="429">
      <c r="B429" s="20"/>
      <c r="C429" s="8"/>
      <c r="D429" s="8"/>
      <c r="E429" s="8"/>
      <c r="F429" s="8"/>
      <c r="G429" s="8"/>
      <c r="H429" s="8"/>
    </row>
    <row r="430">
      <c r="B430" s="20"/>
      <c r="C430" s="8"/>
      <c r="D430" s="8"/>
      <c r="E430" s="8"/>
      <c r="F430" s="8"/>
      <c r="G430" s="8"/>
      <c r="H430" s="8"/>
    </row>
    <row r="431">
      <c r="B431" s="20"/>
      <c r="C431" s="8"/>
      <c r="D431" s="8"/>
      <c r="E431" s="8"/>
      <c r="F431" s="8"/>
      <c r="G431" s="8"/>
      <c r="H431" s="8"/>
    </row>
    <row r="432">
      <c r="B432" s="20"/>
      <c r="C432" s="8"/>
      <c r="D432" s="8"/>
      <c r="E432" s="8"/>
      <c r="F432" s="8"/>
      <c r="G432" s="8"/>
      <c r="H432" s="8"/>
    </row>
    <row r="433">
      <c r="B433" s="20"/>
      <c r="C433" s="8"/>
      <c r="D433" s="8"/>
      <c r="E433" s="8"/>
      <c r="F433" s="8"/>
      <c r="G433" s="8"/>
      <c r="H433" s="8"/>
    </row>
    <row r="434">
      <c r="B434" s="20"/>
      <c r="C434" s="8"/>
      <c r="D434" s="8"/>
      <c r="E434" s="8"/>
      <c r="F434" s="8"/>
      <c r="G434" s="8"/>
      <c r="H434" s="8"/>
    </row>
    <row r="435">
      <c r="B435" s="20"/>
      <c r="C435" s="8"/>
      <c r="D435" s="8"/>
      <c r="E435" s="8"/>
      <c r="F435" s="8"/>
      <c r="G435" s="8"/>
      <c r="H435" s="8"/>
    </row>
    <row r="436">
      <c r="B436" s="20"/>
      <c r="C436" s="8"/>
      <c r="D436" s="8"/>
      <c r="E436" s="8"/>
      <c r="F436" s="8"/>
      <c r="G436" s="8"/>
      <c r="H436" s="8"/>
    </row>
    <row r="437">
      <c r="B437" s="20"/>
      <c r="C437" s="8"/>
      <c r="D437" s="8"/>
      <c r="E437" s="8"/>
      <c r="F437" s="8"/>
      <c r="G437" s="8"/>
      <c r="H437" s="8"/>
    </row>
    <row r="438">
      <c r="B438" s="20"/>
      <c r="C438" s="8"/>
      <c r="D438" s="8"/>
      <c r="E438" s="8"/>
      <c r="F438" s="8"/>
      <c r="G438" s="8"/>
      <c r="H438" s="8"/>
    </row>
    <row r="439">
      <c r="B439" s="20"/>
      <c r="C439" s="8"/>
      <c r="D439" s="8"/>
      <c r="E439" s="8"/>
      <c r="F439" s="8"/>
      <c r="G439" s="8"/>
      <c r="H439" s="8"/>
    </row>
    <row r="440">
      <c r="B440" s="20"/>
      <c r="C440" s="8"/>
      <c r="D440" s="8"/>
      <c r="E440" s="8"/>
      <c r="F440" s="8"/>
      <c r="G440" s="8"/>
      <c r="H440" s="8"/>
    </row>
    <row r="441">
      <c r="B441" s="20"/>
      <c r="C441" s="8"/>
      <c r="D441" s="8"/>
      <c r="E441" s="8"/>
      <c r="F441" s="8"/>
      <c r="G441" s="8"/>
      <c r="H441" s="8"/>
    </row>
    <row r="442">
      <c r="B442" s="20"/>
      <c r="C442" s="8"/>
      <c r="D442" s="8"/>
      <c r="E442" s="8"/>
      <c r="F442" s="8"/>
      <c r="G442" s="8"/>
      <c r="H442" s="8"/>
    </row>
    <row r="443">
      <c r="B443" s="20"/>
      <c r="C443" s="8"/>
      <c r="D443" s="8"/>
      <c r="E443" s="8"/>
      <c r="F443" s="8"/>
      <c r="G443" s="8"/>
      <c r="H443" s="8"/>
    </row>
    <row r="444">
      <c r="B444" s="20"/>
      <c r="C444" s="8"/>
      <c r="D444" s="8"/>
      <c r="E444" s="8"/>
      <c r="F444" s="8"/>
      <c r="G444" s="8"/>
      <c r="H444" s="8"/>
    </row>
    <row r="445">
      <c r="B445" s="20"/>
      <c r="C445" s="8"/>
      <c r="D445" s="8"/>
      <c r="E445" s="8"/>
      <c r="F445" s="8"/>
      <c r="G445" s="8"/>
      <c r="H445" s="8"/>
    </row>
    <row r="446">
      <c r="B446" s="20"/>
      <c r="C446" s="8"/>
      <c r="D446" s="8"/>
      <c r="E446" s="8"/>
      <c r="F446" s="8"/>
      <c r="G446" s="8"/>
      <c r="H446" s="8"/>
    </row>
    <row r="447">
      <c r="B447" s="20"/>
      <c r="C447" s="8"/>
      <c r="D447" s="8"/>
      <c r="E447" s="8"/>
      <c r="F447" s="8"/>
      <c r="G447" s="8"/>
      <c r="H447" s="8"/>
    </row>
    <row r="448">
      <c r="B448" s="20"/>
      <c r="C448" s="8"/>
      <c r="D448" s="8"/>
      <c r="E448" s="8"/>
      <c r="F448" s="8"/>
      <c r="G448" s="8"/>
      <c r="H448" s="8"/>
    </row>
    <row r="449">
      <c r="B449" s="20"/>
      <c r="C449" s="8"/>
      <c r="D449" s="8"/>
      <c r="E449" s="8"/>
      <c r="F449" s="8"/>
      <c r="G449" s="8"/>
      <c r="H449" s="8"/>
    </row>
    <row r="450">
      <c r="B450" s="20"/>
      <c r="C450" s="8"/>
      <c r="D450" s="8"/>
      <c r="E450" s="8"/>
      <c r="F450" s="8"/>
      <c r="G450" s="8"/>
      <c r="H450" s="8"/>
    </row>
    <row r="451">
      <c r="B451" s="20"/>
      <c r="C451" s="8"/>
      <c r="D451" s="8"/>
      <c r="E451" s="8"/>
      <c r="F451" s="8"/>
      <c r="G451" s="8"/>
      <c r="H451" s="8"/>
    </row>
    <row r="452">
      <c r="B452" s="20"/>
      <c r="C452" s="8"/>
      <c r="D452" s="8"/>
      <c r="E452" s="8"/>
      <c r="F452" s="8"/>
      <c r="G452" s="8"/>
      <c r="H452" s="8"/>
    </row>
    <row r="453">
      <c r="B453" s="20"/>
      <c r="C453" s="8"/>
      <c r="D453" s="8"/>
      <c r="E453" s="8"/>
      <c r="F453" s="8"/>
      <c r="G453" s="8"/>
      <c r="H453" s="8"/>
    </row>
    <row r="454">
      <c r="B454" s="20"/>
      <c r="C454" s="8"/>
      <c r="D454" s="8"/>
      <c r="E454" s="8"/>
      <c r="F454" s="8"/>
      <c r="G454" s="8"/>
      <c r="H454" s="8"/>
    </row>
    <row r="455">
      <c r="B455" s="20"/>
      <c r="C455" s="8"/>
      <c r="D455" s="8"/>
      <c r="E455" s="8"/>
      <c r="F455" s="8"/>
      <c r="G455" s="8"/>
      <c r="H455" s="8"/>
    </row>
    <row r="456">
      <c r="B456" s="20"/>
      <c r="C456" s="8"/>
      <c r="D456" s="8"/>
      <c r="E456" s="8"/>
      <c r="F456" s="8"/>
      <c r="G456" s="8"/>
      <c r="H456" s="8"/>
    </row>
    <row r="457">
      <c r="B457" s="20"/>
      <c r="C457" s="8"/>
      <c r="D457" s="8"/>
      <c r="E457" s="8"/>
      <c r="F457" s="8"/>
      <c r="G457" s="8"/>
      <c r="H457" s="8"/>
    </row>
    <row r="458">
      <c r="B458" s="20"/>
      <c r="C458" s="8"/>
      <c r="D458" s="8"/>
      <c r="E458" s="8"/>
      <c r="F458" s="8"/>
      <c r="G458" s="8"/>
      <c r="H458" s="8"/>
    </row>
    <row r="459">
      <c r="B459" s="20"/>
      <c r="C459" s="8"/>
      <c r="D459" s="8"/>
      <c r="E459" s="8"/>
      <c r="F459" s="8"/>
      <c r="G459" s="8"/>
      <c r="H459" s="8"/>
    </row>
    <row r="460">
      <c r="B460" s="20"/>
      <c r="C460" s="8"/>
      <c r="D460" s="8"/>
      <c r="E460" s="8"/>
      <c r="F460" s="8"/>
      <c r="G460" s="8"/>
      <c r="H460" s="8"/>
    </row>
    <row r="461">
      <c r="B461" s="20"/>
      <c r="C461" s="8"/>
      <c r="D461" s="8"/>
      <c r="E461" s="8"/>
      <c r="F461" s="8"/>
      <c r="G461" s="8"/>
      <c r="H461" s="8"/>
    </row>
    <row r="462">
      <c r="B462" s="20"/>
      <c r="C462" s="8"/>
      <c r="D462" s="8"/>
      <c r="E462" s="8"/>
      <c r="F462" s="8"/>
      <c r="G462" s="8"/>
      <c r="H462" s="8"/>
    </row>
    <row r="463">
      <c r="B463" s="20"/>
      <c r="C463" s="8"/>
      <c r="D463" s="8"/>
      <c r="E463" s="8"/>
      <c r="F463" s="8"/>
      <c r="G463" s="8"/>
      <c r="H463" s="8"/>
    </row>
    <row r="464">
      <c r="B464" s="20"/>
      <c r="C464" s="8"/>
      <c r="D464" s="8"/>
      <c r="E464" s="8"/>
      <c r="F464" s="8"/>
      <c r="G464" s="8"/>
      <c r="H464" s="8"/>
    </row>
    <row r="465">
      <c r="B465" s="20"/>
      <c r="C465" s="8"/>
      <c r="D465" s="8"/>
      <c r="E465" s="8"/>
      <c r="F465" s="8"/>
      <c r="G465" s="8"/>
      <c r="H465" s="8"/>
    </row>
    <row r="466">
      <c r="B466" s="20"/>
      <c r="C466" s="8"/>
      <c r="D466" s="8"/>
      <c r="E466" s="8"/>
      <c r="F466" s="8"/>
      <c r="G466" s="8"/>
      <c r="H466" s="8"/>
    </row>
    <row r="467">
      <c r="B467" s="20"/>
      <c r="C467" s="8"/>
      <c r="D467" s="8"/>
      <c r="E467" s="8"/>
      <c r="F467" s="8"/>
      <c r="G467" s="8"/>
      <c r="H467" s="8"/>
    </row>
    <row r="468">
      <c r="B468" s="20"/>
      <c r="C468" s="8"/>
      <c r="D468" s="8"/>
      <c r="E468" s="8"/>
      <c r="F468" s="8"/>
      <c r="G468" s="8"/>
      <c r="H468" s="8"/>
    </row>
    <row r="469">
      <c r="B469" s="20"/>
      <c r="C469" s="8"/>
      <c r="D469" s="8"/>
      <c r="E469" s="8"/>
      <c r="F469" s="8"/>
      <c r="G469" s="8"/>
      <c r="H469" s="8"/>
    </row>
    <row r="470">
      <c r="B470" s="20"/>
      <c r="C470" s="8"/>
      <c r="D470" s="8"/>
      <c r="E470" s="8"/>
      <c r="F470" s="8"/>
      <c r="G470" s="8"/>
      <c r="H470" s="8"/>
    </row>
    <row r="471">
      <c r="B471" s="20"/>
      <c r="C471" s="8"/>
      <c r="D471" s="8"/>
      <c r="E471" s="8"/>
      <c r="F471" s="8"/>
      <c r="G471" s="8"/>
      <c r="H471" s="8"/>
    </row>
    <row r="472">
      <c r="B472" s="20"/>
      <c r="C472" s="8"/>
      <c r="D472" s="8"/>
      <c r="E472" s="8"/>
      <c r="F472" s="8"/>
      <c r="G472" s="8"/>
      <c r="H472" s="8"/>
    </row>
    <row r="473">
      <c r="B473" s="20"/>
      <c r="C473" s="8"/>
      <c r="D473" s="8"/>
      <c r="E473" s="8"/>
      <c r="F473" s="8"/>
      <c r="G473" s="8"/>
      <c r="H473" s="8"/>
    </row>
    <row r="474">
      <c r="B474" s="20"/>
      <c r="C474" s="8"/>
      <c r="D474" s="8"/>
      <c r="E474" s="8"/>
      <c r="F474" s="8"/>
      <c r="G474" s="8"/>
      <c r="H474" s="8"/>
    </row>
    <row r="475">
      <c r="B475" s="20"/>
      <c r="C475" s="8"/>
      <c r="D475" s="8"/>
      <c r="E475" s="8"/>
      <c r="F475" s="8"/>
      <c r="G475" s="8"/>
      <c r="H475" s="8"/>
    </row>
    <row r="476">
      <c r="B476" s="20"/>
      <c r="C476" s="8"/>
      <c r="D476" s="8"/>
      <c r="E476" s="8"/>
      <c r="F476" s="8"/>
      <c r="G476" s="8"/>
      <c r="H476" s="8"/>
    </row>
    <row r="477">
      <c r="B477" s="20"/>
      <c r="C477" s="8"/>
      <c r="D477" s="8"/>
      <c r="E477" s="8"/>
      <c r="F477" s="8"/>
      <c r="G477" s="8"/>
      <c r="H477" s="8"/>
    </row>
    <row r="478">
      <c r="B478" s="20"/>
      <c r="C478" s="8"/>
      <c r="D478" s="8"/>
      <c r="E478" s="8"/>
      <c r="F478" s="8"/>
      <c r="G478" s="8"/>
      <c r="H478" s="8"/>
    </row>
    <row r="479">
      <c r="B479" s="20"/>
      <c r="C479" s="8"/>
      <c r="D479" s="8"/>
      <c r="E479" s="8"/>
      <c r="F479" s="8"/>
      <c r="G479" s="8"/>
      <c r="H479" s="8"/>
    </row>
    <row r="480">
      <c r="B480" s="20"/>
      <c r="C480" s="8"/>
      <c r="D480" s="8"/>
      <c r="E480" s="8"/>
      <c r="F480" s="8"/>
      <c r="G480" s="8"/>
      <c r="H480" s="8"/>
    </row>
    <row r="481">
      <c r="B481" s="20"/>
      <c r="C481" s="8"/>
      <c r="D481" s="8"/>
      <c r="E481" s="8"/>
      <c r="F481" s="8"/>
      <c r="G481" s="8"/>
      <c r="H481" s="8"/>
    </row>
    <row r="482">
      <c r="B482" s="20"/>
      <c r="C482" s="8"/>
      <c r="D482" s="8"/>
      <c r="E482" s="8"/>
      <c r="F482" s="8"/>
      <c r="G482" s="8"/>
      <c r="H482" s="8"/>
    </row>
    <row r="483">
      <c r="B483" s="20"/>
      <c r="C483" s="8"/>
      <c r="D483" s="8"/>
      <c r="E483" s="8"/>
      <c r="F483" s="8"/>
      <c r="G483" s="8"/>
      <c r="H483" s="8"/>
    </row>
    <row r="484">
      <c r="B484" s="20"/>
      <c r="C484" s="8"/>
      <c r="D484" s="8"/>
      <c r="E484" s="8"/>
      <c r="F484" s="8"/>
      <c r="G484" s="8"/>
      <c r="H484" s="8"/>
    </row>
    <row r="485">
      <c r="B485" s="20"/>
      <c r="C485" s="8"/>
      <c r="D485" s="8"/>
      <c r="E485" s="8"/>
      <c r="F485" s="8"/>
      <c r="G485" s="8"/>
      <c r="H485" s="8"/>
    </row>
    <row r="486">
      <c r="B486" s="20"/>
      <c r="C486" s="8"/>
      <c r="D486" s="8"/>
      <c r="E486" s="8"/>
      <c r="F486" s="8"/>
      <c r="G486" s="8"/>
      <c r="H486" s="8"/>
    </row>
    <row r="487">
      <c r="B487" s="20"/>
      <c r="C487" s="8"/>
      <c r="D487" s="8"/>
      <c r="E487" s="8"/>
      <c r="F487" s="8"/>
      <c r="G487" s="8"/>
      <c r="H487" s="8"/>
    </row>
    <row r="488">
      <c r="B488" s="20"/>
      <c r="C488" s="8"/>
      <c r="D488" s="8"/>
      <c r="E488" s="8"/>
      <c r="F488" s="8"/>
      <c r="G488" s="8"/>
      <c r="H488" s="8"/>
    </row>
    <row r="489">
      <c r="B489" s="20"/>
      <c r="C489" s="8"/>
      <c r="D489" s="8"/>
      <c r="E489" s="8"/>
      <c r="F489" s="8"/>
      <c r="G489" s="8"/>
      <c r="H489" s="8"/>
    </row>
    <row r="490">
      <c r="B490" s="20"/>
      <c r="C490" s="8"/>
      <c r="D490" s="8"/>
      <c r="E490" s="8"/>
      <c r="F490" s="8"/>
      <c r="G490" s="8"/>
      <c r="H490" s="8"/>
    </row>
    <row r="491">
      <c r="B491" s="20"/>
      <c r="C491" s="8"/>
      <c r="D491" s="8"/>
      <c r="E491" s="8"/>
      <c r="F491" s="8"/>
      <c r="G491" s="8"/>
      <c r="H491" s="8"/>
    </row>
    <row r="492">
      <c r="B492" s="20"/>
      <c r="C492" s="8"/>
      <c r="D492" s="8"/>
      <c r="E492" s="8"/>
      <c r="F492" s="8"/>
      <c r="G492" s="8"/>
      <c r="H492" s="8"/>
    </row>
    <row r="493">
      <c r="B493" s="20"/>
      <c r="C493" s="8"/>
      <c r="D493" s="8"/>
      <c r="E493" s="8"/>
      <c r="F493" s="8"/>
      <c r="G493" s="8"/>
      <c r="H493" s="8"/>
    </row>
    <row r="494">
      <c r="B494" s="20"/>
      <c r="C494" s="8"/>
      <c r="D494" s="8"/>
      <c r="E494" s="8"/>
      <c r="F494" s="8"/>
      <c r="G494" s="8"/>
      <c r="H494" s="8"/>
    </row>
    <row r="495">
      <c r="B495" s="20"/>
      <c r="C495" s="8"/>
      <c r="D495" s="8"/>
      <c r="E495" s="8"/>
      <c r="F495" s="8"/>
      <c r="G495" s="8"/>
      <c r="H495" s="8"/>
    </row>
    <row r="496">
      <c r="B496" s="20"/>
      <c r="C496" s="8"/>
      <c r="D496" s="8"/>
      <c r="E496" s="8"/>
      <c r="F496" s="8"/>
      <c r="G496" s="8"/>
      <c r="H496" s="8"/>
    </row>
    <row r="497">
      <c r="B497" s="20"/>
      <c r="C497" s="8"/>
      <c r="D497" s="8"/>
      <c r="E497" s="8"/>
      <c r="F497" s="8"/>
      <c r="G497" s="8"/>
      <c r="H497" s="8"/>
    </row>
    <row r="498">
      <c r="B498" s="20"/>
      <c r="C498" s="8"/>
      <c r="D498" s="8"/>
      <c r="E498" s="8"/>
      <c r="F498" s="8"/>
      <c r="G498" s="8"/>
      <c r="H498" s="8"/>
    </row>
    <row r="499">
      <c r="B499" s="20"/>
      <c r="C499" s="8"/>
      <c r="D499" s="8"/>
      <c r="E499" s="8"/>
      <c r="F499" s="8"/>
      <c r="G499" s="8"/>
      <c r="H499" s="8"/>
    </row>
    <row r="500">
      <c r="B500" s="20"/>
      <c r="C500" s="8"/>
      <c r="D500" s="8"/>
      <c r="E500" s="8"/>
      <c r="F500" s="8"/>
      <c r="G500" s="8"/>
      <c r="H500" s="8"/>
    </row>
    <row r="501">
      <c r="B501" s="20"/>
      <c r="C501" s="8"/>
      <c r="D501" s="8"/>
      <c r="E501" s="8"/>
      <c r="F501" s="8"/>
      <c r="G501" s="8"/>
      <c r="H501" s="8"/>
    </row>
    <row r="502">
      <c r="B502" s="20"/>
      <c r="C502" s="8"/>
      <c r="D502" s="8"/>
      <c r="E502" s="8"/>
      <c r="F502" s="8"/>
      <c r="G502" s="8"/>
      <c r="H502" s="8"/>
    </row>
    <row r="503">
      <c r="B503" s="20"/>
      <c r="C503" s="8"/>
      <c r="D503" s="8"/>
      <c r="E503" s="8"/>
      <c r="F503" s="8"/>
      <c r="G503" s="8"/>
      <c r="H503" s="8"/>
    </row>
    <row r="504">
      <c r="B504" s="20"/>
      <c r="C504" s="8"/>
      <c r="D504" s="8"/>
      <c r="E504" s="8"/>
      <c r="F504" s="8"/>
      <c r="G504" s="8"/>
      <c r="H504" s="8"/>
    </row>
    <row r="505">
      <c r="B505" s="20"/>
      <c r="C505" s="8"/>
      <c r="D505" s="8"/>
      <c r="E505" s="8"/>
      <c r="F505" s="8"/>
      <c r="G505" s="8"/>
      <c r="H505" s="8"/>
    </row>
    <row r="506">
      <c r="B506" s="20"/>
      <c r="C506" s="8"/>
      <c r="D506" s="8"/>
      <c r="E506" s="8"/>
      <c r="F506" s="8"/>
      <c r="G506" s="8"/>
      <c r="H506" s="8"/>
    </row>
    <row r="507">
      <c r="B507" s="20"/>
      <c r="C507" s="8"/>
      <c r="D507" s="8"/>
      <c r="E507" s="8"/>
      <c r="F507" s="8"/>
      <c r="G507" s="8"/>
      <c r="H507" s="8"/>
    </row>
    <row r="508">
      <c r="B508" s="20"/>
      <c r="C508" s="8"/>
      <c r="D508" s="8"/>
      <c r="E508" s="8"/>
      <c r="F508" s="8"/>
      <c r="G508" s="8"/>
      <c r="H508" s="8"/>
    </row>
    <row r="509">
      <c r="B509" s="20"/>
      <c r="C509" s="8"/>
      <c r="D509" s="8"/>
      <c r="E509" s="8"/>
      <c r="F509" s="8"/>
      <c r="G509" s="8"/>
      <c r="H509" s="8"/>
    </row>
    <row r="510">
      <c r="B510" s="20"/>
      <c r="C510" s="8"/>
      <c r="D510" s="8"/>
      <c r="E510" s="8"/>
      <c r="F510" s="8"/>
      <c r="G510" s="8"/>
      <c r="H510" s="8"/>
    </row>
    <row r="511">
      <c r="B511" s="20"/>
      <c r="C511" s="8"/>
      <c r="D511" s="8"/>
      <c r="E511" s="8"/>
      <c r="F511" s="8"/>
      <c r="G511" s="8"/>
      <c r="H511" s="8"/>
    </row>
    <row r="512">
      <c r="B512" s="20"/>
      <c r="C512" s="8"/>
      <c r="D512" s="8"/>
      <c r="E512" s="8"/>
      <c r="F512" s="8"/>
      <c r="G512" s="8"/>
      <c r="H512" s="8"/>
    </row>
    <row r="513">
      <c r="B513" s="20"/>
      <c r="C513" s="8"/>
      <c r="D513" s="8"/>
      <c r="E513" s="8"/>
      <c r="F513" s="8"/>
      <c r="G513" s="8"/>
      <c r="H513" s="8"/>
    </row>
    <row r="514">
      <c r="B514" s="20"/>
      <c r="C514" s="8"/>
      <c r="D514" s="8"/>
      <c r="E514" s="8"/>
      <c r="F514" s="8"/>
      <c r="G514" s="8"/>
      <c r="H514" s="8"/>
    </row>
    <row r="515">
      <c r="B515" s="20"/>
      <c r="C515" s="8"/>
      <c r="D515" s="8"/>
      <c r="E515" s="8"/>
      <c r="F515" s="8"/>
      <c r="G515" s="8"/>
      <c r="H515" s="8"/>
    </row>
    <row r="516">
      <c r="B516" s="20"/>
      <c r="C516" s="8"/>
      <c r="D516" s="8"/>
      <c r="E516" s="8"/>
      <c r="F516" s="8"/>
      <c r="G516" s="8"/>
      <c r="H516" s="8"/>
    </row>
    <row r="517">
      <c r="B517" s="20"/>
      <c r="C517" s="8"/>
      <c r="D517" s="8"/>
      <c r="E517" s="8"/>
      <c r="F517" s="8"/>
      <c r="G517" s="8"/>
      <c r="H517" s="8"/>
    </row>
    <row r="518">
      <c r="B518" s="20"/>
      <c r="C518" s="8"/>
      <c r="D518" s="8"/>
      <c r="E518" s="8"/>
      <c r="F518" s="8"/>
      <c r="G518" s="8"/>
      <c r="H518" s="8"/>
    </row>
    <row r="519">
      <c r="B519" s="20"/>
      <c r="C519" s="8"/>
      <c r="D519" s="8"/>
      <c r="E519" s="8"/>
      <c r="F519" s="8"/>
      <c r="G519" s="8"/>
      <c r="H519" s="8"/>
    </row>
    <row r="520">
      <c r="B520" s="20"/>
      <c r="C520" s="8"/>
      <c r="D520" s="8"/>
      <c r="E520" s="8"/>
      <c r="F520" s="8"/>
      <c r="G520" s="8"/>
      <c r="H520" s="8"/>
    </row>
    <row r="521">
      <c r="B521" s="20"/>
      <c r="C521" s="8"/>
      <c r="D521" s="8"/>
      <c r="E521" s="8"/>
      <c r="F521" s="8"/>
      <c r="G521" s="8"/>
      <c r="H521" s="8"/>
    </row>
    <row r="522">
      <c r="B522" s="20"/>
      <c r="C522" s="8"/>
      <c r="D522" s="8"/>
      <c r="E522" s="8"/>
      <c r="F522" s="8"/>
      <c r="G522" s="8"/>
      <c r="H522" s="8"/>
    </row>
    <row r="523">
      <c r="B523" s="20"/>
      <c r="C523" s="8"/>
      <c r="D523" s="8"/>
      <c r="E523" s="8"/>
      <c r="F523" s="8"/>
      <c r="G523" s="8"/>
      <c r="H523" s="8"/>
    </row>
    <row r="524">
      <c r="B524" s="20"/>
      <c r="C524" s="8"/>
      <c r="D524" s="8"/>
      <c r="E524" s="8"/>
      <c r="F524" s="8"/>
      <c r="G524" s="8"/>
      <c r="H524" s="8"/>
    </row>
    <row r="525">
      <c r="B525" s="20"/>
      <c r="C525" s="8"/>
      <c r="D525" s="8"/>
      <c r="E525" s="8"/>
      <c r="F525" s="8"/>
      <c r="G525" s="8"/>
      <c r="H525" s="8"/>
    </row>
    <row r="526">
      <c r="B526" s="20"/>
      <c r="C526" s="8"/>
      <c r="D526" s="8"/>
      <c r="E526" s="8"/>
      <c r="F526" s="8"/>
      <c r="G526" s="8"/>
      <c r="H526" s="8"/>
    </row>
    <row r="527">
      <c r="B527" s="20"/>
      <c r="C527" s="8"/>
      <c r="D527" s="8"/>
      <c r="E527" s="8"/>
      <c r="F527" s="8"/>
      <c r="G527" s="8"/>
      <c r="H527" s="8"/>
    </row>
    <row r="528">
      <c r="B528" s="20"/>
      <c r="C528" s="8"/>
      <c r="D528" s="8"/>
      <c r="E528" s="8"/>
      <c r="F528" s="8"/>
      <c r="G528" s="8"/>
      <c r="H528" s="8"/>
    </row>
    <row r="529">
      <c r="B529" s="20"/>
      <c r="C529" s="8"/>
      <c r="D529" s="8"/>
      <c r="E529" s="8"/>
      <c r="F529" s="8"/>
      <c r="G529" s="8"/>
      <c r="H529" s="8"/>
    </row>
    <row r="530">
      <c r="B530" s="20"/>
      <c r="C530" s="8"/>
      <c r="D530" s="8"/>
      <c r="E530" s="8"/>
      <c r="F530" s="8"/>
      <c r="G530" s="8"/>
      <c r="H530" s="8"/>
    </row>
    <row r="531">
      <c r="B531" s="20"/>
      <c r="C531" s="8"/>
      <c r="D531" s="8"/>
      <c r="E531" s="8"/>
      <c r="F531" s="8"/>
      <c r="G531" s="8"/>
      <c r="H531" s="8"/>
    </row>
    <row r="532">
      <c r="B532" s="20"/>
      <c r="C532" s="8"/>
      <c r="D532" s="8"/>
      <c r="E532" s="8"/>
      <c r="F532" s="8"/>
      <c r="G532" s="8"/>
      <c r="H532" s="8"/>
    </row>
    <row r="533">
      <c r="B533" s="20"/>
      <c r="C533" s="8"/>
      <c r="D533" s="8"/>
      <c r="E533" s="8"/>
      <c r="F533" s="8"/>
      <c r="G533" s="8"/>
      <c r="H533" s="8"/>
    </row>
    <row r="534">
      <c r="B534" s="20"/>
      <c r="C534" s="8"/>
      <c r="D534" s="8"/>
      <c r="E534" s="8"/>
      <c r="F534" s="8"/>
      <c r="G534" s="8"/>
      <c r="H534" s="8"/>
    </row>
    <row r="535">
      <c r="B535" s="20"/>
      <c r="C535" s="8"/>
      <c r="D535" s="8"/>
      <c r="E535" s="8"/>
      <c r="F535" s="8"/>
      <c r="G535" s="8"/>
      <c r="H535" s="8"/>
    </row>
    <row r="536">
      <c r="B536" s="20"/>
      <c r="C536" s="8"/>
      <c r="D536" s="8"/>
      <c r="E536" s="8"/>
      <c r="F536" s="8"/>
      <c r="G536" s="8"/>
      <c r="H536" s="8"/>
    </row>
    <row r="537">
      <c r="B537" s="20"/>
      <c r="C537" s="8"/>
      <c r="D537" s="8"/>
      <c r="E537" s="8"/>
      <c r="F537" s="8"/>
      <c r="G537" s="8"/>
      <c r="H537" s="8"/>
    </row>
    <row r="538">
      <c r="B538" s="20"/>
      <c r="C538" s="8"/>
      <c r="D538" s="8"/>
      <c r="E538" s="8"/>
      <c r="F538" s="8"/>
      <c r="G538" s="8"/>
      <c r="H538" s="8"/>
    </row>
    <row r="539">
      <c r="B539" s="20"/>
      <c r="C539" s="8"/>
      <c r="D539" s="8"/>
      <c r="E539" s="8"/>
      <c r="F539" s="8"/>
      <c r="G539" s="8"/>
      <c r="H539" s="8"/>
    </row>
    <row r="540">
      <c r="B540" s="20"/>
      <c r="C540" s="8"/>
      <c r="D540" s="8"/>
      <c r="E540" s="8"/>
      <c r="F540" s="8"/>
      <c r="G540" s="8"/>
      <c r="H540" s="8"/>
    </row>
    <row r="541">
      <c r="B541" s="20"/>
      <c r="C541" s="8"/>
      <c r="D541" s="8"/>
      <c r="E541" s="8"/>
      <c r="F541" s="8"/>
      <c r="G541" s="8"/>
      <c r="H541" s="8"/>
    </row>
    <row r="542">
      <c r="B542" s="20"/>
      <c r="C542" s="8"/>
      <c r="D542" s="8"/>
      <c r="E542" s="8"/>
      <c r="F542" s="8"/>
      <c r="G542" s="8"/>
      <c r="H542" s="8"/>
    </row>
    <row r="543">
      <c r="B543" s="20"/>
      <c r="C543" s="8"/>
      <c r="D543" s="8"/>
      <c r="E543" s="8"/>
      <c r="F543" s="8"/>
      <c r="G543" s="8"/>
      <c r="H543" s="8"/>
    </row>
    <row r="544">
      <c r="B544" s="20"/>
      <c r="C544" s="8"/>
      <c r="D544" s="8"/>
      <c r="E544" s="8"/>
      <c r="F544" s="8"/>
      <c r="G544" s="8"/>
      <c r="H544" s="8"/>
    </row>
    <row r="545">
      <c r="B545" s="20"/>
      <c r="C545" s="8"/>
      <c r="D545" s="8"/>
      <c r="E545" s="8"/>
      <c r="F545" s="8"/>
      <c r="G545" s="8"/>
      <c r="H545" s="8"/>
    </row>
    <row r="546">
      <c r="B546" s="20"/>
      <c r="C546" s="8"/>
      <c r="D546" s="8"/>
      <c r="E546" s="8"/>
      <c r="F546" s="8"/>
      <c r="G546" s="8"/>
      <c r="H546" s="8"/>
    </row>
    <row r="547">
      <c r="B547" s="20"/>
      <c r="C547" s="8"/>
      <c r="D547" s="8"/>
      <c r="E547" s="8"/>
      <c r="F547" s="8"/>
      <c r="G547" s="8"/>
      <c r="H547" s="8"/>
    </row>
    <row r="548">
      <c r="B548" s="20"/>
      <c r="C548" s="8"/>
      <c r="D548" s="8"/>
      <c r="E548" s="8"/>
      <c r="F548" s="8"/>
      <c r="G548" s="8"/>
      <c r="H548" s="8"/>
    </row>
    <row r="549">
      <c r="B549" s="20"/>
      <c r="C549" s="8"/>
      <c r="D549" s="8"/>
      <c r="E549" s="8"/>
      <c r="F549" s="8"/>
      <c r="G549" s="8"/>
      <c r="H549" s="8"/>
    </row>
    <row r="550">
      <c r="B550" s="20"/>
      <c r="C550" s="8"/>
      <c r="D550" s="8"/>
      <c r="E550" s="8"/>
      <c r="F550" s="8"/>
      <c r="G550" s="8"/>
      <c r="H550" s="8"/>
    </row>
    <row r="551">
      <c r="B551" s="20"/>
      <c r="C551" s="8"/>
      <c r="D551" s="8"/>
      <c r="E551" s="8"/>
      <c r="F551" s="8"/>
      <c r="G551" s="8"/>
      <c r="H551" s="8"/>
    </row>
    <row r="552">
      <c r="B552" s="20"/>
      <c r="C552" s="8"/>
      <c r="D552" s="8"/>
      <c r="E552" s="8"/>
      <c r="F552" s="8"/>
      <c r="G552" s="8"/>
      <c r="H552" s="8"/>
    </row>
    <row r="553">
      <c r="B553" s="20"/>
      <c r="C553" s="8"/>
      <c r="D553" s="8"/>
      <c r="E553" s="8"/>
      <c r="F553" s="8"/>
      <c r="G553" s="8"/>
      <c r="H553" s="8"/>
    </row>
    <row r="554">
      <c r="B554" s="20"/>
      <c r="C554" s="8"/>
      <c r="D554" s="8"/>
      <c r="E554" s="8"/>
      <c r="F554" s="8"/>
      <c r="G554" s="8"/>
      <c r="H554" s="8"/>
    </row>
    <row r="555">
      <c r="B555" s="20"/>
      <c r="C555" s="8"/>
      <c r="D555" s="8"/>
      <c r="E555" s="8"/>
      <c r="F555" s="8"/>
      <c r="G555" s="8"/>
      <c r="H555" s="8"/>
    </row>
    <row r="556">
      <c r="B556" s="20"/>
      <c r="C556" s="8"/>
      <c r="D556" s="8"/>
      <c r="E556" s="8"/>
      <c r="F556" s="8"/>
      <c r="G556" s="8"/>
      <c r="H556" s="8"/>
    </row>
    <row r="557">
      <c r="B557" s="20"/>
      <c r="C557" s="8"/>
      <c r="D557" s="8"/>
      <c r="E557" s="8"/>
      <c r="F557" s="8"/>
      <c r="G557" s="8"/>
      <c r="H557" s="8"/>
    </row>
    <row r="558">
      <c r="B558" s="20"/>
      <c r="C558" s="8"/>
      <c r="D558" s="8"/>
      <c r="E558" s="8"/>
      <c r="F558" s="8"/>
      <c r="G558" s="8"/>
      <c r="H558" s="8"/>
    </row>
    <row r="559">
      <c r="B559" s="20"/>
      <c r="C559" s="8"/>
      <c r="D559" s="8"/>
      <c r="E559" s="8"/>
      <c r="F559" s="8"/>
      <c r="G559" s="8"/>
      <c r="H559" s="8"/>
    </row>
    <row r="560">
      <c r="B560" s="20"/>
      <c r="C560" s="8"/>
      <c r="D560" s="8"/>
      <c r="E560" s="8"/>
      <c r="F560" s="8"/>
      <c r="G560" s="8"/>
      <c r="H560" s="8"/>
    </row>
    <row r="561">
      <c r="B561" s="20"/>
      <c r="C561" s="8"/>
      <c r="D561" s="8"/>
      <c r="E561" s="8"/>
      <c r="F561" s="8"/>
      <c r="G561" s="8"/>
      <c r="H561" s="8"/>
    </row>
    <row r="562">
      <c r="B562" s="20"/>
      <c r="C562" s="8"/>
      <c r="D562" s="8"/>
      <c r="E562" s="8"/>
      <c r="F562" s="8"/>
      <c r="G562" s="8"/>
      <c r="H562" s="8"/>
    </row>
    <row r="563">
      <c r="B563" s="20"/>
      <c r="C563" s="8"/>
      <c r="D563" s="8"/>
      <c r="E563" s="8"/>
      <c r="F563" s="8"/>
      <c r="G563" s="8"/>
      <c r="H563" s="8"/>
    </row>
    <row r="564">
      <c r="B564" s="20"/>
      <c r="C564" s="8"/>
      <c r="D564" s="8"/>
      <c r="E564" s="8"/>
      <c r="F564" s="8"/>
      <c r="G564" s="8"/>
      <c r="H564" s="8"/>
    </row>
    <row r="565">
      <c r="B565" s="20"/>
      <c r="C565" s="8"/>
      <c r="D565" s="8"/>
      <c r="E565" s="8"/>
      <c r="F565" s="8"/>
      <c r="G565" s="8"/>
      <c r="H565" s="8"/>
    </row>
    <row r="566">
      <c r="B566" s="20"/>
      <c r="C566" s="8"/>
      <c r="D566" s="8"/>
      <c r="E566" s="8"/>
      <c r="F566" s="8"/>
      <c r="G566" s="8"/>
      <c r="H566" s="8"/>
    </row>
    <row r="567">
      <c r="B567" s="20"/>
      <c r="C567" s="8"/>
      <c r="D567" s="8"/>
      <c r="E567" s="8"/>
      <c r="F567" s="8"/>
      <c r="G567" s="8"/>
      <c r="H567" s="8"/>
    </row>
    <row r="568">
      <c r="B568" s="20"/>
      <c r="C568" s="8"/>
      <c r="D568" s="8"/>
      <c r="E568" s="8"/>
      <c r="F568" s="8"/>
      <c r="G568" s="8"/>
      <c r="H568" s="8"/>
    </row>
    <row r="569">
      <c r="B569" s="20"/>
      <c r="C569" s="8"/>
      <c r="D569" s="8"/>
      <c r="E569" s="8"/>
      <c r="F569" s="8"/>
      <c r="G569" s="8"/>
      <c r="H569" s="8"/>
    </row>
    <row r="570">
      <c r="B570" s="20"/>
      <c r="C570" s="8"/>
      <c r="D570" s="8"/>
      <c r="E570" s="8"/>
      <c r="F570" s="8"/>
      <c r="G570" s="8"/>
      <c r="H570" s="8"/>
    </row>
    <row r="571">
      <c r="B571" s="20"/>
      <c r="C571" s="8"/>
      <c r="D571" s="8"/>
      <c r="E571" s="8"/>
      <c r="F571" s="8"/>
      <c r="G571" s="8"/>
      <c r="H571" s="8"/>
    </row>
    <row r="572">
      <c r="B572" s="20"/>
      <c r="C572" s="8"/>
      <c r="D572" s="8"/>
      <c r="E572" s="8"/>
      <c r="F572" s="8"/>
      <c r="G572" s="8"/>
      <c r="H572" s="8"/>
    </row>
    <row r="573">
      <c r="B573" s="20"/>
      <c r="C573" s="8"/>
      <c r="D573" s="8"/>
      <c r="E573" s="8"/>
      <c r="F573" s="8"/>
      <c r="G573" s="8"/>
      <c r="H573" s="8"/>
    </row>
    <row r="574">
      <c r="B574" s="20"/>
      <c r="C574" s="8"/>
      <c r="D574" s="8"/>
      <c r="E574" s="8"/>
      <c r="F574" s="8"/>
      <c r="G574" s="8"/>
      <c r="H574" s="8"/>
    </row>
    <row r="575">
      <c r="B575" s="20"/>
      <c r="C575" s="8"/>
      <c r="D575" s="8"/>
      <c r="E575" s="8"/>
      <c r="F575" s="8"/>
      <c r="G575" s="8"/>
      <c r="H575" s="8"/>
    </row>
    <row r="576">
      <c r="B576" s="20"/>
      <c r="C576" s="8"/>
      <c r="D576" s="8"/>
      <c r="E576" s="8"/>
      <c r="F576" s="8"/>
      <c r="G576" s="8"/>
      <c r="H576" s="8"/>
    </row>
    <row r="577">
      <c r="B577" s="20"/>
      <c r="C577" s="8"/>
      <c r="D577" s="8"/>
      <c r="E577" s="8"/>
      <c r="F577" s="8"/>
      <c r="G577" s="8"/>
      <c r="H577" s="8"/>
    </row>
    <row r="578">
      <c r="B578" s="20"/>
      <c r="C578" s="8"/>
      <c r="D578" s="8"/>
      <c r="E578" s="8"/>
      <c r="F578" s="8"/>
      <c r="G578" s="8"/>
      <c r="H578" s="8"/>
    </row>
    <row r="579">
      <c r="B579" s="20"/>
      <c r="C579" s="8"/>
      <c r="D579" s="8"/>
      <c r="E579" s="8"/>
      <c r="F579" s="8"/>
      <c r="G579" s="8"/>
      <c r="H579" s="8"/>
    </row>
    <row r="580">
      <c r="B580" s="20"/>
      <c r="C580" s="8"/>
      <c r="D580" s="8"/>
      <c r="E580" s="8"/>
      <c r="F580" s="8"/>
      <c r="G580" s="8"/>
      <c r="H580" s="8"/>
    </row>
    <row r="581">
      <c r="B581" s="20"/>
      <c r="C581" s="8"/>
      <c r="D581" s="8"/>
      <c r="E581" s="8"/>
      <c r="F581" s="8"/>
      <c r="G581" s="8"/>
      <c r="H581" s="8"/>
    </row>
    <row r="582">
      <c r="B582" s="20"/>
      <c r="C582" s="8"/>
      <c r="D582" s="8"/>
      <c r="E582" s="8"/>
      <c r="F582" s="8"/>
      <c r="G582" s="8"/>
      <c r="H582" s="8"/>
    </row>
    <row r="583">
      <c r="B583" s="20"/>
      <c r="C583" s="8"/>
      <c r="D583" s="8"/>
      <c r="E583" s="8"/>
      <c r="F583" s="8"/>
      <c r="G583" s="8"/>
      <c r="H583" s="8"/>
    </row>
    <row r="584">
      <c r="B584" s="20"/>
      <c r="C584" s="8"/>
      <c r="D584" s="8"/>
      <c r="E584" s="8"/>
      <c r="F584" s="8"/>
      <c r="G584" s="8"/>
      <c r="H584" s="8"/>
    </row>
    <row r="585">
      <c r="B585" s="20"/>
      <c r="C585" s="8"/>
      <c r="D585" s="8"/>
      <c r="E585" s="8"/>
      <c r="F585" s="8"/>
      <c r="G585" s="8"/>
      <c r="H585" s="8"/>
    </row>
    <row r="586">
      <c r="B586" s="20"/>
      <c r="C586" s="8"/>
      <c r="D586" s="8"/>
      <c r="E586" s="8"/>
      <c r="F586" s="8"/>
      <c r="G586" s="8"/>
      <c r="H586" s="8"/>
    </row>
    <row r="587">
      <c r="B587" s="20"/>
      <c r="C587" s="8"/>
      <c r="D587" s="8"/>
      <c r="E587" s="8"/>
      <c r="F587" s="8"/>
      <c r="G587" s="8"/>
      <c r="H587" s="8"/>
    </row>
    <row r="588">
      <c r="B588" s="20"/>
      <c r="C588" s="8"/>
      <c r="D588" s="8"/>
      <c r="E588" s="8"/>
      <c r="F588" s="8"/>
      <c r="G588" s="8"/>
      <c r="H588" s="8"/>
    </row>
    <row r="589">
      <c r="B589" s="20"/>
      <c r="C589" s="8"/>
      <c r="D589" s="8"/>
      <c r="E589" s="8"/>
      <c r="F589" s="8"/>
      <c r="G589" s="8"/>
      <c r="H589" s="8"/>
    </row>
    <row r="590">
      <c r="B590" s="20"/>
      <c r="C590" s="8"/>
      <c r="D590" s="8"/>
      <c r="E590" s="8"/>
      <c r="F590" s="8"/>
      <c r="G590" s="8"/>
      <c r="H590" s="8"/>
    </row>
    <row r="591">
      <c r="B591" s="20"/>
      <c r="C591" s="8"/>
      <c r="D591" s="8"/>
      <c r="E591" s="8"/>
      <c r="F591" s="8"/>
      <c r="G591" s="8"/>
      <c r="H591" s="8"/>
    </row>
    <row r="592">
      <c r="B592" s="20"/>
      <c r="C592" s="8"/>
      <c r="D592" s="8"/>
      <c r="E592" s="8"/>
      <c r="F592" s="8"/>
      <c r="G592" s="8"/>
      <c r="H592" s="8"/>
    </row>
    <row r="593">
      <c r="B593" s="20"/>
      <c r="C593" s="8"/>
      <c r="D593" s="8"/>
      <c r="E593" s="8"/>
      <c r="F593" s="8"/>
      <c r="G593" s="8"/>
      <c r="H593" s="8"/>
    </row>
    <row r="594">
      <c r="B594" s="20"/>
      <c r="C594" s="8"/>
      <c r="D594" s="8"/>
      <c r="E594" s="8"/>
      <c r="F594" s="8"/>
      <c r="G594" s="8"/>
      <c r="H594" s="8"/>
    </row>
    <row r="595">
      <c r="B595" s="20"/>
      <c r="C595" s="8"/>
      <c r="D595" s="8"/>
      <c r="E595" s="8"/>
      <c r="F595" s="8"/>
      <c r="G595" s="8"/>
      <c r="H595" s="8"/>
    </row>
    <row r="596">
      <c r="B596" s="20"/>
      <c r="C596" s="8"/>
      <c r="D596" s="8"/>
      <c r="E596" s="8"/>
      <c r="F596" s="8"/>
      <c r="G596" s="8"/>
      <c r="H596" s="8"/>
    </row>
    <row r="597">
      <c r="B597" s="20"/>
      <c r="C597" s="8"/>
      <c r="D597" s="8"/>
      <c r="E597" s="8"/>
      <c r="F597" s="8"/>
      <c r="G597" s="8"/>
      <c r="H597" s="8"/>
    </row>
    <row r="598">
      <c r="B598" s="20"/>
      <c r="C598" s="8"/>
      <c r="D598" s="8"/>
      <c r="E598" s="8"/>
      <c r="F598" s="8"/>
      <c r="G598" s="8"/>
      <c r="H598" s="8"/>
    </row>
    <row r="599">
      <c r="B599" s="20"/>
      <c r="C599" s="8"/>
      <c r="D599" s="8"/>
      <c r="E599" s="8"/>
      <c r="F599" s="8"/>
      <c r="G599" s="8"/>
      <c r="H599" s="8"/>
    </row>
    <row r="600">
      <c r="B600" s="20"/>
      <c r="C600" s="8"/>
      <c r="D600" s="8"/>
      <c r="E600" s="8"/>
      <c r="F600" s="8"/>
      <c r="G600" s="8"/>
      <c r="H600" s="8"/>
    </row>
    <row r="601">
      <c r="B601" s="20"/>
      <c r="C601" s="8"/>
      <c r="D601" s="8"/>
      <c r="E601" s="8"/>
      <c r="F601" s="8"/>
      <c r="G601" s="8"/>
      <c r="H601" s="8"/>
    </row>
    <row r="602">
      <c r="B602" s="20"/>
      <c r="C602" s="8"/>
      <c r="D602" s="8"/>
      <c r="E602" s="8"/>
      <c r="F602" s="8"/>
      <c r="G602" s="8"/>
      <c r="H602" s="8"/>
    </row>
    <row r="603">
      <c r="B603" s="20"/>
      <c r="C603" s="8"/>
      <c r="D603" s="8"/>
      <c r="E603" s="8"/>
      <c r="F603" s="8"/>
      <c r="G603" s="8"/>
      <c r="H603" s="8"/>
    </row>
    <row r="604">
      <c r="B604" s="20"/>
      <c r="C604" s="8"/>
      <c r="D604" s="8"/>
      <c r="E604" s="8"/>
      <c r="F604" s="8"/>
      <c r="G604" s="8"/>
      <c r="H604" s="8"/>
    </row>
    <row r="605">
      <c r="B605" s="20"/>
      <c r="C605" s="8"/>
      <c r="D605" s="8"/>
      <c r="E605" s="8"/>
      <c r="F605" s="8"/>
      <c r="G605" s="8"/>
      <c r="H605" s="8"/>
    </row>
    <row r="606">
      <c r="B606" s="20"/>
      <c r="C606" s="8"/>
      <c r="D606" s="8"/>
      <c r="E606" s="8"/>
      <c r="F606" s="8"/>
      <c r="G606" s="8"/>
      <c r="H606" s="8"/>
    </row>
    <row r="607">
      <c r="B607" s="20"/>
      <c r="C607" s="8"/>
      <c r="D607" s="8"/>
      <c r="E607" s="8"/>
      <c r="F607" s="8"/>
      <c r="G607" s="8"/>
      <c r="H607" s="8"/>
    </row>
    <row r="608">
      <c r="B608" s="20"/>
      <c r="C608" s="8"/>
      <c r="D608" s="8"/>
      <c r="E608" s="8"/>
      <c r="F608" s="8"/>
      <c r="G608" s="8"/>
      <c r="H608" s="8"/>
    </row>
    <row r="609">
      <c r="B609" s="20"/>
      <c r="C609" s="8"/>
      <c r="D609" s="8"/>
      <c r="E609" s="8"/>
      <c r="F609" s="8"/>
      <c r="G609" s="8"/>
      <c r="H609" s="8"/>
    </row>
    <row r="610">
      <c r="B610" s="20"/>
      <c r="C610" s="8"/>
      <c r="D610" s="8"/>
      <c r="E610" s="8"/>
      <c r="F610" s="8"/>
      <c r="G610" s="8"/>
      <c r="H610" s="8"/>
    </row>
    <row r="611">
      <c r="B611" s="20"/>
      <c r="C611" s="8"/>
      <c r="D611" s="8"/>
      <c r="E611" s="8"/>
      <c r="F611" s="8"/>
      <c r="G611" s="8"/>
      <c r="H611" s="8"/>
    </row>
    <row r="612">
      <c r="B612" s="20"/>
      <c r="C612" s="8"/>
      <c r="D612" s="8"/>
      <c r="E612" s="8"/>
      <c r="F612" s="8"/>
      <c r="G612" s="8"/>
      <c r="H612" s="8"/>
    </row>
    <row r="613">
      <c r="B613" s="20"/>
      <c r="C613" s="8"/>
      <c r="D613" s="8"/>
      <c r="E613" s="8"/>
      <c r="F613" s="8"/>
      <c r="G613" s="8"/>
      <c r="H613" s="8"/>
    </row>
    <row r="614">
      <c r="B614" s="20"/>
      <c r="C614" s="8"/>
      <c r="D614" s="8"/>
      <c r="E614" s="8"/>
      <c r="F614" s="8"/>
      <c r="G614" s="8"/>
      <c r="H614" s="8"/>
    </row>
    <row r="615">
      <c r="B615" s="20"/>
      <c r="C615" s="8"/>
      <c r="D615" s="8"/>
      <c r="E615" s="8"/>
      <c r="F615" s="8"/>
      <c r="G615" s="8"/>
      <c r="H615" s="8"/>
    </row>
    <row r="616">
      <c r="B616" s="20"/>
      <c r="C616" s="8"/>
      <c r="D616" s="8"/>
      <c r="E616" s="8"/>
      <c r="F616" s="8"/>
      <c r="G616" s="8"/>
      <c r="H616" s="8"/>
    </row>
    <row r="617">
      <c r="B617" s="20"/>
      <c r="C617" s="8"/>
      <c r="D617" s="8"/>
      <c r="E617" s="8"/>
      <c r="F617" s="8"/>
      <c r="G617" s="8"/>
      <c r="H617" s="8"/>
    </row>
    <row r="618">
      <c r="B618" s="20"/>
      <c r="C618" s="8"/>
      <c r="D618" s="8"/>
      <c r="E618" s="8"/>
      <c r="F618" s="8"/>
      <c r="G618" s="8"/>
      <c r="H618" s="8"/>
    </row>
    <row r="619">
      <c r="B619" s="20"/>
      <c r="C619" s="8"/>
      <c r="D619" s="8"/>
      <c r="E619" s="8"/>
      <c r="F619" s="8"/>
      <c r="G619" s="8"/>
      <c r="H619" s="8"/>
    </row>
    <row r="620">
      <c r="B620" s="20"/>
      <c r="C620" s="8"/>
      <c r="D620" s="8"/>
      <c r="E620" s="8"/>
      <c r="F620" s="8"/>
      <c r="G620" s="8"/>
      <c r="H620" s="8"/>
    </row>
    <row r="621">
      <c r="B621" s="20"/>
      <c r="C621" s="8"/>
      <c r="D621" s="8"/>
      <c r="E621" s="8"/>
      <c r="F621" s="8"/>
      <c r="G621" s="8"/>
      <c r="H621" s="8"/>
    </row>
    <row r="622">
      <c r="B622" s="20"/>
      <c r="C622" s="8"/>
      <c r="D622" s="8"/>
      <c r="E622" s="8"/>
      <c r="F622" s="8"/>
      <c r="G622" s="8"/>
      <c r="H622" s="8"/>
    </row>
    <row r="623">
      <c r="B623" s="20"/>
      <c r="C623" s="8"/>
      <c r="D623" s="8"/>
      <c r="E623" s="8"/>
      <c r="F623" s="8"/>
      <c r="G623" s="8"/>
      <c r="H623" s="8"/>
    </row>
    <row r="624">
      <c r="B624" s="20"/>
      <c r="C624" s="8"/>
      <c r="D624" s="8"/>
      <c r="E624" s="8"/>
      <c r="F624" s="8"/>
      <c r="G624" s="8"/>
      <c r="H624" s="8"/>
    </row>
    <row r="625">
      <c r="B625" s="20"/>
      <c r="C625" s="8"/>
      <c r="D625" s="8"/>
      <c r="E625" s="8"/>
      <c r="F625" s="8"/>
      <c r="G625" s="8"/>
      <c r="H625" s="8"/>
    </row>
    <row r="626">
      <c r="B626" s="20"/>
      <c r="C626" s="8"/>
      <c r="D626" s="8"/>
      <c r="E626" s="8"/>
      <c r="F626" s="8"/>
      <c r="G626" s="8"/>
      <c r="H626" s="8"/>
    </row>
    <row r="627">
      <c r="B627" s="20"/>
      <c r="C627" s="8"/>
      <c r="D627" s="8"/>
      <c r="E627" s="8"/>
      <c r="F627" s="8"/>
      <c r="G627" s="8"/>
      <c r="H627" s="8"/>
    </row>
    <row r="628">
      <c r="B628" s="20"/>
      <c r="C628" s="8"/>
      <c r="D628" s="8"/>
      <c r="E628" s="8"/>
      <c r="F628" s="8"/>
      <c r="G628" s="8"/>
      <c r="H628" s="8"/>
    </row>
    <row r="629">
      <c r="B629" s="20"/>
      <c r="C629" s="8"/>
      <c r="D629" s="8"/>
      <c r="E629" s="8"/>
      <c r="F629" s="8"/>
      <c r="G629" s="8"/>
      <c r="H629" s="8"/>
    </row>
    <row r="630">
      <c r="B630" s="20"/>
      <c r="C630" s="8"/>
      <c r="D630" s="8"/>
      <c r="E630" s="8"/>
      <c r="F630" s="8"/>
      <c r="G630" s="8"/>
      <c r="H630" s="8"/>
    </row>
    <row r="631">
      <c r="B631" s="20"/>
      <c r="C631" s="8"/>
      <c r="D631" s="8"/>
      <c r="E631" s="8"/>
      <c r="F631" s="8"/>
      <c r="G631" s="8"/>
      <c r="H631" s="8"/>
    </row>
    <row r="632">
      <c r="B632" s="20"/>
      <c r="C632" s="8"/>
      <c r="D632" s="8"/>
      <c r="E632" s="8"/>
      <c r="F632" s="8"/>
      <c r="G632" s="8"/>
      <c r="H632" s="8"/>
    </row>
    <row r="633">
      <c r="B633" s="20"/>
      <c r="C633" s="8"/>
      <c r="D633" s="8"/>
      <c r="E633" s="8"/>
      <c r="F633" s="8"/>
      <c r="G633" s="8"/>
      <c r="H633" s="8"/>
    </row>
    <row r="634">
      <c r="B634" s="20"/>
      <c r="C634" s="8"/>
      <c r="D634" s="8"/>
      <c r="E634" s="8"/>
      <c r="F634" s="8"/>
      <c r="G634" s="8"/>
      <c r="H634" s="8"/>
    </row>
    <row r="635">
      <c r="B635" s="20"/>
      <c r="C635" s="8"/>
      <c r="D635" s="8"/>
      <c r="E635" s="8"/>
      <c r="F635" s="8"/>
      <c r="G635" s="8"/>
      <c r="H635" s="8"/>
    </row>
    <row r="636">
      <c r="B636" s="20"/>
      <c r="C636" s="8"/>
      <c r="D636" s="8"/>
      <c r="E636" s="8"/>
      <c r="F636" s="8"/>
      <c r="G636" s="8"/>
      <c r="H636" s="8"/>
    </row>
    <row r="637">
      <c r="B637" s="20"/>
      <c r="C637" s="8"/>
      <c r="D637" s="8"/>
      <c r="E637" s="8"/>
      <c r="F637" s="8"/>
      <c r="G637" s="8"/>
      <c r="H637" s="8"/>
    </row>
    <row r="638">
      <c r="B638" s="20"/>
      <c r="C638" s="8"/>
      <c r="D638" s="8"/>
      <c r="E638" s="8"/>
      <c r="F638" s="8"/>
      <c r="G638" s="8"/>
      <c r="H638" s="8"/>
    </row>
    <row r="639">
      <c r="B639" s="20"/>
      <c r="C639" s="8"/>
      <c r="D639" s="8"/>
      <c r="E639" s="8"/>
      <c r="F639" s="8"/>
      <c r="G639" s="8"/>
      <c r="H639" s="8"/>
    </row>
    <row r="640">
      <c r="B640" s="20"/>
      <c r="C640" s="8"/>
      <c r="D640" s="8"/>
      <c r="E640" s="8"/>
      <c r="F640" s="8"/>
      <c r="G640" s="8"/>
      <c r="H640" s="8"/>
    </row>
    <row r="641">
      <c r="B641" s="20"/>
      <c r="C641" s="8"/>
      <c r="D641" s="8"/>
      <c r="E641" s="8"/>
      <c r="F641" s="8"/>
      <c r="G641" s="8"/>
      <c r="H641" s="8"/>
    </row>
    <row r="642">
      <c r="B642" s="20"/>
      <c r="C642" s="8"/>
      <c r="D642" s="8"/>
      <c r="E642" s="8"/>
      <c r="F642" s="8"/>
      <c r="G642" s="8"/>
      <c r="H642" s="8"/>
    </row>
    <row r="643">
      <c r="B643" s="20"/>
      <c r="C643" s="8"/>
      <c r="D643" s="8"/>
      <c r="E643" s="8"/>
      <c r="F643" s="8"/>
      <c r="G643" s="8"/>
      <c r="H643" s="8"/>
    </row>
    <row r="644">
      <c r="B644" s="20"/>
      <c r="C644" s="8"/>
      <c r="D644" s="8"/>
      <c r="E644" s="8"/>
      <c r="F644" s="8"/>
      <c r="G644" s="8"/>
      <c r="H644" s="8"/>
    </row>
    <row r="645">
      <c r="B645" s="20"/>
      <c r="C645" s="8"/>
      <c r="D645" s="8"/>
      <c r="E645" s="8"/>
      <c r="F645" s="8"/>
      <c r="G645" s="8"/>
      <c r="H645" s="8"/>
    </row>
    <row r="646">
      <c r="B646" s="20"/>
      <c r="C646" s="8"/>
      <c r="D646" s="8"/>
      <c r="E646" s="8"/>
      <c r="F646" s="8"/>
      <c r="G646" s="8"/>
      <c r="H646" s="8"/>
    </row>
    <row r="647">
      <c r="B647" s="20"/>
      <c r="C647" s="8"/>
      <c r="D647" s="8"/>
      <c r="E647" s="8"/>
      <c r="F647" s="8"/>
      <c r="G647" s="8"/>
      <c r="H647" s="8"/>
    </row>
    <row r="648">
      <c r="B648" s="20"/>
      <c r="C648" s="8"/>
      <c r="D648" s="8"/>
      <c r="E648" s="8"/>
      <c r="F648" s="8"/>
      <c r="G648" s="8"/>
      <c r="H648" s="8"/>
    </row>
    <row r="649">
      <c r="B649" s="20"/>
      <c r="C649" s="8"/>
      <c r="D649" s="8"/>
      <c r="E649" s="8"/>
      <c r="F649" s="8"/>
      <c r="G649" s="8"/>
      <c r="H649" s="8"/>
    </row>
    <row r="650">
      <c r="B650" s="20"/>
      <c r="C650" s="8"/>
      <c r="D650" s="8"/>
      <c r="E650" s="8"/>
      <c r="F650" s="8"/>
      <c r="G650" s="8"/>
      <c r="H650" s="8"/>
    </row>
    <row r="651">
      <c r="B651" s="20"/>
      <c r="C651" s="8"/>
      <c r="D651" s="8"/>
      <c r="E651" s="8"/>
      <c r="F651" s="8"/>
      <c r="G651" s="8"/>
      <c r="H651" s="8"/>
    </row>
    <row r="652">
      <c r="B652" s="20"/>
      <c r="C652" s="8"/>
      <c r="D652" s="8"/>
      <c r="E652" s="8"/>
      <c r="F652" s="8"/>
      <c r="G652" s="8"/>
      <c r="H652" s="8"/>
    </row>
    <row r="653">
      <c r="B653" s="20"/>
      <c r="C653" s="8"/>
      <c r="D653" s="8"/>
      <c r="E653" s="8"/>
      <c r="F653" s="8"/>
      <c r="G653" s="8"/>
      <c r="H653" s="8"/>
    </row>
    <row r="654">
      <c r="B654" s="20"/>
      <c r="C654" s="8"/>
      <c r="D654" s="8"/>
      <c r="E654" s="8"/>
      <c r="F654" s="8"/>
      <c r="G654" s="8"/>
      <c r="H654" s="8"/>
    </row>
    <row r="655">
      <c r="B655" s="20"/>
      <c r="C655" s="8"/>
      <c r="D655" s="8"/>
      <c r="E655" s="8"/>
      <c r="F655" s="8"/>
      <c r="G655" s="8"/>
      <c r="H655" s="8"/>
    </row>
    <row r="656">
      <c r="B656" s="20"/>
      <c r="C656" s="8"/>
      <c r="D656" s="8"/>
      <c r="E656" s="8"/>
      <c r="F656" s="8"/>
      <c r="G656" s="8"/>
      <c r="H656" s="8"/>
    </row>
    <row r="657">
      <c r="B657" s="20"/>
      <c r="C657" s="8"/>
      <c r="D657" s="8"/>
      <c r="E657" s="8"/>
      <c r="F657" s="8"/>
      <c r="G657" s="8"/>
      <c r="H657" s="8"/>
    </row>
    <row r="658">
      <c r="B658" s="20"/>
      <c r="C658" s="8"/>
      <c r="D658" s="8"/>
      <c r="E658" s="8"/>
      <c r="F658" s="8"/>
      <c r="G658" s="8"/>
      <c r="H658" s="8"/>
    </row>
    <row r="659">
      <c r="B659" s="20"/>
      <c r="C659" s="8"/>
      <c r="D659" s="8"/>
      <c r="E659" s="8"/>
      <c r="F659" s="8"/>
      <c r="G659" s="8"/>
      <c r="H659" s="8"/>
    </row>
    <row r="660">
      <c r="B660" s="20"/>
      <c r="C660" s="8"/>
      <c r="D660" s="8"/>
      <c r="E660" s="8"/>
      <c r="F660" s="8"/>
      <c r="G660" s="8"/>
      <c r="H660" s="8"/>
    </row>
    <row r="661">
      <c r="B661" s="20"/>
      <c r="C661" s="8"/>
      <c r="D661" s="8"/>
      <c r="E661" s="8"/>
      <c r="F661" s="8"/>
      <c r="G661" s="8"/>
      <c r="H661" s="8"/>
    </row>
    <row r="662">
      <c r="B662" s="20"/>
      <c r="C662" s="8"/>
      <c r="D662" s="8"/>
      <c r="E662" s="8"/>
      <c r="F662" s="8"/>
      <c r="G662" s="8"/>
      <c r="H662" s="8"/>
    </row>
    <row r="663">
      <c r="B663" s="20"/>
      <c r="C663" s="8"/>
      <c r="D663" s="8"/>
      <c r="E663" s="8"/>
      <c r="F663" s="8"/>
      <c r="G663" s="8"/>
      <c r="H663" s="8"/>
    </row>
    <row r="664">
      <c r="B664" s="20"/>
      <c r="C664" s="8"/>
      <c r="D664" s="8"/>
      <c r="E664" s="8"/>
      <c r="F664" s="8"/>
      <c r="G664" s="8"/>
      <c r="H664" s="8"/>
    </row>
    <row r="665">
      <c r="B665" s="20"/>
      <c r="C665" s="8"/>
      <c r="D665" s="8"/>
      <c r="E665" s="8"/>
      <c r="F665" s="8"/>
      <c r="G665" s="8"/>
      <c r="H665" s="8"/>
    </row>
    <row r="666">
      <c r="B666" s="20"/>
      <c r="C666" s="8"/>
      <c r="D666" s="8"/>
      <c r="E666" s="8"/>
      <c r="F666" s="8"/>
      <c r="G666" s="8"/>
      <c r="H666" s="8"/>
    </row>
    <row r="667">
      <c r="B667" s="20"/>
      <c r="C667" s="8"/>
      <c r="D667" s="8"/>
      <c r="E667" s="8"/>
      <c r="F667" s="8"/>
      <c r="G667" s="8"/>
      <c r="H667" s="8"/>
    </row>
    <row r="668">
      <c r="B668" s="20"/>
      <c r="C668" s="8"/>
      <c r="D668" s="8"/>
      <c r="E668" s="8"/>
      <c r="F668" s="8"/>
      <c r="G668" s="8"/>
      <c r="H668" s="8"/>
    </row>
    <row r="669">
      <c r="B669" s="20"/>
      <c r="C669" s="8"/>
      <c r="D669" s="8"/>
      <c r="E669" s="8"/>
      <c r="F669" s="8"/>
      <c r="G669" s="8"/>
      <c r="H669" s="8"/>
    </row>
    <row r="670">
      <c r="B670" s="20"/>
      <c r="C670" s="8"/>
      <c r="D670" s="8"/>
      <c r="E670" s="8"/>
      <c r="F670" s="8"/>
      <c r="G670" s="8"/>
      <c r="H670" s="8"/>
    </row>
    <row r="671">
      <c r="B671" s="20"/>
      <c r="C671" s="8"/>
      <c r="D671" s="8"/>
      <c r="E671" s="8"/>
      <c r="F671" s="8"/>
      <c r="G671" s="8"/>
      <c r="H671" s="8"/>
    </row>
    <row r="672">
      <c r="B672" s="20"/>
      <c r="C672" s="8"/>
      <c r="D672" s="8"/>
      <c r="E672" s="8"/>
      <c r="F672" s="8"/>
      <c r="G672" s="8"/>
      <c r="H672" s="8"/>
    </row>
    <row r="673">
      <c r="B673" s="20"/>
      <c r="C673" s="8"/>
      <c r="D673" s="8"/>
      <c r="E673" s="8"/>
      <c r="F673" s="8"/>
      <c r="G673" s="8"/>
      <c r="H673" s="8"/>
    </row>
    <row r="674">
      <c r="B674" s="20"/>
      <c r="C674" s="8"/>
      <c r="D674" s="8"/>
      <c r="E674" s="8"/>
      <c r="F674" s="8"/>
      <c r="G674" s="8"/>
      <c r="H674" s="8"/>
    </row>
    <row r="675">
      <c r="B675" s="20"/>
      <c r="C675" s="8"/>
      <c r="D675" s="8"/>
      <c r="E675" s="8"/>
      <c r="F675" s="8"/>
      <c r="G675" s="8"/>
      <c r="H675" s="8"/>
    </row>
    <row r="676">
      <c r="B676" s="20"/>
      <c r="C676" s="8"/>
      <c r="D676" s="8"/>
      <c r="E676" s="8"/>
      <c r="F676" s="8"/>
      <c r="G676" s="8"/>
      <c r="H676" s="8"/>
    </row>
    <row r="677">
      <c r="B677" s="20"/>
      <c r="C677" s="8"/>
      <c r="D677" s="8"/>
      <c r="E677" s="8"/>
      <c r="F677" s="8"/>
      <c r="G677" s="8"/>
      <c r="H677" s="8"/>
    </row>
    <row r="678">
      <c r="B678" s="20"/>
      <c r="C678" s="8"/>
      <c r="D678" s="8"/>
      <c r="E678" s="8"/>
      <c r="F678" s="8"/>
      <c r="G678" s="8"/>
      <c r="H678" s="8"/>
    </row>
    <row r="679">
      <c r="B679" s="20"/>
      <c r="C679" s="8"/>
      <c r="D679" s="8"/>
      <c r="E679" s="8"/>
      <c r="F679" s="8"/>
      <c r="G679" s="8"/>
      <c r="H679" s="8"/>
    </row>
    <row r="680">
      <c r="B680" s="20"/>
      <c r="C680" s="8"/>
      <c r="D680" s="8"/>
      <c r="E680" s="8"/>
      <c r="F680" s="8"/>
      <c r="G680" s="8"/>
      <c r="H680" s="8"/>
    </row>
    <row r="681">
      <c r="B681" s="20"/>
      <c r="C681" s="8"/>
      <c r="D681" s="8"/>
      <c r="E681" s="8"/>
      <c r="F681" s="8"/>
      <c r="G681" s="8"/>
      <c r="H681" s="8"/>
    </row>
    <row r="682">
      <c r="B682" s="20"/>
      <c r="C682" s="8"/>
      <c r="D682" s="8"/>
      <c r="E682" s="8"/>
      <c r="F682" s="8"/>
      <c r="G682" s="8"/>
      <c r="H682" s="8"/>
    </row>
    <row r="683">
      <c r="B683" s="20"/>
      <c r="C683" s="8"/>
      <c r="D683" s="8"/>
      <c r="E683" s="8"/>
      <c r="F683" s="8"/>
      <c r="G683" s="8"/>
      <c r="H683" s="8"/>
    </row>
    <row r="684">
      <c r="B684" s="20"/>
      <c r="C684" s="8"/>
      <c r="D684" s="8"/>
      <c r="E684" s="8"/>
      <c r="F684" s="8"/>
      <c r="G684" s="8"/>
      <c r="H684" s="8"/>
    </row>
    <row r="685">
      <c r="B685" s="20"/>
      <c r="C685" s="8"/>
      <c r="D685" s="8"/>
      <c r="E685" s="8"/>
      <c r="F685" s="8"/>
      <c r="G685" s="8"/>
      <c r="H685" s="8"/>
    </row>
    <row r="686">
      <c r="B686" s="20"/>
      <c r="C686" s="8"/>
      <c r="D686" s="8"/>
      <c r="E686" s="8"/>
      <c r="F686" s="8"/>
      <c r="G686" s="8"/>
      <c r="H686" s="8"/>
    </row>
    <row r="687">
      <c r="B687" s="20"/>
      <c r="C687" s="8"/>
      <c r="D687" s="8"/>
      <c r="E687" s="8"/>
      <c r="F687" s="8"/>
      <c r="G687" s="8"/>
      <c r="H687" s="8"/>
    </row>
    <row r="688">
      <c r="B688" s="20"/>
      <c r="C688" s="8"/>
      <c r="D688" s="8"/>
      <c r="E688" s="8"/>
      <c r="F688" s="8"/>
      <c r="G688" s="8"/>
      <c r="H688" s="8"/>
    </row>
    <row r="689">
      <c r="B689" s="20"/>
      <c r="C689" s="8"/>
      <c r="D689" s="8"/>
      <c r="E689" s="8"/>
      <c r="F689" s="8"/>
      <c r="G689" s="8"/>
      <c r="H689" s="8"/>
    </row>
    <row r="690">
      <c r="B690" s="20"/>
      <c r="C690" s="8"/>
      <c r="D690" s="8"/>
      <c r="E690" s="8"/>
      <c r="F690" s="8"/>
      <c r="G690" s="8"/>
      <c r="H690" s="8"/>
    </row>
    <row r="691">
      <c r="B691" s="20"/>
      <c r="C691" s="8"/>
      <c r="D691" s="8"/>
      <c r="E691" s="8"/>
      <c r="F691" s="8"/>
      <c r="G691" s="8"/>
      <c r="H691" s="8"/>
    </row>
    <row r="692">
      <c r="B692" s="20"/>
      <c r="C692" s="8"/>
      <c r="D692" s="8"/>
      <c r="E692" s="8"/>
      <c r="F692" s="8"/>
      <c r="G692" s="8"/>
      <c r="H692" s="8"/>
    </row>
    <row r="693">
      <c r="B693" s="20"/>
      <c r="C693" s="8"/>
      <c r="D693" s="8"/>
      <c r="E693" s="8"/>
      <c r="F693" s="8"/>
      <c r="G693" s="8"/>
      <c r="H693" s="8"/>
    </row>
    <row r="694">
      <c r="B694" s="20"/>
      <c r="C694" s="8"/>
      <c r="D694" s="8"/>
      <c r="E694" s="8"/>
      <c r="F694" s="8"/>
      <c r="G694" s="8"/>
      <c r="H694" s="8"/>
    </row>
    <row r="695">
      <c r="B695" s="20"/>
      <c r="C695" s="8"/>
      <c r="D695" s="8"/>
      <c r="E695" s="8"/>
      <c r="F695" s="8"/>
      <c r="G695" s="8"/>
      <c r="H695" s="8"/>
    </row>
    <row r="696">
      <c r="B696" s="20"/>
      <c r="C696" s="8"/>
      <c r="D696" s="8"/>
      <c r="E696" s="8"/>
      <c r="F696" s="8"/>
      <c r="G696" s="8"/>
      <c r="H696" s="8"/>
    </row>
    <row r="697">
      <c r="B697" s="20"/>
      <c r="C697" s="8"/>
      <c r="D697" s="8"/>
      <c r="E697" s="8"/>
      <c r="F697" s="8"/>
      <c r="G697" s="8"/>
      <c r="H697" s="8"/>
    </row>
    <row r="698">
      <c r="B698" s="20"/>
      <c r="C698" s="8"/>
      <c r="D698" s="8"/>
      <c r="E698" s="8"/>
      <c r="F698" s="8"/>
      <c r="G698" s="8"/>
      <c r="H698" s="8"/>
    </row>
    <row r="699">
      <c r="B699" s="20"/>
      <c r="C699" s="8"/>
      <c r="D699" s="8"/>
      <c r="E699" s="8"/>
      <c r="F699" s="8"/>
      <c r="G699" s="8"/>
      <c r="H699" s="8"/>
    </row>
    <row r="700">
      <c r="B700" s="20"/>
      <c r="C700" s="8"/>
      <c r="D700" s="8"/>
      <c r="E700" s="8"/>
      <c r="F700" s="8"/>
      <c r="G700" s="8"/>
      <c r="H700" s="8"/>
    </row>
    <row r="701">
      <c r="B701" s="20"/>
      <c r="C701" s="8"/>
      <c r="D701" s="8"/>
      <c r="E701" s="8"/>
      <c r="F701" s="8"/>
      <c r="G701" s="8"/>
      <c r="H701" s="8"/>
    </row>
    <row r="702">
      <c r="B702" s="20"/>
      <c r="C702" s="8"/>
      <c r="D702" s="8"/>
      <c r="E702" s="8"/>
      <c r="F702" s="8"/>
      <c r="G702" s="8"/>
      <c r="H702" s="8"/>
    </row>
    <row r="703">
      <c r="B703" s="20"/>
      <c r="C703" s="8"/>
      <c r="D703" s="8"/>
      <c r="E703" s="8"/>
      <c r="F703" s="8"/>
      <c r="G703" s="8"/>
      <c r="H703" s="8"/>
    </row>
    <row r="704">
      <c r="B704" s="20"/>
      <c r="C704" s="8"/>
      <c r="D704" s="8"/>
      <c r="E704" s="8"/>
      <c r="F704" s="8"/>
      <c r="G704" s="8"/>
      <c r="H704" s="8"/>
    </row>
    <row r="705">
      <c r="B705" s="20"/>
      <c r="C705" s="8"/>
      <c r="D705" s="8"/>
      <c r="E705" s="8"/>
      <c r="F705" s="8"/>
      <c r="G705" s="8"/>
      <c r="H705" s="8"/>
    </row>
    <row r="706">
      <c r="B706" s="20"/>
      <c r="C706" s="8"/>
      <c r="D706" s="8"/>
      <c r="E706" s="8"/>
      <c r="F706" s="8"/>
      <c r="G706" s="8"/>
      <c r="H706" s="8"/>
    </row>
    <row r="707">
      <c r="B707" s="20"/>
      <c r="C707" s="8"/>
      <c r="D707" s="8"/>
      <c r="E707" s="8"/>
      <c r="F707" s="8"/>
      <c r="G707" s="8"/>
      <c r="H707" s="8"/>
    </row>
    <row r="708">
      <c r="B708" s="20"/>
      <c r="C708" s="8"/>
      <c r="D708" s="8"/>
      <c r="E708" s="8"/>
      <c r="F708" s="8"/>
      <c r="G708" s="8"/>
      <c r="H708" s="8"/>
    </row>
    <row r="709">
      <c r="B709" s="20"/>
      <c r="C709" s="8"/>
      <c r="D709" s="8"/>
      <c r="E709" s="8"/>
      <c r="F709" s="8"/>
      <c r="G709" s="8"/>
      <c r="H709" s="8"/>
    </row>
    <row r="710">
      <c r="B710" s="20"/>
      <c r="C710" s="8"/>
      <c r="D710" s="8"/>
      <c r="E710" s="8"/>
      <c r="F710" s="8"/>
      <c r="G710" s="8"/>
      <c r="H710" s="8"/>
    </row>
    <row r="711">
      <c r="B711" s="20"/>
      <c r="C711" s="8"/>
      <c r="D711" s="8"/>
      <c r="E711" s="8"/>
      <c r="F711" s="8"/>
      <c r="G711" s="8"/>
      <c r="H711" s="8"/>
    </row>
    <row r="712">
      <c r="B712" s="20"/>
      <c r="C712" s="8"/>
      <c r="D712" s="8"/>
      <c r="E712" s="8"/>
      <c r="F712" s="8"/>
      <c r="G712" s="8"/>
      <c r="H712" s="8"/>
    </row>
    <row r="713">
      <c r="B713" s="20"/>
      <c r="C713" s="8"/>
      <c r="D713" s="8"/>
      <c r="E713" s="8"/>
      <c r="F713" s="8"/>
      <c r="G713" s="8"/>
      <c r="H713" s="8"/>
    </row>
    <row r="714">
      <c r="B714" s="20"/>
      <c r="C714" s="8"/>
      <c r="D714" s="8"/>
      <c r="E714" s="8"/>
      <c r="F714" s="8"/>
      <c r="G714" s="8"/>
      <c r="H714" s="8"/>
    </row>
    <row r="715">
      <c r="B715" s="20"/>
      <c r="C715" s="8"/>
      <c r="D715" s="8"/>
      <c r="E715" s="8"/>
      <c r="F715" s="8"/>
      <c r="G715" s="8"/>
      <c r="H715" s="8"/>
    </row>
    <row r="716">
      <c r="B716" s="20"/>
      <c r="C716" s="8"/>
      <c r="D716" s="8"/>
      <c r="E716" s="8"/>
      <c r="F716" s="8"/>
      <c r="G716" s="8"/>
      <c r="H716" s="8"/>
    </row>
    <row r="717">
      <c r="B717" s="20"/>
      <c r="C717" s="8"/>
      <c r="D717" s="8"/>
      <c r="E717" s="8"/>
      <c r="F717" s="8"/>
      <c r="G717" s="8"/>
      <c r="H717" s="8"/>
    </row>
    <row r="718">
      <c r="B718" s="20"/>
      <c r="C718" s="8"/>
      <c r="D718" s="8"/>
      <c r="E718" s="8"/>
      <c r="F718" s="8"/>
      <c r="G718" s="8"/>
      <c r="H718" s="8"/>
    </row>
    <row r="719">
      <c r="B719" s="20"/>
      <c r="C719" s="8"/>
      <c r="D719" s="8"/>
      <c r="E719" s="8"/>
      <c r="F719" s="8"/>
      <c r="G719" s="8"/>
      <c r="H719" s="8"/>
    </row>
    <row r="720">
      <c r="B720" s="20"/>
      <c r="C720" s="8"/>
      <c r="D720" s="8"/>
      <c r="E720" s="8"/>
      <c r="F720" s="8"/>
      <c r="G720" s="8"/>
      <c r="H720" s="8"/>
    </row>
    <row r="721">
      <c r="B721" s="20"/>
      <c r="C721" s="8"/>
      <c r="D721" s="8"/>
      <c r="E721" s="8"/>
      <c r="F721" s="8"/>
      <c r="G721" s="8"/>
      <c r="H721" s="8"/>
    </row>
    <row r="722">
      <c r="B722" s="20"/>
      <c r="C722" s="8"/>
      <c r="D722" s="8"/>
      <c r="E722" s="8"/>
      <c r="F722" s="8"/>
      <c r="G722" s="8"/>
      <c r="H722" s="8"/>
    </row>
    <row r="723">
      <c r="B723" s="20"/>
      <c r="C723" s="8"/>
      <c r="D723" s="8"/>
      <c r="E723" s="8"/>
      <c r="F723" s="8"/>
      <c r="G723" s="8"/>
      <c r="H723" s="8"/>
    </row>
    <row r="724">
      <c r="B724" s="20"/>
      <c r="C724" s="8"/>
      <c r="D724" s="8"/>
      <c r="E724" s="8"/>
      <c r="F724" s="8"/>
      <c r="G724" s="8"/>
      <c r="H724" s="8"/>
    </row>
    <row r="725">
      <c r="B725" s="20"/>
      <c r="C725" s="8"/>
      <c r="D725" s="8"/>
      <c r="E725" s="8"/>
      <c r="F725" s="8"/>
      <c r="G725" s="8"/>
      <c r="H725" s="8"/>
    </row>
    <row r="726">
      <c r="B726" s="20"/>
      <c r="C726" s="8"/>
      <c r="D726" s="8"/>
      <c r="E726" s="8"/>
      <c r="F726" s="8"/>
      <c r="G726" s="8"/>
      <c r="H726" s="8"/>
    </row>
    <row r="727">
      <c r="B727" s="20"/>
      <c r="C727" s="8"/>
      <c r="D727" s="8"/>
      <c r="E727" s="8"/>
      <c r="F727" s="8"/>
      <c r="G727" s="8"/>
      <c r="H727" s="8"/>
    </row>
    <row r="728">
      <c r="B728" s="20"/>
      <c r="C728" s="8"/>
      <c r="D728" s="8"/>
      <c r="E728" s="8"/>
      <c r="F728" s="8"/>
      <c r="G728" s="8"/>
      <c r="H728" s="8"/>
    </row>
    <row r="729">
      <c r="B729" s="20"/>
      <c r="C729" s="8"/>
      <c r="D729" s="8"/>
      <c r="E729" s="8"/>
      <c r="F729" s="8"/>
      <c r="G729" s="8"/>
      <c r="H729" s="8"/>
    </row>
    <row r="730">
      <c r="B730" s="20"/>
      <c r="C730" s="8"/>
      <c r="D730" s="8"/>
      <c r="E730" s="8"/>
      <c r="F730" s="8"/>
      <c r="G730" s="8"/>
      <c r="H730" s="8"/>
    </row>
    <row r="731">
      <c r="B731" s="20"/>
      <c r="C731" s="8"/>
      <c r="D731" s="8"/>
      <c r="E731" s="8"/>
      <c r="F731" s="8"/>
      <c r="G731" s="8"/>
      <c r="H731" s="8"/>
    </row>
    <row r="732">
      <c r="B732" s="20"/>
      <c r="C732" s="8"/>
      <c r="D732" s="8"/>
      <c r="E732" s="8"/>
      <c r="F732" s="8"/>
      <c r="G732" s="8"/>
      <c r="H732" s="8"/>
    </row>
    <row r="733">
      <c r="B733" s="20"/>
      <c r="C733" s="8"/>
      <c r="D733" s="8"/>
      <c r="E733" s="8"/>
      <c r="F733" s="8"/>
      <c r="G733" s="8"/>
      <c r="H733" s="8"/>
    </row>
    <row r="734">
      <c r="B734" s="20"/>
      <c r="C734" s="8"/>
      <c r="D734" s="8"/>
      <c r="E734" s="8"/>
      <c r="F734" s="8"/>
      <c r="G734" s="8"/>
      <c r="H734" s="8"/>
    </row>
    <row r="735">
      <c r="B735" s="20"/>
      <c r="C735" s="8"/>
      <c r="D735" s="8"/>
      <c r="E735" s="8"/>
      <c r="F735" s="8"/>
      <c r="G735" s="8"/>
      <c r="H735" s="8"/>
    </row>
    <row r="736">
      <c r="B736" s="20"/>
      <c r="C736" s="8"/>
      <c r="D736" s="8"/>
      <c r="E736" s="8"/>
      <c r="F736" s="8"/>
      <c r="G736" s="8"/>
      <c r="H736" s="8"/>
    </row>
    <row r="737">
      <c r="B737" s="20"/>
      <c r="C737" s="8"/>
      <c r="D737" s="8"/>
      <c r="E737" s="8"/>
      <c r="F737" s="8"/>
      <c r="G737" s="8"/>
      <c r="H737" s="8"/>
    </row>
    <row r="738">
      <c r="B738" s="20"/>
      <c r="C738" s="8"/>
      <c r="D738" s="8"/>
      <c r="E738" s="8"/>
      <c r="F738" s="8"/>
      <c r="G738" s="8"/>
      <c r="H738" s="8"/>
    </row>
    <row r="739">
      <c r="B739" s="20"/>
      <c r="C739" s="8"/>
      <c r="D739" s="8"/>
      <c r="E739" s="8"/>
      <c r="F739" s="8"/>
      <c r="G739" s="8"/>
      <c r="H739" s="8"/>
    </row>
    <row r="740">
      <c r="B740" s="20"/>
      <c r="C740" s="8"/>
      <c r="D740" s="8"/>
      <c r="E740" s="8"/>
      <c r="F740" s="8"/>
      <c r="G740" s="8"/>
      <c r="H740" s="8"/>
    </row>
    <row r="741">
      <c r="B741" s="20"/>
      <c r="C741" s="8"/>
      <c r="D741" s="8"/>
      <c r="E741" s="8"/>
      <c r="F741" s="8"/>
      <c r="G741" s="8"/>
      <c r="H741" s="8"/>
    </row>
    <row r="742">
      <c r="B742" s="20"/>
      <c r="C742" s="8"/>
      <c r="D742" s="8"/>
      <c r="E742" s="8"/>
      <c r="F742" s="8"/>
      <c r="G742" s="8"/>
      <c r="H742" s="8"/>
    </row>
    <row r="743">
      <c r="B743" s="20"/>
      <c r="C743" s="8"/>
      <c r="D743" s="8"/>
      <c r="E743" s="8"/>
      <c r="F743" s="8"/>
      <c r="G743" s="8"/>
      <c r="H743" s="8"/>
    </row>
    <row r="744">
      <c r="B744" s="20"/>
      <c r="C744" s="8"/>
      <c r="D744" s="8"/>
      <c r="E744" s="8"/>
      <c r="F744" s="8"/>
      <c r="G744" s="8"/>
      <c r="H744" s="8"/>
    </row>
    <row r="745">
      <c r="B745" s="20"/>
      <c r="C745" s="8"/>
      <c r="D745" s="8"/>
      <c r="E745" s="8"/>
      <c r="F745" s="8"/>
      <c r="G745" s="8"/>
      <c r="H745" s="8"/>
    </row>
    <row r="746">
      <c r="B746" s="20"/>
      <c r="C746" s="8"/>
      <c r="D746" s="8"/>
      <c r="E746" s="8"/>
      <c r="F746" s="8"/>
      <c r="G746" s="8"/>
      <c r="H746" s="8"/>
    </row>
    <row r="747">
      <c r="B747" s="20"/>
      <c r="C747" s="8"/>
      <c r="D747" s="8"/>
      <c r="E747" s="8"/>
      <c r="F747" s="8"/>
      <c r="G747" s="8"/>
      <c r="H747" s="8"/>
    </row>
    <row r="748">
      <c r="B748" s="20"/>
      <c r="C748" s="8"/>
      <c r="D748" s="8"/>
      <c r="E748" s="8"/>
      <c r="F748" s="8"/>
      <c r="G748" s="8"/>
      <c r="H748" s="8"/>
    </row>
    <row r="749">
      <c r="B749" s="20"/>
      <c r="C749" s="8"/>
      <c r="D749" s="8"/>
      <c r="E749" s="8"/>
      <c r="F749" s="8"/>
      <c r="G749" s="8"/>
      <c r="H749" s="8"/>
    </row>
    <row r="750">
      <c r="B750" s="20"/>
      <c r="C750" s="8"/>
      <c r="D750" s="8"/>
      <c r="E750" s="8"/>
      <c r="F750" s="8"/>
      <c r="G750" s="8"/>
      <c r="H750" s="8"/>
    </row>
    <row r="751">
      <c r="B751" s="20"/>
      <c r="C751" s="8"/>
      <c r="D751" s="8"/>
      <c r="E751" s="8"/>
      <c r="F751" s="8"/>
      <c r="G751" s="8"/>
      <c r="H751" s="8"/>
    </row>
    <row r="752">
      <c r="B752" s="20"/>
      <c r="C752" s="8"/>
      <c r="D752" s="8"/>
      <c r="E752" s="8"/>
      <c r="F752" s="8"/>
      <c r="G752" s="8"/>
      <c r="H752" s="8"/>
    </row>
    <row r="753">
      <c r="B753" s="20"/>
      <c r="C753" s="8"/>
      <c r="D753" s="8"/>
      <c r="E753" s="8"/>
      <c r="F753" s="8"/>
      <c r="G753" s="8"/>
      <c r="H753" s="8"/>
    </row>
    <row r="754">
      <c r="B754" s="20"/>
      <c r="C754" s="8"/>
      <c r="D754" s="8"/>
      <c r="E754" s="8"/>
      <c r="F754" s="8"/>
      <c r="G754" s="8"/>
      <c r="H754" s="8"/>
    </row>
    <row r="755">
      <c r="B755" s="20"/>
      <c r="C755" s="8"/>
      <c r="D755" s="8"/>
      <c r="E755" s="8"/>
      <c r="F755" s="8"/>
      <c r="G755" s="8"/>
      <c r="H755" s="8"/>
    </row>
    <row r="756">
      <c r="B756" s="20"/>
      <c r="C756" s="8"/>
      <c r="D756" s="8"/>
      <c r="E756" s="8"/>
      <c r="F756" s="8"/>
      <c r="G756" s="8"/>
      <c r="H756" s="8"/>
    </row>
    <row r="757">
      <c r="B757" s="20"/>
      <c r="C757" s="8"/>
      <c r="D757" s="8"/>
      <c r="E757" s="8"/>
      <c r="F757" s="8"/>
      <c r="G757" s="8"/>
      <c r="H757" s="8"/>
    </row>
    <row r="758">
      <c r="B758" s="20"/>
      <c r="C758" s="8"/>
      <c r="D758" s="8"/>
      <c r="E758" s="8"/>
      <c r="F758" s="8"/>
      <c r="G758" s="8"/>
      <c r="H758" s="8"/>
    </row>
    <row r="759">
      <c r="B759" s="20"/>
      <c r="C759" s="8"/>
      <c r="D759" s="8"/>
      <c r="E759" s="8"/>
      <c r="F759" s="8"/>
      <c r="G759" s="8"/>
      <c r="H759" s="8"/>
    </row>
    <row r="760">
      <c r="B760" s="20"/>
      <c r="C760" s="8"/>
      <c r="D760" s="8"/>
      <c r="E760" s="8"/>
      <c r="F760" s="8"/>
      <c r="G760" s="8"/>
      <c r="H760" s="8"/>
    </row>
    <row r="761">
      <c r="B761" s="20"/>
      <c r="C761" s="8"/>
      <c r="D761" s="8"/>
      <c r="E761" s="8"/>
      <c r="F761" s="8"/>
      <c r="G761" s="8"/>
      <c r="H761" s="8"/>
    </row>
    <row r="762">
      <c r="B762" s="20"/>
      <c r="C762" s="8"/>
      <c r="D762" s="8"/>
      <c r="E762" s="8"/>
      <c r="F762" s="8"/>
      <c r="G762" s="8"/>
      <c r="H762" s="8"/>
    </row>
    <row r="763">
      <c r="B763" s="20"/>
      <c r="C763" s="8"/>
      <c r="D763" s="8"/>
      <c r="E763" s="8"/>
      <c r="F763" s="8"/>
      <c r="G763" s="8"/>
      <c r="H763" s="8"/>
    </row>
    <row r="764">
      <c r="B764" s="20"/>
      <c r="C764" s="8"/>
      <c r="D764" s="8"/>
      <c r="E764" s="8"/>
      <c r="F764" s="8"/>
      <c r="G764" s="8"/>
      <c r="H764" s="8"/>
    </row>
    <row r="765">
      <c r="B765" s="20"/>
      <c r="C765" s="8"/>
      <c r="D765" s="8"/>
      <c r="E765" s="8"/>
      <c r="F765" s="8"/>
      <c r="G765" s="8"/>
      <c r="H765" s="8"/>
    </row>
    <row r="766">
      <c r="B766" s="20"/>
      <c r="C766" s="8"/>
      <c r="D766" s="8"/>
      <c r="E766" s="8"/>
      <c r="F766" s="8"/>
      <c r="G766" s="8"/>
      <c r="H766" s="8"/>
    </row>
    <row r="767">
      <c r="B767" s="20"/>
      <c r="C767" s="8"/>
      <c r="D767" s="8"/>
      <c r="E767" s="8"/>
      <c r="F767" s="8"/>
      <c r="G767" s="8"/>
      <c r="H767" s="8"/>
    </row>
    <row r="768">
      <c r="B768" s="20"/>
      <c r="C768" s="8"/>
      <c r="D768" s="8"/>
      <c r="E768" s="8"/>
      <c r="F768" s="8"/>
      <c r="G768" s="8"/>
      <c r="H768" s="8"/>
    </row>
    <row r="769">
      <c r="B769" s="20"/>
      <c r="C769" s="8"/>
      <c r="D769" s="8"/>
      <c r="E769" s="8"/>
      <c r="F769" s="8"/>
      <c r="G769" s="8"/>
      <c r="H769" s="8"/>
    </row>
    <row r="770">
      <c r="B770" s="20"/>
      <c r="C770" s="8"/>
      <c r="D770" s="8"/>
      <c r="E770" s="8"/>
      <c r="F770" s="8"/>
      <c r="G770" s="8"/>
      <c r="H770" s="8"/>
    </row>
    <row r="771">
      <c r="B771" s="20"/>
      <c r="C771" s="8"/>
      <c r="D771" s="8"/>
      <c r="E771" s="8"/>
      <c r="F771" s="8"/>
      <c r="G771" s="8"/>
      <c r="H771" s="8"/>
    </row>
    <row r="772">
      <c r="B772" s="20"/>
      <c r="C772" s="8"/>
      <c r="D772" s="8"/>
      <c r="E772" s="8"/>
      <c r="F772" s="8"/>
      <c r="G772" s="8"/>
      <c r="H772" s="8"/>
    </row>
    <row r="773">
      <c r="B773" s="20"/>
      <c r="C773" s="8"/>
      <c r="D773" s="8"/>
      <c r="E773" s="8"/>
      <c r="F773" s="8"/>
      <c r="G773" s="8"/>
      <c r="H773" s="8"/>
    </row>
    <row r="774">
      <c r="B774" s="20"/>
      <c r="C774" s="8"/>
      <c r="D774" s="8"/>
      <c r="E774" s="8"/>
      <c r="F774" s="8"/>
      <c r="G774" s="8"/>
      <c r="H774" s="8"/>
    </row>
    <row r="775">
      <c r="B775" s="20"/>
      <c r="C775" s="8"/>
      <c r="D775" s="8"/>
      <c r="E775" s="8"/>
      <c r="F775" s="8"/>
      <c r="G775" s="8"/>
      <c r="H775" s="8"/>
    </row>
    <row r="776">
      <c r="B776" s="20"/>
      <c r="C776" s="8"/>
      <c r="D776" s="8"/>
      <c r="E776" s="8"/>
      <c r="F776" s="8"/>
      <c r="G776" s="8"/>
      <c r="H776" s="8"/>
    </row>
    <row r="777">
      <c r="B777" s="20"/>
      <c r="C777" s="8"/>
      <c r="D777" s="8"/>
      <c r="E777" s="8"/>
      <c r="F777" s="8"/>
      <c r="G777" s="8"/>
      <c r="H777" s="8"/>
    </row>
    <row r="778">
      <c r="B778" s="20"/>
      <c r="C778" s="8"/>
      <c r="D778" s="8"/>
      <c r="E778" s="8"/>
      <c r="F778" s="8"/>
      <c r="G778" s="8"/>
      <c r="H778" s="8"/>
    </row>
    <row r="779">
      <c r="B779" s="20"/>
      <c r="C779" s="8"/>
      <c r="D779" s="8"/>
      <c r="E779" s="8"/>
      <c r="F779" s="8"/>
      <c r="G779" s="8"/>
      <c r="H779" s="8"/>
    </row>
    <row r="780">
      <c r="B780" s="20"/>
      <c r="C780" s="8"/>
      <c r="D780" s="8"/>
      <c r="E780" s="8"/>
      <c r="F780" s="8"/>
      <c r="G780" s="8"/>
      <c r="H780" s="8"/>
    </row>
    <row r="781">
      <c r="B781" s="20"/>
      <c r="C781" s="8"/>
      <c r="D781" s="8"/>
      <c r="E781" s="8"/>
      <c r="F781" s="8"/>
      <c r="G781" s="8"/>
      <c r="H781" s="8"/>
    </row>
    <row r="782">
      <c r="B782" s="20"/>
      <c r="C782" s="8"/>
      <c r="D782" s="8"/>
      <c r="E782" s="8"/>
      <c r="F782" s="8"/>
      <c r="G782" s="8"/>
      <c r="H782" s="8"/>
    </row>
    <row r="783">
      <c r="B783" s="20"/>
      <c r="C783" s="8"/>
      <c r="D783" s="8"/>
      <c r="E783" s="8"/>
      <c r="F783" s="8"/>
      <c r="G783" s="8"/>
      <c r="H783" s="8"/>
    </row>
    <row r="784">
      <c r="B784" s="20"/>
      <c r="C784" s="8"/>
      <c r="D784" s="8"/>
      <c r="E784" s="8"/>
      <c r="F784" s="8"/>
      <c r="G784" s="8"/>
      <c r="H784" s="8"/>
    </row>
    <row r="785">
      <c r="B785" s="20"/>
      <c r="C785" s="8"/>
      <c r="D785" s="8"/>
      <c r="E785" s="8"/>
      <c r="F785" s="8"/>
      <c r="G785" s="8"/>
      <c r="H785" s="8"/>
    </row>
    <row r="786">
      <c r="B786" s="20"/>
      <c r="C786" s="8"/>
      <c r="D786" s="8"/>
      <c r="E786" s="8"/>
      <c r="F786" s="8"/>
      <c r="G786" s="8"/>
      <c r="H786" s="8"/>
    </row>
    <row r="787">
      <c r="B787" s="20"/>
      <c r="C787" s="8"/>
      <c r="D787" s="8"/>
      <c r="E787" s="8"/>
      <c r="F787" s="8"/>
      <c r="G787" s="8"/>
      <c r="H787" s="8"/>
    </row>
    <row r="788">
      <c r="B788" s="20"/>
      <c r="C788" s="8"/>
      <c r="D788" s="8"/>
      <c r="E788" s="8"/>
      <c r="F788" s="8"/>
      <c r="G788" s="8"/>
      <c r="H788" s="8"/>
    </row>
    <row r="789">
      <c r="B789" s="20"/>
      <c r="C789" s="8"/>
      <c r="D789" s="8"/>
      <c r="E789" s="8"/>
      <c r="F789" s="8"/>
      <c r="G789" s="8"/>
      <c r="H789" s="8"/>
    </row>
    <row r="790">
      <c r="B790" s="20"/>
      <c r="C790" s="8"/>
      <c r="D790" s="8"/>
      <c r="E790" s="8"/>
      <c r="F790" s="8"/>
      <c r="G790" s="8"/>
      <c r="H790" s="8"/>
    </row>
    <row r="791">
      <c r="B791" s="20"/>
      <c r="C791" s="8"/>
      <c r="D791" s="8"/>
      <c r="E791" s="8"/>
      <c r="F791" s="8"/>
      <c r="G791" s="8"/>
      <c r="H791" s="8"/>
    </row>
    <row r="792">
      <c r="B792" s="20"/>
      <c r="C792" s="8"/>
      <c r="D792" s="8"/>
      <c r="E792" s="8"/>
      <c r="F792" s="8"/>
      <c r="G792" s="8"/>
      <c r="H792" s="8"/>
    </row>
    <row r="793">
      <c r="B793" s="20"/>
      <c r="C793" s="8"/>
      <c r="D793" s="8"/>
      <c r="E793" s="8"/>
      <c r="F793" s="8"/>
      <c r="G793" s="8"/>
      <c r="H793" s="8"/>
    </row>
    <row r="794">
      <c r="B794" s="20"/>
      <c r="C794" s="8"/>
      <c r="D794" s="8"/>
      <c r="E794" s="8"/>
      <c r="F794" s="8"/>
      <c r="G794" s="8"/>
      <c r="H794" s="8"/>
    </row>
    <row r="795">
      <c r="B795" s="20"/>
      <c r="C795" s="8"/>
      <c r="D795" s="8"/>
      <c r="E795" s="8"/>
      <c r="F795" s="8"/>
      <c r="G795" s="8"/>
      <c r="H795" s="8"/>
    </row>
    <row r="796">
      <c r="B796" s="20"/>
      <c r="C796" s="8"/>
      <c r="D796" s="8"/>
      <c r="E796" s="8"/>
      <c r="F796" s="8"/>
      <c r="G796" s="8"/>
      <c r="H796" s="8"/>
    </row>
    <row r="797">
      <c r="B797" s="20"/>
      <c r="C797" s="8"/>
      <c r="D797" s="8"/>
      <c r="E797" s="8"/>
      <c r="F797" s="8"/>
      <c r="G797" s="8"/>
      <c r="H797" s="8"/>
    </row>
    <row r="798">
      <c r="B798" s="20"/>
      <c r="C798" s="8"/>
      <c r="D798" s="8"/>
      <c r="E798" s="8"/>
      <c r="F798" s="8"/>
      <c r="G798" s="8"/>
      <c r="H798" s="8"/>
    </row>
    <row r="799">
      <c r="B799" s="20"/>
      <c r="C799" s="8"/>
      <c r="D799" s="8"/>
      <c r="E799" s="8"/>
      <c r="F799" s="8"/>
      <c r="G799" s="8"/>
      <c r="H799" s="8"/>
    </row>
    <row r="800">
      <c r="B800" s="20"/>
      <c r="C800" s="8"/>
      <c r="D800" s="8"/>
      <c r="E800" s="8"/>
      <c r="F800" s="8"/>
      <c r="G800" s="8"/>
      <c r="H800" s="8"/>
    </row>
    <row r="801">
      <c r="B801" s="20"/>
      <c r="C801" s="8"/>
      <c r="D801" s="8"/>
      <c r="E801" s="8"/>
      <c r="F801" s="8"/>
      <c r="G801" s="8"/>
      <c r="H801" s="8"/>
    </row>
    <row r="802">
      <c r="B802" s="20"/>
      <c r="C802" s="8"/>
      <c r="D802" s="8"/>
      <c r="E802" s="8"/>
      <c r="F802" s="8"/>
      <c r="G802" s="8"/>
      <c r="H802" s="8"/>
    </row>
    <row r="803">
      <c r="B803" s="20"/>
      <c r="C803" s="8"/>
      <c r="D803" s="8"/>
      <c r="E803" s="8"/>
      <c r="F803" s="8"/>
      <c r="G803" s="8"/>
      <c r="H803" s="8"/>
    </row>
    <row r="804">
      <c r="B804" s="20"/>
      <c r="C804" s="8"/>
      <c r="D804" s="8"/>
      <c r="E804" s="8"/>
      <c r="F804" s="8"/>
      <c r="G804" s="8"/>
      <c r="H804" s="8"/>
    </row>
    <row r="805">
      <c r="B805" s="20"/>
      <c r="C805" s="8"/>
      <c r="D805" s="8"/>
      <c r="E805" s="8"/>
      <c r="F805" s="8"/>
      <c r="G805" s="8"/>
      <c r="H805" s="8"/>
    </row>
    <row r="806">
      <c r="B806" s="20"/>
      <c r="C806" s="8"/>
      <c r="D806" s="8"/>
      <c r="E806" s="8"/>
      <c r="F806" s="8"/>
      <c r="G806" s="8"/>
      <c r="H806" s="8"/>
    </row>
    <row r="807">
      <c r="B807" s="20"/>
      <c r="C807" s="8"/>
      <c r="D807" s="8"/>
      <c r="E807" s="8"/>
      <c r="F807" s="8"/>
      <c r="G807" s="8"/>
      <c r="H807" s="8"/>
    </row>
    <row r="808">
      <c r="B808" s="20"/>
      <c r="C808" s="8"/>
      <c r="D808" s="8"/>
      <c r="E808" s="8"/>
      <c r="F808" s="8"/>
      <c r="G808" s="8"/>
      <c r="H808" s="8"/>
    </row>
    <row r="809">
      <c r="B809" s="20"/>
      <c r="C809" s="8"/>
      <c r="D809" s="8"/>
      <c r="E809" s="8"/>
      <c r="F809" s="8"/>
      <c r="G809" s="8"/>
      <c r="H809" s="8"/>
    </row>
    <row r="810">
      <c r="B810" s="20"/>
      <c r="C810" s="8"/>
      <c r="D810" s="8"/>
      <c r="E810" s="8"/>
      <c r="F810" s="8"/>
      <c r="G810" s="8"/>
      <c r="H810" s="8"/>
    </row>
    <row r="811">
      <c r="B811" s="20"/>
      <c r="C811" s="8"/>
      <c r="D811" s="8"/>
      <c r="E811" s="8"/>
      <c r="F811" s="8"/>
      <c r="G811" s="8"/>
      <c r="H811" s="8"/>
    </row>
    <row r="812">
      <c r="B812" s="20"/>
      <c r="C812" s="8"/>
      <c r="D812" s="8"/>
      <c r="E812" s="8"/>
      <c r="F812" s="8"/>
      <c r="G812" s="8"/>
      <c r="H812" s="8"/>
    </row>
    <row r="813">
      <c r="B813" s="20"/>
      <c r="C813" s="8"/>
      <c r="D813" s="8"/>
      <c r="E813" s="8"/>
      <c r="F813" s="8"/>
      <c r="G813" s="8"/>
      <c r="H813" s="8"/>
    </row>
    <row r="814">
      <c r="B814" s="20"/>
      <c r="C814" s="8"/>
      <c r="D814" s="8"/>
      <c r="E814" s="8"/>
      <c r="F814" s="8"/>
      <c r="G814" s="8"/>
      <c r="H814" s="8"/>
    </row>
    <row r="815">
      <c r="B815" s="20"/>
      <c r="C815" s="8"/>
      <c r="D815" s="8"/>
      <c r="E815" s="8"/>
      <c r="F815" s="8"/>
      <c r="G815" s="8"/>
      <c r="H815" s="8"/>
    </row>
    <row r="816">
      <c r="B816" s="20"/>
      <c r="C816" s="8"/>
      <c r="D816" s="8"/>
      <c r="E816" s="8"/>
      <c r="F816" s="8"/>
      <c r="G816" s="8"/>
      <c r="H816" s="8"/>
    </row>
    <row r="817">
      <c r="B817" s="20"/>
      <c r="C817" s="8"/>
      <c r="D817" s="8"/>
      <c r="E817" s="8"/>
      <c r="F817" s="8"/>
      <c r="G817" s="8"/>
      <c r="H817" s="8"/>
    </row>
    <row r="818">
      <c r="B818" s="20"/>
      <c r="C818" s="8"/>
      <c r="D818" s="8"/>
      <c r="E818" s="8"/>
      <c r="F818" s="8"/>
      <c r="G818" s="8"/>
      <c r="H818" s="8"/>
    </row>
    <row r="819">
      <c r="B819" s="20"/>
      <c r="C819" s="8"/>
      <c r="D819" s="8"/>
      <c r="E819" s="8"/>
      <c r="F819" s="8"/>
      <c r="G819" s="8"/>
      <c r="H819" s="8"/>
    </row>
    <row r="820">
      <c r="B820" s="20"/>
      <c r="C820" s="8"/>
      <c r="D820" s="8"/>
      <c r="E820" s="8"/>
      <c r="F820" s="8"/>
      <c r="G820" s="8"/>
      <c r="H820" s="8"/>
    </row>
    <row r="821">
      <c r="B821" s="20"/>
      <c r="C821" s="8"/>
      <c r="D821" s="8"/>
      <c r="E821" s="8"/>
      <c r="F821" s="8"/>
      <c r="G821" s="8"/>
      <c r="H821" s="8"/>
    </row>
    <row r="822">
      <c r="B822" s="20"/>
      <c r="C822" s="8"/>
      <c r="D822" s="8"/>
      <c r="E822" s="8"/>
      <c r="F822" s="8"/>
      <c r="G822" s="8"/>
      <c r="H822" s="8"/>
    </row>
    <row r="823">
      <c r="B823" s="20"/>
      <c r="C823" s="8"/>
      <c r="D823" s="8"/>
      <c r="E823" s="8"/>
      <c r="F823" s="8"/>
      <c r="G823" s="8"/>
      <c r="H823" s="8"/>
    </row>
    <row r="824">
      <c r="B824" s="20"/>
      <c r="C824" s="8"/>
      <c r="D824" s="8"/>
      <c r="E824" s="8"/>
      <c r="F824" s="8"/>
      <c r="G824" s="8"/>
      <c r="H824" s="8"/>
    </row>
    <row r="825">
      <c r="B825" s="20"/>
      <c r="C825" s="8"/>
      <c r="D825" s="8"/>
      <c r="E825" s="8"/>
      <c r="F825" s="8"/>
      <c r="G825" s="8"/>
      <c r="H825" s="8"/>
    </row>
    <row r="826">
      <c r="B826" s="20"/>
      <c r="C826" s="8"/>
      <c r="D826" s="8"/>
      <c r="E826" s="8"/>
      <c r="F826" s="8"/>
      <c r="G826" s="8"/>
      <c r="H826" s="8"/>
    </row>
    <row r="827">
      <c r="B827" s="20"/>
      <c r="C827" s="8"/>
      <c r="D827" s="8"/>
      <c r="E827" s="8"/>
      <c r="F827" s="8"/>
      <c r="G827" s="8"/>
      <c r="H827" s="8"/>
    </row>
    <row r="828">
      <c r="B828" s="20"/>
      <c r="C828" s="8"/>
      <c r="D828" s="8"/>
      <c r="E828" s="8"/>
      <c r="F828" s="8"/>
      <c r="G828" s="8"/>
      <c r="H828" s="8"/>
    </row>
    <row r="829">
      <c r="B829" s="20"/>
      <c r="C829" s="8"/>
      <c r="D829" s="8"/>
      <c r="E829" s="8"/>
      <c r="F829" s="8"/>
      <c r="G829" s="8"/>
      <c r="H829" s="8"/>
    </row>
    <row r="830">
      <c r="B830" s="20"/>
      <c r="C830" s="8"/>
      <c r="D830" s="8"/>
      <c r="E830" s="8"/>
      <c r="F830" s="8"/>
      <c r="G830" s="8"/>
      <c r="H830" s="8"/>
    </row>
    <row r="831">
      <c r="B831" s="20"/>
      <c r="C831" s="8"/>
      <c r="D831" s="8"/>
      <c r="E831" s="8"/>
      <c r="F831" s="8"/>
      <c r="G831" s="8"/>
      <c r="H831" s="8"/>
    </row>
    <row r="832">
      <c r="B832" s="20"/>
      <c r="C832" s="8"/>
      <c r="D832" s="8"/>
      <c r="E832" s="8"/>
      <c r="F832" s="8"/>
      <c r="G832" s="8"/>
      <c r="H832" s="8"/>
    </row>
    <row r="833">
      <c r="B833" s="20"/>
      <c r="C833" s="8"/>
      <c r="D833" s="8"/>
      <c r="E833" s="8"/>
      <c r="F833" s="8"/>
      <c r="G833" s="8"/>
      <c r="H833" s="8"/>
    </row>
    <row r="834">
      <c r="B834" s="20"/>
      <c r="C834" s="8"/>
      <c r="D834" s="8"/>
      <c r="E834" s="8"/>
      <c r="F834" s="8"/>
      <c r="G834" s="8"/>
      <c r="H834" s="8"/>
    </row>
    <row r="835">
      <c r="B835" s="20"/>
      <c r="C835" s="8"/>
      <c r="D835" s="8"/>
      <c r="E835" s="8"/>
      <c r="F835" s="8"/>
      <c r="G835" s="8"/>
      <c r="H835" s="8"/>
    </row>
    <row r="836">
      <c r="B836" s="20"/>
      <c r="C836" s="8"/>
      <c r="D836" s="8"/>
      <c r="E836" s="8"/>
      <c r="F836" s="8"/>
      <c r="G836" s="8"/>
      <c r="H836" s="8"/>
    </row>
    <row r="837">
      <c r="B837" s="20"/>
      <c r="C837" s="8"/>
      <c r="D837" s="8"/>
      <c r="E837" s="8"/>
      <c r="F837" s="8"/>
      <c r="G837" s="8"/>
      <c r="H837" s="8"/>
    </row>
    <row r="838">
      <c r="B838" s="20"/>
      <c r="C838" s="8"/>
      <c r="D838" s="8"/>
      <c r="E838" s="8"/>
      <c r="F838" s="8"/>
      <c r="G838" s="8"/>
      <c r="H838" s="8"/>
    </row>
    <row r="839">
      <c r="B839" s="20"/>
      <c r="C839" s="8"/>
      <c r="D839" s="8"/>
      <c r="E839" s="8"/>
      <c r="F839" s="8"/>
      <c r="G839" s="8"/>
      <c r="H839" s="8"/>
    </row>
    <row r="840">
      <c r="B840" s="20"/>
      <c r="C840" s="8"/>
      <c r="D840" s="8"/>
      <c r="E840" s="8"/>
      <c r="F840" s="8"/>
      <c r="G840" s="8"/>
      <c r="H840" s="8"/>
    </row>
    <row r="841">
      <c r="B841" s="20"/>
      <c r="C841" s="8"/>
      <c r="D841" s="8"/>
      <c r="E841" s="8"/>
      <c r="F841" s="8"/>
      <c r="G841" s="8"/>
      <c r="H841" s="8"/>
    </row>
    <row r="842">
      <c r="B842" s="20"/>
      <c r="C842" s="8"/>
      <c r="D842" s="8"/>
      <c r="E842" s="8"/>
      <c r="F842" s="8"/>
      <c r="G842" s="8"/>
      <c r="H842" s="8"/>
    </row>
    <row r="843">
      <c r="B843" s="20"/>
      <c r="C843" s="8"/>
      <c r="D843" s="8"/>
      <c r="E843" s="8"/>
      <c r="F843" s="8"/>
      <c r="G843" s="8"/>
      <c r="H843" s="8"/>
    </row>
    <row r="844">
      <c r="B844" s="20"/>
      <c r="C844" s="8"/>
      <c r="D844" s="8"/>
      <c r="E844" s="8"/>
      <c r="F844" s="8"/>
      <c r="G844" s="8"/>
      <c r="H844" s="8"/>
    </row>
    <row r="845">
      <c r="B845" s="20"/>
      <c r="C845" s="8"/>
      <c r="D845" s="8"/>
      <c r="E845" s="8"/>
      <c r="F845" s="8"/>
      <c r="G845" s="8"/>
      <c r="H845" s="8"/>
    </row>
    <row r="846">
      <c r="B846" s="20"/>
      <c r="C846" s="8"/>
      <c r="D846" s="8"/>
      <c r="E846" s="8"/>
      <c r="F846" s="8"/>
      <c r="G846" s="8"/>
      <c r="H846" s="8"/>
    </row>
    <row r="847">
      <c r="B847" s="20"/>
      <c r="C847" s="8"/>
      <c r="D847" s="8"/>
      <c r="E847" s="8"/>
      <c r="F847" s="8"/>
      <c r="G847" s="8"/>
      <c r="H847" s="8"/>
    </row>
    <row r="848">
      <c r="B848" s="20"/>
      <c r="C848" s="8"/>
      <c r="D848" s="8"/>
      <c r="E848" s="8"/>
      <c r="F848" s="8"/>
      <c r="G848" s="8"/>
      <c r="H848" s="8"/>
    </row>
    <row r="849">
      <c r="B849" s="20"/>
      <c r="C849" s="8"/>
      <c r="D849" s="8"/>
      <c r="E849" s="8"/>
      <c r="F849" s="8"/>
      <c r="G849" s="8"/>
      <c r="H849" s="8"/>
    </row>
    <row r="850">
      <c r="B850" s="20"/>
      <c r="C850" s="8"/>
      <c r="D850" s="8"/>
      <c r="E850" s="8"/>
      <c r="F850" s="8"/>
      <c r="G850" s="8"/>
      <c r="H850" s="8"/>
    </row>
    <row r="851">
      <c r="B851" s="20"/>
      <c r="C851" s="8"/>
      <c r="D851" s="8"/>
      <c r="E851" s="8"/>
      <c r="F851" s="8"/>
      <c r="G851" s="8"/>
      <c r="H851" s="8"/>
    </row>
    <row r="852">
      <c r="B852" s="20"/>
      <c r="C852" s="8"/>
      <c r="D852" s="8"/>
      <c r="E852" s="8"/>
      <c r="F852" s="8"/>
      <c r="G852" s="8"/>
      <c r="H852" s="8"/>
    </row>
    <row r="853">
      <c r="B853" s="20"/>
      <c r="C853" s="8"/>
      <c r="D853" s="8"/>
      <c r="E853" s="8"/>
      <c r="F853" s="8"/>
      <c r="G853" s="8"/>
      <c r="H853" s="8"/>
    </row>
    <row r="854">
      <c r="B854" s="20"/>
      <c r="C854" s="8"/>
      <c r="D854" s="8"/>
      <c r="E854" s="8"/>
      <c r="F854" s="8"/>
      <c r="G854" s="8"/>
      <c r="H854" s="8"/>
    </row>
    <row r="855">
      <c r="B855" s="20"/>
      <c r="C855" s="8"/>
      <c r="D855" s="8"/>
      <c r="E855" s="8"/>
      <c r="F855" s="8"/>
      <c r="G855" s="8"/>
      <c r="H855" s="8"/>
    </row>
    <row r="856">
      <c r="B856" s="20"/>
      <c r="C856" s="8"/>
      <c r="D856" s="8"/>
      <c r="E856" s="8"/>
      <c r="F856" s="8"/>
      <c r="G856" s="8"/>
      <c r="H856" s="8"/>
    </row>
    <row r="857">
      <c r="B857" s="20"/>
      <c r="C857" s="8"/>
      <c r="D857" s="8"/>
      <c r="E857" s="8"/>
      <c r="F857" s="8"/>
      <c r="G857" s="8"/>
      <c r="H857" s="8"/>
    </row>
    <row r="858">
      <c r="B858" s="20"/>
      <c r="C858" s="8"/>
      <c r="D858" s="8"/>
      <c r="E858" s="8"/>
      <c r="F858" s="8"/>
      <c r="G858" s="8"/>
      <c r="H858" s="8"/>
    </row>
    <row r="859">
      <c r="B859" s="20"/>
      <c r="C859" s="8"/>
      <c r="D859" s="8"/>
      <c r="E859" s="8"/>
      <c r="F859" s="8"/>
      <c r="G859" s="8"/>
      <c r="H859" s="8"/>
    </row>
    <row r="860">
      <c r="B860" s="20"/>
      <c r="C860" s="8"/>
      <c r="D860" s="8"/>
      <c r="E860" s="8"/>
      <c r="F860" s="8"/>
      <c r="G860" s="8"/>
      <c r="H860" s="8"/>
    </row>
    <row r="861">
      <c r="B861" s="20"/>
      <c r="C861" s="8"/>
      <c r="D861" s="8"/>
      <c r="E861" s="8"/>
      <c r="F861" s="8"/>
      <c r="G861" s="8"/>
      <c r="H861" s="8"/>
    </row>
    <row r="862">
      <c r="B862" s="20"/>
      <c r="C862" s="8"/>
      <c r="D862" s="8"/>
      <c r="E862" s="8"/>
      <c r="F862" s="8"/>
      <c r="G862" s="8"/>
      <c r="H862" s="8"/>
    </row>
    <row r="863">
      <c r="B863" s="20"/>
      <c r="C863" s="8"/>
      <c r="D863" s="8"/>
      <c r="E863" s="8"/>
      <c r="F863" s="8"/>
      <c r="G863" s="8"/>
      <c r="H863" s="8"/>
    </row>
    <row r="864">
      <c r="B864" s="20"/>
      <c r="C864" s="8"/>
      <c r="D864" s="8"/>
      <c r="E864" s="8"/>
      <c r="F864" s="8"/>
      <c r="G864" s="8"/>
      <c r="H864" s="8"/>
    </row>
    <row r="865">
      <c r="B865" s="20"/>
      <c r="C865" s="8"/>
      <c r="D865" s="8"/>
      <c r="E865" s="8"/>
      <c r="F865" s="8"/>
      <c r="G865" s="8"/>
      <c r="H865" s="8"/>
    </row>
    <row r="866">
      <c r="B866" s="20"/>
      <c r="C866" s="8"/>
      <c r="D866" s="8"/>
      <c r="E866" s="8"/>
      <c r="F866" s="8"/>
      <c r="G866" s="8"/>
      <c r="H866" s="8"/>
    </row>
    <row r="867">
      <c r="B867" s="20"/>
      <c r="C867" s="8"/>
      <c r="D867" s="8"/>
      <c r="E867" s="8"/>
      <c r="F867" s="8"/>
      <c r="G867" s="8"/>
      <c r="H867" s="8"/>
    </row>
    <row r="868">
      <c r="B868" s="20"/>
      <c r="C868" s="8"/>
      <c r="D868" s="8"/>
      <c r="E868" s="8"/>
      <c r="F868" s="8"/>
      <c r="G868" s="8"/>
      <c r="H868" s="8"/>
    </row>
    <row r="869">
      <c r="B869" s="20"/>
      <c r="C869" s="8"/>
      <c r="D869" s="8"/>
      <c r="E869" s="8"/>
      <c r="F869" s="8"/>
      <c r="G869" s="8"/>
      <c r="H869" s="8"/>
    </row>
    <row r="870">
      <c r="B870" s="20"/>
      <c r="C870" s="8"/>
      <c r="D870" s="8"/>
      <c r="E870" s="8"/>
      <c r="F870" s="8"/>
      <c r="G870" s="8"/>
      <c r="H870" s="8"/>
    </row>
    <row r="871">
      <c r="B871" s="20"/>
      <c r="C871" s="8"/>
      <c r="D871" s="8"/>
      <c r="E871" s="8"/>
      <c r="F871" s="8"/>
      <c r="G871" s="8"/>
      <c r="H871" s="8"/>
    </row>
    <row r="872">
      <c r="B872" s="20"/>
      <c r="C872" s="8"/>
      <c r="D872" s="8"/>
      <c r="E872" s="8"/>
      <c r="F872" s="8"/>
      <c r="G872" s="8"/>
      <c r="H872" s="8"/>
    </row>
    <row r="873">
      <c r="B873" s="20"/>
      <c r="C873" s="8"/>
      <c r="D873" s="8"/>
      <c r="E873" s="8"/>
      <c r="F873" s="8"/>
      <c r="G873" s="8"/>
      <c r="H873" s="8"/>
    </row>
    <row r="874">
      <c r="B874" s="20"/>
      <c r="C874" s="8"/>
      <c r="D874" s="8"/>
      <c r="E874" s="8"/>
      <c r="F874" s="8"/>
      <c r="G874" s="8"/>
      <c r="H874" s="8"/>
    </row>
    <row r="875">
      <c r="B875" s="20"/>
      <c r="C875" s="8"/>
      <c r="D875" s="8"/>
      <c r="E875" s="8"/>
      <c r="F875" s="8"/>
      <c r="G875" s="8"/>
      <c r="H875" s="8"/>
    </row>
    <row r="876">
      <c r="B876" s="20"/>
      <c r="C876" s="8"/>
      <c r="D876" s="8"/>
      <c r="E876" s="8"/>
      <c r="F876" s="8"/>
      <c r="G876" s="8"/>
      <c r="H876" s="8"/>
    </row>
    <row r="877">
      <c r="B877" s="20"/>
      <c r="C877" s="8"/>
      <c r="D877" s="8"/>
      <c r="E877" s="8"/>
      <c r="F877" s="8"/>
      <c r="G877" s="8"/>
      <c r="H877" s="8"/>
    </row>
    <row r="878">
      <c r="B878" s="20"/>
      <c r="C878" s="8"/>
      <c r="D878" s="8"/>
      <c r="E878" s="8"/>
      <c r="F878" s="8"/>
      <c r="G878" s="8"/>
      <c r="H878" s="8"/>
    </row>
    <row r="879">
      <c r="B879" s="20"/>
      <c r="C879" s="8"/>
      <c r="D879" s="8"/>
      <c r="E879" s="8"/>
      <c r="F879" s="8"/>
      <c r="G879" s="8"/>
      <c r="H879" s="8"/>
    </row>
    <row r="880">
      <c r="B880" s="20"/>
      <c r="C880" s="8"/>
      <c r="D880" s="8"/>
      <c r="E880" s="8"/>
      <c r="F880" s="8"/>
      <c r="G880" s="8"/>
      <c r="H880" s="8"/>
    </row>
    <row r="881">
      <c r="B881" s="20"/>
      <c r="C881" s="8"/>
      <c r="D881" s="8"/>
      <c r="E881" s="8"/>
      <c r="F881" s="8"/>
      <c r="G881" s="8"/>
      <c r="H881" s="8"/>
    </row>
    <row r="882">
      <c r="B882" s="20"/>
      <c r="C882" s="8"/>
      <c r="D882" s="8"/>
      <c r="E882" s="8"/>
      <c r="F882" s="8"/>
      <c r="G882" s="8"/>
      <c r="H882" s="8"/>
    </row>
    <row r="883">
      <c r="B883" s="20"/>
      <c r="C883" s="8"/>
      <c r="D883" s="8"/>
      <c r="E883" s="8"/>
      <c r="F883" s="8"/>
      <c r="G883" s="8"/>
      <c r="H883" s="8"/>
    </row>
    <row r="884">
      <c r="B884" s="20"/>
      <c r="C884" s="8"/>
      <c r="D884" s="8"/>
      <c r="E884" s="8"/>
      <c r="F884" s="8"/>
      <c r="G884" s="8"/>
      <c r="H884" s="8"/>
    </row>
    <row r="885">
      <c r="B885" s="20"/>
      <c r="C885" s="8"/>
      <c r="D885" s="8"/>
      <c r="E885" s="8"/>
      <c r="F885" s="8"/>
      <c r="G885" s="8"/>
      <c r="H885" s="8"/>
    </row>
    <row r="886">
      <c r="B886" s="20"/>
      <c r="C886" s="8"/>
      <c r="D886" s="8"/>
      <c r="E886" s="8"/>
      <c r="F886" s="8"/>
      <c r="G886" s="8"/>
      <c r="H886" s="8"/>
    </row>
    <row r="887">
      <c r="B887" s="20"/>
      <c r="C887" s="8"/>
      <c r="D887" s="8"/>
      <c r="E887" s="8"/>
      <c r="F887" s="8"/>
      <c r="G887" s="8"/>
      <c r="H887" s="8"/>
    </row>
    <row r="888">
      <c r="B888" s="20"/>
      <c r="C888" s="8"/>
      <c r="D888" s="8"/>
      <c r="E888" s="8"/>
      <c r="F888" s="8"/>
      <c r="G888" s="8"/>
      <c r="H888" s="8"/>
    </row>
    <row r="889">
      <c r="B889" s="20"/>
      <c r="C889" s="8"/>
      <c r="D889" s="8"/>
      <c r="E889" s="8"/>
      <c r="F889" s="8"/>
      <c r="G889" s="8"/>
      <c r="H889" s="8"/>
    </row>
    <row r="890">
      <c r="B890" s="20"/>
      <c r="C890" s="8"/>
      <c r="D890" s="8"/>
      <c r="E890" s="8"/>
      <c r="F890" s="8"/>
      <c r="G890" s="8"/>
      <c r="H890" s="8"/>
    </row>
    <row r="891">
      <c r="B891" s="20"/>
      <c r="C891" s="8"/>
      <c r="D891" s="8"/>
      <c r="E891" s="8"/>
      <c r="F891" s="8"/>
      <c r="G891" s="8"/>
      <c r="H891" s="8"/>
    </row>
    <row r="892">
      <c r="B892" s="20"/>
      <c r="C892" s="8"/>
      <c r="D892" s="8"/>
      <c r="E892" s="8"/>
      <c r="F892" s="8"/>
      <c r="G892" s="8"/>
      <c r="H892" s="8"/>
    </row>
    <row r="893">
      <c r="B893" s="20"/>
      <c r="C893" s="8"/>
      <c r="D893" s="8"/>
      <c r="E893" s="8"/>
      <c r="F893" s="8"/>
      <c r="G893" s="8"/>
      <c r="H893" s="8"/>
    </row>
    <row r="894">
      <c r="B894" s="20"/>
      <c r="C894" s="8"/>
      <c r="D894" s="8"/>
      <c r="E894" s="8"/>
      <c r="F894" s="8"/>
      <c r="G894" s="8"/>
      <c r="H894" s="8"/>
    </row>
    <row r="895">
      <c r="B895" s="20"/>
      <c r="C895" s="8"/>
      <c r="D895" s="8"/>
      <c r="E895" s="8"/>
      <c r="F895" s="8"/>
      <c r="G895" s="8"/>
      <c r="H895" s="8"/>
    </row>
    <row r="896">
      <c r="B896" s="20"/>
      <c r="C896" s="8"/>
      <c r="D896" s="8"/>
      <c r="E896" s="8"/>
      <c r="F896" s="8"/>
      <c r="G896" s="8"/>
      <c r="H896" s="8"/>
    </row>
    <row r="897">
      <c r="B897" s="20"/>
      <c r="C897" s="8"/>
      <c r="D897" s="8"/>
      <c r="E897" s="8"/>
      <c r="F897" s="8"/>
      <c r="G897" s="8"/>
      <c r="H897" s="8"/>
    </row>
    <row r="898">
      <c r="B898" s="20"/>
      <c r="C898" s="8"/>
      <c r="D898" s="8"/>
      <c r="E898" s="8"/>
      <c r="F898" s="8"/>
      <c r="G898" s="8"/>
      <c r="H898" s="8"/>
    </row>
    <row r="899">
      <c r="B899" s="20"/>
      <c r="C899" s="8"/>
      <c r="D899" s="8"/>
      <c r="E899" s="8"/>
      <c r="F899" s="8"/>
      <c r="G899" s="8"/>
      <c r="H899" s="8"/>
    </row>
    <row r="900">
      <c r="B900" s="20"/>
      <c r="C900" s="8"/>
      <c r="D900" s="8"/>
      <c r="E900" s="8"/>
      <c r="F900" s="8"/>
      <c r="G900" s="8"/>
      <c r="H900" s="8"/>
    </row>
    <row r="901">
      <c r="B901" s="20"/>
      <c r="C901" s="8"/>
      <c r="D901" s="8"/>
      <c r="E901" s="8"/>
      <c r="F901" s="8"/>
      <c r="G901" s="8"/>
      <c r="H901" s="8"/>
    </row>
    <row r="902">
      <c r="B902" s="20"/>
      <c r="C902" s="8"/>
      <c r="D902" s="8"/>
      <c r="E902" s="8"/>
      <c r="F902" s="8"/>
      <c r="G902" s="8"/>
      <c r="H902" s="8"/>
    </row>
    <row r="903">
      <c r="B903" s="20"/>
      <c r="C903" s="8"/>
      <c r="D903" s="8"/>
      <c r="E903" s="8"/>
      <c r="F903" s="8"/>
      <c r="G903" s="8"/>
      <c r="H903" s="8"/>
    </row>
    <row r="904">
      <c r="B904" s="20"/>
      <c r="C904" s="8"/>
      <c r="D904" s="8"/>
      <c r="E904" s="8"/>
      <c r="F904" s="8"/>
      <c r="G904" s="8"/>
      <c r="H904" s="8"/>
    </row>
    <row r="905">
      <c r="B905" s="20"/>
      <c r="C905" s="8"/>
      <c r="D905" s="8"/>
      <c r="E905" s="8"/>
      <c r="F905" s="8"/>
      <c r="G905" s="8"/>
      <c r="H905" s="8"/>
    </row>
    <row r="906">
      <c r="B906" s="20"/>
      <c r="C906" s="8"/>
      <c r="D906" s="8"/>
      <c r="E906" s="8"/>
      <c r="F906" s="8"/>
      <c r="G906" s="8"/>
      <c r="H906" s="8"/>
    </row>
    <row r="907">
      <c r="B907" s="20"/>
      <c r="C907" s="8"/>
      <c r="D907" s="8"/>
      <c r="E907" s="8"/>
      <c r="F907" s="8"/>
      <c r="G907" s="8"/>
      <c r="H907" s="8"/>
    </row>
    <row r="908">
      <c r="B908" s="20"/>
      <c r="C908" s="8"/>
      <c r="D908" s="8"/>
      <c r="E908" s="8"/>
      <c r="F908" s="8"/>
      <c r="G908" s="8"/>
      <c r="H908" s="8"/>
    </row>
    <row r="909">
      <c r="B909" s="20"/>
      <c r="C909" s="8"/>
      <c r="D909" s="8"/>
      <c r="E909" s="8"/>
      <c r="F909" s="8"/>
      <c r="G909" s="8"/>
      <c r="H909" s="8"/>
    </row>
    <row r="910">
      <c r="B910" s="20"/>
      <c r="C910" s="8"/>
      <c r="D910" s="8"/>
      <c r="E910" s="8"/>
      <c r="F910" s="8"/>
      <c r="G910" s="8"/>
      <c r="H910" s="8"/>
    </row>
    <row r="911">
      <c r="B911" s="20"/>
      <c r="C911" s="8"/>
      <c r="D911" s="8"/>
      <c r="E911" s="8"/>
      <c r="F911" s="8"/>
      <c r="G911" s="8"/>
      <c r="H911" s="8"/>
    </row>
    <row r="912">
      <c r="B912" s="20"/>
      <c r="C912" s="8"/>
      <c r="D912" s="8"/>
      <c r="E912" s="8"/>
      <c r="F912" s="8"/>
      <c r="G912" s="8"/>
      <c r="H912" s="8"/>
    </row>
    <row r="913">
      <c r="B913" s="20"/>
      <c r="C913" s="8"/>
      <c r="D913" s="8"/>
      <c r="E913" s="8"/>
      <c r="F913" s="8"/>
      <c r="G913" s="8"/>
      <c r="H913" s="8"/>
    </row>
    <row r="914">
      <c r="B914" s="20"/>
      <c r="C914" s="8"/>
      <c r="D914" s="8"/>
      <c r="E914" s="8"/>
      <c r="F914" s="8"/>
      <c r="G914" s="8"/>
      <c r="H914" s="8"/>
    </row>
    <row r="915">
      <c r="B915" s="20"/>
      <c r="C915" s="8"/>
      <c r="D915" s="8"/>
      <c r="E915" s="8"/>
      <c r="F915" s="8"/>
      <c r="G915" s="8"/>
      <c r="H915" s="8"/>
    </row>
    <row r="916">
      <c r="B916" s="20"/>
      <c r="C916" s="8"/>
      <c r="D916" s="8"/>
      <c r="E916" s="8"/>
      <c r="F916" s="8"/>
      <c r="G916" s="8"/>
      <c r="H916" s="8"/>
    </row>
    <row r="917">
      <c r="B917" s="20"/>
      <c r="C917" s="8"/>
      <c r="D917" s="8"/>
      <c r="E917" s="8"/>
      <c r="F917" s="8"/>
      <c r="G917" s="8"/>
      <c r="H917" s="8"/>
    </row>
    <row r="918">
      <c r="B918" s="20"/>
      <c r="C918" s="8"/>
      <c r="D918" s="8"/>
      <c r="E918" s="8"/>
      <c r="F918" s="8"/>
      <c r="G918" s="8"/>
      <c r="H918" s="8"/>
    </row>
    <row r="919">
      <c r="B919" s="20"/>
      <c r="C919" s="8"/>
      <c r="D919" s="8"/>
      <c r="E919" s="8"/>
      <c r="F919" s="8"/>
      <c r="G919" s="8"/>
      <c r="H919" s="8"/>
    </row>
    <row r="920">
      <c r="B920" s="20"/>
      <c r="C920" s="8"/>
      <c r="D920" s="8"/>
      <c r="E920" s="8"/>
      <c r="F920" s="8"/>
      <c r="G920" s="8"/>
      <c r="H920" s="8"/>
    </row>
    <row r="921">
      <c r="B921" s="20"/>
      <c r="C921" s="8"/>
      <c r="D921" s="8"/>
      <c r="E921" s="8"/>
      <c r="F921" s="8"/>
      <c r="G921" s="8"/>
      <c r="H921" s="8"/>
    </row>
    <row r="922">
      <c r="B922" s="20"/>
      <c r="C922" s="8"/>
      <c r="D922" s="8"/>
      <c r="E922" s="8"/>
      <c r="F922" s="8"/>
      <c r="G922" s="8"/>
      <c r="H922" s="8"/>
    </row>
    <row r="923">
      <c r="B923" s="20"/>
      <c r="C923" s="8"/>
      <c r="D923" s="8"/>
      <c r="E923" s="8"/>
      <c r="F923" s="8"/>
      <c r="G923" s="8"/>
      <c r="H923" s="8"/>
    </row>
    <row r="924">
      <c r="B924" s="20"/>
      <c r="C924" s="8"/>
      <c r="D924" s="8"/>
      <c r="E924" s="8"/>
      <c r="F924" s="8"/>
      <c r="G924" s="8"/>
      <c r="H924" s="8"/>
    </row>
    <row r="925">
      <c r="B925" s="20"/>
      <c r="C925" s="8"/>
      <c r="D925" s="8"/>
      <c r="E925" s="8"/>
      <c r="F925" s="8"/>
      <c r="G925" s="8"/>
      <c r="H925" s="8"/>
    </row>
    <row r="926">
      <c r="B926" s="20"/>
      <c r="C926" s="8"/>
      <c r="D926" s="8"/>
      <c r="E926" s="8"/>
      <c r="F926" s="8"/>
      <c r="G926" s="8"/>
      <c r="H926" s="8"/>
    </row>
    <row r="927">
      <c r="B927" s="20"/>
      <c r="C927" s="8"/>
      <c r="D927" s="8"/>
      <c r="E927" s="8"/>
      <c r="F927" s="8"/>
      <c r="G927" s="8"/>
      <c r="H927" s="8"/>
    </row>
    <row r="928">
      <c r="B928" s="20"/>
      <c r="C928" s="8"/>
      <c r="D928" s="8"/>
      <c r="E928" s="8"/>
      <c r="F928" s="8"/>
      <c r="G928" s="8"/>
      <c r="H928" s="8"/>
    </row>
    <row r="929">
      <c r="B929" s="20"/>
      <c r="C929" s="8"/>
      <c r="D929" s="8"/>
      <c r="E929" s="8"/>
      <c r="F929" s="8"/>
      <c r="G929" s="8"/>
      <c r="H929" s="8"/>
    </row>
    <row r="930">
      <c r="B930" s="20"/>
      <c r="C930" s="8"/>
      <c r="D930" s="8"/>
      <c r="E930" s="8"/>
      <c r="F930" s="8"/>
      <c r="G930" s="8"/>
      <c r="H930" s="8"/>
    </row>
    <row r="931">
      <c r="B931" s="20"/>
      <c r="C931" s="8"/>
      <c r="D931" s="8"/>
      <c r="E931" s="8"/>
      <c r="F931" s="8"/>
      <c r="G931" s="8"/>
      <c r="H931" s="8"/>
    </row>
    <row r="932">
      <c r="B932" s="20"/>
      <c r="C932" s="8"/>
      <c r="D932" s="8"/>
      <c r="E932" s="8"/>
      <c r="F932" s="8"/>
      <c r="G932" s="8"/>
      <c r="H932" s="8"/>
    </row>
    <row r="933">
      <c r="B933" s="20"/>
      <c r="C933" s="8"/>
      <c r="D933" s="8"/>
      <c r="E933" s="8"/>
      <c r="F933" s="8"/>
      <c r="G933" s="8"/>
      <c r="H933" s="8"/>
    </row>
    <row r="934">
      <c r="B934" s="20"/>
      <c r="C934" s="8"/>
      <c r="D934" s="8"/>
      <c r="E934" s="8"/>
      <c r="F934" s="8"/>
      <c r="G934" s="8"/>
      <c r="H934" s="8"/>
    </row>
    <row r="935">
      <c r="B935" s="20"/>
      <c r="C935" s="8"/>
      <c r="D935" s="8"/>
      <c r="E935" s="8"/>
      <c r="F935" s="8"/>
      <c r="G935" s="8"/>
      <c r="H935" s="8"/>
    </row>
    <row r="936">
      <c r="B936" s="20"/>
      <c r="C936" s="8"/>
      <c r="D936" s="8"/>
      <c r="E936" s="8"/>
      <c r="F936" s="8"/>
      <c r="G936" s="8"/>
      <c r="H936" s="8"/>
    </row>
    <row r="937">
      <c r="B937" s="20"/>
      <c r="C937" s="8"/>
      <c r="D937" s="8"/>
      <c r="E937" s="8"/>
      <c r="F937" s="8"/>
      <c r="G937" s="8"/>
      <c r="H937" s="8"/>
    </row>
    <row r="938">
      <c r="B938" s="20"/>
      <c r="C938" s="8"/>
      <c r="D938" s="8"/>
      <c r="E938" s="8"/>
      <c r="F938" s="8"/>
      <c r="G938" s="8"/>
      <c r="H938" s="8"/>
    </row>
    <row r="939">
      <c r="B939" s="20"/>
      <c r="C939" s="8"/>
      <c r="D939" s="8"/>
      <c r="E939" s="8"/>
      <c r="F939" s="8"/>
      <c r="G939" s="8"/>
      <c r="H939" s="8"/>
    </row>
    <row r="940">
      <c r="B940" s="20"/>
      <c r="C940" s="8"/>
      <c r="D940" s="8"/>
      <c r="E940" s="8"/>
      <c r="F940" s="8"/>
      <c r="G940" s="8"/>
      <c r="H940" s="8"/>
    </row>
    <row r="941">
      <c r="B941" s="20"/>
      <c r="C941" s="8"/>
      <c r="D941" s="8"/>
      <c r="E941" s="8"/>
      <c r="F941" s="8"/>
      <c r="G941" s="8"/>
      <c r="H941" s="8"/>
    </row>
    <row r="942">
      <c r="B942" s="20"/>
      <c r="C942" s="8"/>
      <c r="D942" s="8"/>
      <c r="E942" s="8"/>
      <c r="F942" s="8"/>
      <c r="G942" s="8"/>
      <c r="H942" s="8"/>
    </row>
    <row r="943">
      <c r="B943" s="20"/>
      <c r="C943" s="8"/>
      <c r="D943" s="8"/>
      <c r="E943" s="8"/>
      <c r="F943" s="8"/>
      <c r="G943" s="8"/>
      <c r="H943" s="8"/>
    </row>
    <row r="944">
      <c r="B944" s="20"/>
      <c r="C944" s="8"/>
      <c r="D944" s="8"/>
      <c r="E944" s="8"/>
      <c r="F944" s="8"/>
      <c r="G944" s="8"/>
      <c r="H944" s="8"/>
    </row>
    <row r="945">
      <c r="B945" s="20"/>
      <c r="C945" s="8"/>
      <c r="D945" s="8"/>
      <c r="E945" s="8"/>
      <c r="F945" s="8"/>
      <c r="G945" s="8"/>
      <c r="H945" s="8"/>
    </row>
    <row r="946">
      <c r="B946" s="20"/>
      <c r="C946" s="8"/>
      <c r="D946" s="8"/>
      <c r="E946" s="8"/>
      <c r="F946" s="8"/>
      <c r="G946" s="8"/>
      <c r="H946" s="8"/>
    </row>
    <row r="947">
      <c r="B947" s="20"/>
      <c r="C947" s="8"/>
      <c r="D947" s="8"/>
      <c r="E947" s="8"/>
      <c r="F947" s="8"/>
      <c r="G947" s="8"/>
      <c r="H947" s="8"/>
    </row>
    <row r="948">
      <c r="B948" s="20"/>
      <c r="C948" s="8"/>
      <c r="D948" s="8"/>
      <c r="E948" s="8"/>
      <c r="F948" s="8"/>
      <c r="G948" s="8"/>
      <c r="H948" s="8"/>
    </row>
    <row r="949">
      <c r="B949" s="20"/>
      <c r="C949" s="8"/>
      <c r="D949" s="8"/>
      <c r="E949" s="8"/>
      <c r="F949" s="8"/>
      <c r="G949" s="8"/>
      <c r="H949" s="8"/>
    </row>
    <row r="950">
      <c r="B950" s="20"/>
      <c r="C950" s="8"/>
      <c r="D950" s="8"/>
      <c r="E950" s="8"/>
      <c r="F950" s="8"/>
      <c r="G950" s="8"/>
      <c r="H950" s="8"/>
    </row>
    <row r="951">
      <c r="B951" s="20"/>
      <c r="C951" s="8"/>
      <c r="D951" s="8"/>
      <c r="E951" s="8"/>
      <c r="F951" s="8"/>
      <c r="G951" s="8"/>
      <c r="H951" s="8"/>
    </row>
    <row r="952">
      <c r="B952" s="20"/>
      <c r="C952" s="8"/>
      <c r="D952" s="8"/>
      <c r="E952" s="8"/>
      <c r="F952" s="8"/>
      <c r="G952" s="8"/>
      <c r="H952" s="8"/>
    </row>
    <row r="953">
      <c r="B953" s="20"/>
      <c r="C953" s="8"/>
      <c r="D953" s="8"/>
      <c r="E953" s="8"/>
      <c r="F953" s="8"/>
      <c r="G953" s="8"/>
      <c r="H953" s="8"/>
    </row>
    <row r="954">
      <c r="B954" s="20"/>
      <c r="C954" s="8"/>
      <c r="D954" s="8"/>
      <c r="E954" s="8"/>
      <c r="F954" s="8"/>
      <c r="G954" s="8"/>
      <c r="H954" s="8"/>
    </row>
    <row r="955">
      <c r="B955" s="20"/>
      <c r="C955" s="8"/>
      <c r="D955" s="8"/>
      <c r="E955" s="8"/>
      <c r="F955" s="8"/>
      <c r="G955" s="8"/>
      <c r="H955" s="8"/>
    </row>
    <row r="956">
      <c r="B956" s="20"/>
      <c r="C956" s="8"/>
      <c r="D956" s="8"/>
      <c r="E956" s="8"/>
      <c r="F956" s="8"/>
      <c r="G956" s="8"/>
      <c r="H956" s="8"/>
    </row>
    <row r="957">
      <c r="B957" s="20"/>
      <c r="C957" s="8"/>
      <c r="D957" s="8"/>
      <c r="E957" s="8"/>
      <c r="F957" s="8"/>
      <c r="G957" s="8"/>
      <c r="H957" s="8"/>
    </row>
    <row r="958">
      <c r="B958" s="20"/>
      <c r="C958" s="8"/>
      <c r="D958" s="8"/>
      <c r="E958" s="8"/>
      <c r="F958" s="8"/>
      <c r="G958" s="8"/>
      <c r="H958" s="8"/>
    </row>
    <row r="959">
      <c r="B959" s="20"/>
      <c r="C959" s="8"/>
      <c r="D959" s="8"/>
      <c r="E959" s="8"/>
      <c r="F959" s="8"/>
      <c r="G959" s="8"/>
      <c r="H959" s="8"/>
    </row>
    <row r="960">
      <c r="B960" s="20"/>
      <c r="C960" s="8"/>
      <c r="D960" s="8"/>
      <c r="E960" s="8"/>
      <c r="F960" s="8"/>
      <c r="G960" s="8"/>
      <c r="H960" s="8"/>
    </row>
    <row r="961">
      <c r="B961" s="20"/>
      <c r="C961" s="8"/>
      <c r="D961" s="8"/>
      <c r="E961" s="8"/>
      <c r="F961" s="8"/>
      <c r="G961" s="8"/>
      <c r="H961" s="8"/>
    </row>
    <row r="962">
      <c r="B962" s="20"/>
      <c r="C962" s="8"/>
      <c r="D962" s="8"/>
      <c r="E962" s="8"/>
      <c r="F962" s="8"/>
      <c r="G962" s="8"/>
      <c r="H962" s="8"/>
    </row>
    <row r="963">
      <c r="B963" s="20"/>
      <c r="C963" s="8"/>
      <c r="D963" s="8"/>
      <c r="E963" s="8"/>
      <c r="F963" s="8"/>
      <c r="G963" s="8"/>
      <c r="H963" s="8"/>
    </row>
    <row r="964">
      <c r="B964" s="20"/>
      <c r="C964" s="8"/>
      <c r="D964" s="8"/>
      <c r="E964" s="8"/>
      <c r="F964" s="8"/>
      <c r="G964" s="8"/>
      <c r="H964" s="8"/>
    </row>
    <row r="965">
      <c r="B965" s="20"/>
      <c r="C965" s="8"/>
      <c r="D965" s="8"/>
      <c r="E965" s="8"/>
      <c r="F965" s="8"/>
      <c r="G965" s="8"/>
      <c r="H965" s="8"/>
    </row>
    <row r="966">
      <c r="B966" s="20"/>
      <c r="C966" s="8"/>
      <c r="D966" s="8"/>
      <c r="E966" s="8"/>
      <c r="F966" s="8"/>
      <c r="G966" s="8"/>
      <c r="H966" s="8"/>
    </row>
    <row r="967">
      <c r="B967" s="20"/>
      <c r="C967" s="8"/>
      <c r="D967" s="8"/>
      <c r="E967" s="8"/>
      <c r="F967" s="8"/>
      <c r="G967" s="8"/>
      <c r="H967" s="8"/>
    </row>
    <row r="968">
      <c r="B968" s="20"/>
      <c r="C968" s="8"/>
      <c r="D968" s="8"/>
      <c r="E968" s="8"/>
      <c r="F968" s="8"/>
      <c r="G968" s="8"/>
      <c r="H968" s="8"/>
    </row>
    <row r="969">
      <c r="B969" s="20"/>
      <c r="C969" s="8"/>
      <c r="D969" s="8"/>
      <c r="E969" s="8"/>
      <c r="F969" s="8"/>
      <c r="G969" s="8"/>
      <c r="H969" s="8"/>
    </row>
    <row r="970">
      <c r="B970" s="20"/>
      <c r="C970" s="8"/>
      <c r="D970" s="8"/>
      <c r="E970" s="8"/>
      <c r="F970" s="8"/>
      <c r="G970" s="8"/>
      <c r="H970" s="8"/>
    </row>
    <row r="971">
      <c r="B971" s="20"/>
      <c r="C971" s="8"/>
      <c r="D971" s="8"/>
      <c r="E971" s="8"/>
      <c r="F971" s="8"/>
      <c r="G971" s="8"/>
      <c r="H971" s="8"/>
    </row>
    <row r="972">
      <c r="B972" s="20"/>
      <c r="C972" s="8"/>
      <c r="D972" s="8"/>
      <c r="E972" s="8"/>
      <c r="F972" s="8"/>
      <c r="G972" s="8"/>
      <c r="H972" s="8"/>
    </row>
    <row r="973">
      <c r="B973" s="20"/>
      <c r="C973" s="8"/>
      <c r="D973" s="8"/>
      <c r="E973" s="8"/>
      <c r="F973" s="8"/>
      <c r="G973" s="8"/>
      <c r="H973" s="8"/>
    </row>
    <row r="974">
      <c r="B974" s="20"/>
      <c r="C974" s="8"/>
      <c r="D974" s="8"/>
      <c r="E974" s="8"/>
      <c r="F974" s="8"/>
      <c r="G974" s="8"/>
      <c r="H974" s="8"/>
    </row>
    <row r="975">
      <c r="B975" s="20"/>
      <c r="C975" s="8"/>
      <c r="D975" s="8"/>
      <c r="E975" s="8"/>
      <c r="F975" s="8"/>
      <c r="G975" s="8"/>
      <c r="H975" s="8"/>
    </row>
    <row r="976">
      <c r="B976" s="20"/>
      <c r="C976" s="8"/>
      <c r="D976" s="8"/>
      <c r="E976" s="8"/>
      <c r="F976" s="8"/>
      <c r="G976" s="8"/>
      <c r="H976" s="8"/>
    </row>
    <row r="977">
      <c r="B977" s="20"/>
      <c r="C977" s="8"/>
      <c r="D977" s="8"/>
      <c r="E977" s="8"/>
      <c r="F977" s="8"/>
      <c r="G977" s="8"/>
      <c r="H977" s="8"/>
    </row>
    <row r="978">
      <c r="B978" s="20"/>
      <c r="C978" s="8"/>
      <c r="D978" s="8"/>
      <c r="E978" s="8"/>
      <c r="F978" s="8"/>
      <c r="G978" s="8"/>
      <c r="H978" s="8"/>
    </row>
    <row r="979">
      <c r="B979" s="20"/>
      <c r="C979" s="8"/>
      <c r="D979" s="8"/>
      <c r="E979" s="8"/>
      <c r="F979" s="8"/>
      <c r="G979" s="8"/>
      <c r="H979" s="8"/>
    </row>
    <row r="980">
      <c r="B980" s="20"/>
      <c r="C980" s="8"/>
      <c r="D980" s="8"/>
      <c r="E980" s="8"/>
      <c r="F980" s="8"/>
      <c r="G980" s="8"/>
      <c r="H980" s="8"/>
    </row>
    <row r="981">
      <c r="B981" s="20"/>
      <c r="C981" s="8"/>
      <c r="D981" s="8"/>
      <c r="E981" s="8"/>
      <c r="F981" s="8"/>
      <c r="G981" s="8"/>
      <c r="H981" s="8"/>
    </row>
    <row r="982">
      <c r="B982" s="20"/>
      <c r="C982" s="8"/>
      <c r="D982" s="8"/>
      <c r="E982" s="8"/>
      <c r="F982" s="8"/>
      <c r="G982" s="8"/>
      <c r="H982" s="8"/>
    </row>
    <row r="983">
      <c r="B983" s="20"/>
      <c r="C983" s="8"/>
      <c r="D983" s="8"/>
      <c r="E983" s="8"/>
      <c r="F983" s="8"/>
      <c r="G983" s="8"/>
      <c r="H983" s="8"/>
    </row>
    <row r="984">
      <c r="B984" s="20"/>
      <c r="C984" s="8"/>
      <c r="D984" s="8"/>
      <c r="E984" s="8"/>
      <c r="F984" s="8"/>
      <c r="G984" s="8"/>
      <c r="H984" s="8"/>
    </row>
    <row r="985">
      <c r="B985" s="20"/>
      <c r="C985" s="8"/>
      <c r="D985" s="8"/>
      <c r="E985" s="8"/>
      <c r="F985" s="8"/>
      <c r="G985" s="8"/>
      <c r="H985" s="8"/>
    </row>
    <row r="986">
      <c r="B986" s="20"/>
      <c r="C986" s="8"/>
      <c r="D986" s="8"/>
      <c r="E986" s="8"/>
      <c r="F986" s="8"/>
      <c r="G986" s="8"/>
      <c r="H986" s="8"/>
    </row>
    <row r="987">
      <c r="B987" s="20"/>
      <c r="C987" s="8"/>
      <c r="D987" s="8"/>
      <c r="E987" s="8"/>
      <c r="F987" s="8"/>
      <c r="G987" s="8"/>
      <c r="H987" s="8"/>
    </row>
    <row r="988">
      <c r="B988" s="20"/>
      <c r="C988" s="8"/>
      <c r="D988" s="8"/>
      <c r="E988" s="8"/>
      <c r="F988" s="8"/>
      <c r="G988" s="8"/>
      <c r="H988" s="8"/>
    </row>
    <row r="989">
      <c r="B989" s="20"/>
      <c r="C989" s="8"/>
      <c r="D989" s="8"/>
      <c r="E989" s="8"/>
      <c r="F989" s="8"/>
      <c r="G989" s="8"/>
      <c r="H989" s="8"/>
    </row>
    <row r="990">
      <c r="B990" s="20"/>
      <c r="C990" s="8"/>
      <c r="D990" s="8"/>
      <c r="E990" s="8"/>
      <c r="F990" s="8"/>
      <c r="G990" s="8"/>
      <c r="H990" s="8"/>
    </row>
    <row r="991">
      <c r="B991" s="20"/>
      <c r="C991" s="8"/>
      <c r="D991" s="8"/>
      <c r="E991" s="8"/>
      <c r="F991" s="8"/>
      <c r="G991" s="8"/>
      <c r="H991" s="8"/>
    </row>
    <row r="992">
      <c r="B992" s="20"/>
      <c r="C992" s="8"/>
      <c r="D992" s="8"/>
      <c r="E992" s="8"/>
      <c r="F992" s="8"/>
      <c r="G992" s="8"/>
      <c r="H992" s="8"/>
    </row>
    <row r="993">
      <c r="B993" s="20"/>
      <c r="C993" s="8"/>
      <c r="D993" s="8"/>
      <c r="E993" s="8"/>
      <c r="F993" s="8"/>
      <c r="G993" s="8"/>
      <c r="H993" s="8"/>
    </row>
    <row r="994">
      <c r="B994" s="20"/>
      <c r="C994" s="8"/>
      <c r="D994" s="8"/>
      <c r="E994" s="8"/>
      <c r="F994" s="8"/>
      <c r="G994" s="8"/>
      <c r="H994" s="8"/>
    </row>
    <row r="995">
      <c r="B995" s="20"/>
      <c r="C995" s="8"/>
      <c r="D995" s="8"/>
      <c r="E995" s="8"/>
      <c r="F995" s="8"/>
      <c r="G995" s="8"/>
      <c r="H995" s="8"/>
    </row>
    <row r="996">
      <c r="B996" s="20"/>
      <c r="C996" s="8"/>
      <c r="D996" s="8"/>
      <c r="E996" s="8"/>
      <c r="F996" s="8"/>
      <c r="G996" s="8"/>
      <c r="H996" s="8"/>
    </row>
    <row r="997">
      <c r="B997" s="20"/>
      <c r="C997" s="8"/>
      <c r="D997" s="8"/>
      <c r="E997" s="8"/>
      <c r="F997" s="8"/>
      <c r="G997" s="8"/>
      <c r="H997" s="8"/>
    </row>
    <row r="998">
      <c r="B998" s="20"/>
      <c r="C998" s="8"/>
      <c r="D998" s="8"/>
      <c r="E998" s="8"/>
      <c r="F998" s="8"/>
      <c r="G998" s="8"/>
      <c r="H998" s="8"/>
    </row>
    <row r="999">
      <c r="B999" s="20"/>
      <c r="C999" s="8"/>
      <c r="D999" s="8"/>
      <c r="E999" s="8"/>
      <c r="F999" s="8"/>
      <c r="G999" s="8"/>
      <c r="H999" s="8"/>
    </row>
    <row r="1000">
      <c r="B1000" s="20"/>
      <c r="C1000" s="8"/>
      <c r="D1000" s="8"/>
      <c r="E1000" s="8"/>
      <c r="F1000" s="8"/>
      <c r="G1000" s="8"/>
      <c r="H1000" s="8"/>
    </row>
    <row r="1001">
      <c r="B1001" s="20"/>
      <c r="C1001" s="8"/>
      <c r="D1001" s="8"/>
      <c r="E1001" s="8"/>
      <c r="F1001" s="8"/>
      <c r="G1001" s="8"/>
      <c r="H1001" s="8"/>
    </row>
  </sheetData>
  <conditionalFormatting sqref="A2:H2">
    <cfRule type="timePeriod" dxfId="5" priority="1" timePeriod="today"/>
  </conditionalFormatting>
  <dataValidations>
    <dataValidation type="custom" allowBlank="1" showDropDown="1" showErrorMessage="1" sqref="A2:H2">
      <formula1>OR(NOT(ISERROR(DATEVALUE(A2))), AND(ISNUMBER(A2), LEFT(CELL("format", A2))="D"))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6" max="6" width="16.5"/>
  </cols>
  <sheetData>
    <row r="1">
      <c r="A1" s="38"/>
      <c r="B1" s="38"/>
      <c r="C1" s="38"/>
      <c r="D1" s="38"/>
      <c r="E1" s="39" t="s">
        <v>88</v>
      </c>
      <c r="F1" s="39" t="s">
        <v>89</v>
      </c>
      <c r="G1" s="40"/>
      <c r="H1" s="40"/>
      <c r="I1" s="40"/>
      <c r="J1" s="40"/>
      <c r="K1" s="40"/>
      <c r="L1" s="40"/>
      <c r="M1" s="40"/>
      <c r="N1" s="40"/>
      <c r="O1" s="40"/>
      <c r="P1" s="40">
        <v>46023.0</v>
      </c>
      <c r="Q1" s="40">
        <v>46024.0</v>
      </c>
      <c r="R1" s="40">
        <v>46025.0</v>
      </c>
      <c r="S1" s="40">
        <v>46026.0</v>
      </c>
      <c r="T1" s="40">
        <v>46027.0</v>
      </c>
      <c r="U1" s="40">
        <v>46028.0</v>
      </c>
      <c r="V1" s="40">
        <v>46029.0</v>
      </c>
      <c r="W1" s="40">
        <v>46030.0</v>
      </c>
      <c r="X1" s="40">
        <v>46031.0</v>
      </c>
      <c r="Y1" s="40">
        <v>46032.0</v>
      </c>
      <c r="Z1" s="40">
        <v>46033.0</v>
      </c>
      <c r="AA1" s="40">
        <v>46034.0</v>
      </c>
      <c r="AB1" s="40">
        <v>46035.0</v>
      </c>
      <c r="AC1" s="40">
        <v>46036.0</v>
      </c>
      <c r="AD1" s="40">
        <v>46037.0</v>
      </c>
      <c r="AE1" s="40">
        <v>46038.0</v>
      </c>
      <c r="AF1" s="40">
        <v>46039.0</v>
      </c>
      <c r="AG1" s="40">
        <v>46040.0</v>
      </c>
      <c r="AH1" s="40">
        <v>46041.0</v>
      </c>
      <c r="AI1" s="40">
        <v>46042.0</v>
      </c>
      <c r="AJ1" s="40">
        <v>46043.0</v>
      </c>
      <c r="AK1" s="40">
        <v>46044.0</v>
      </c>
      <c r="AL1" s="40">
        <v>46045.0</v>
      </c>
      <c r="AM1" s="40">
        <v>46046.0</v>
      </c>
      <c r="AN1" s="40">
        <v>46047.0</v>
      </c>
      <c r="AO1" s="40">
        <v>46048.0</v>
      </c>
      <c r="AP1" s="40">
        <v>46049.0</v>
      </c>
      <c r="AQ1" s="40">
        <v>46050.0</v>
      </c>
      <c r="AR1" s="40">
        <v>46051.0</v>
      </c>
      <c r="AS1" s="40">
        <v>46052.0</v>
      </c>
      <c r="AT1" s="40">
        <v>46053.0</v>
      </c>
      <c r="AU1" s="40">
        <v>46054.0</v>
      </c>
      <c r="AV1" s="40">
        <v>46055.0</v>
      </c>
      <c r="AW1" s="40">
        <v>46056.0</v>
      </c>
      <c r="AX1" s="40">
        <v>46057.0</v>
      </c>
      <c r="AY1" s="40">
        <v>46058.0</v>
      </c>
      <c r="AZ1" s="40">
        <v>46059.0</v>
      </c>
      <c r="BA1" s="40">
        <v>46060.0</v>
      </c>
      <c r="BB1" s="40">
        <v>46061.0</v>
      </c>
      <c r="BC1" s="40">
        <v>46062.0</v>
      </c>
      <c r="BD1" s="40">
        <v>46063.0</v>
      </c>
      <c r="BE1" s="40">
        <v>46064.0</v>
      </c>
      <c r="BF1" s="40">
        <v>46065.0</v>
      </c>
      <c r="BG1" s="40">
        <v>46066.0</v>
      </c>
      <c r="BH1" s="40">
        <v>46067.0</v>
      </c>
      <c r="BI1" s="40">
        <v>46068.0</v>
      </c>
      <c r="BJ1" s="40">
        <v>46069.0</v>
      </c>
      <c r="BK1" s="40">
        <v>46070.0</v>
      </c>
      <c r="BL1" s="40">
        <v>46071.0</v>
      </c>
    </row>
    <row r="2">
      <c r="A2" s="38"/>
      <c r="B2" s="38"/>
      <c r="C2" s="38"/>
      <c r="D2" s="38"/>
      <c r="E2" s="41"/>
      <c r="F2" s="41"/>
      <c r="G2" s="38"/>
      <c r="H2" s="38"/>
      <c r="I2" s="38"/>
      <c r="J2" s="38"/>
      <c r="K2" s="38"/>
      <c r="L2" s="38"/>
      <c r="M2" s="38"/>
      <c r="N2" s="38"/>
      <c r="O2" s="38"/>
      <c r="P2" s="38" t="s">
        <v>39</v>
      </c>
      <c r="Q2" s="38" t="s">
        <v>40</v>
      </c>
      <c r="R2" s="38" t="s">
        <v>34</v>
      </c>
      <c r="S2" s="38" t="s">
        <v>35</v>
      </c>
      <c r="T2" s="38" t="s">
        <v>36</v>
      </c>
      <c r="U2" s="38" t="s">
        <v>37</v>
      </c>
      <c r="V2" s="38" t="s">
        <v>38</v>
      </c>
      <c r="W2" s="38" t="s">
        <v>39</v>
      </c>
      <c r="X2" s="38" t="s">
        <v>40</v>
      </c>
      <c r="Y2" s="38" t="s">
        <v>34</v>
      </c>
      <c r="Z2" s="38" t="s">
        <v>35</v>
      </c>
      <c r="AA2" s="38" t="s">
        <v>36</v>
      </c>
      <c r="AB2" s="38" t="s">
        <v>37</v>
      </c>
      <c r="AC2" s="38" t="s">
        <v>38</v>
      </c>
      <c r="AD2" s="42" t="s">
        <v>39</v>
      </c>
      <c r="AE2" s="42" t="s">
        <v>40</v>
      </c>
      <c r="AF2" s="42" t="s">
        <v>34</v>
      </c>
      <c r="AG2" s="42" t="s">
        <v>35</v>
      </c>
      <c r="AH2" s="42" t="s">
        <v>36</v>
      </c>
      <c r="AI2" s="42" t="s">
        <v>37</v>
      </c>
      <c r="AJ2" s="42" t="s">
        <v>38</v>
      </c>
      <c r="AK2" s="42" t="s">
        <v>39</v>
      </c>
      <c r="AL2" s="42" t="s">
        <v>40</v>
      </c>
      <c r="AM2" s="42" t="s">
        <v>34</v>
      </c>
      <c r="AN2" s="42" t="s">
        <v>35</v>
      </c>
      <c r="AO2" s="42" t="s">
        <v>36</v>
      </c>
      <c r="AP2" s="42" t="s">
        <v>37</v>
      </c>
      <c r="AQ2" s="42" t="s">
        <v>38</v>
      </c>
      <c r="AR2" s="42" t="s">
        <v>39</v>
      </c>
      <c r="AS2" s="42" t="s">
        <v>40</v>
      </c>
      <c r="AT2" s="42" t="s">
        <v>34</v>
      </c>
      <c r="AU2" s="42" t="s">
        <v>35</v>
      </c>
      <c r="AV2" s="42" t="s">
        <v>36</v>
      </c>
      <c r="AW2" s="42" t="s">
        <v>37</v>
      </c>
      <c r="AX2" s="42" t="s">
        <v>38</v>
      </c>
      <c r="AY2" s="42" t="s">
        <v>39</v>
      </c>
      <c r="AZ2" s="42" t="s">
        <v>40</v>
      </c>
      <c r="BA2" s="42" t="s">
        <v>34</v>
      </c>
      <c r="BB2" s="42" t="s">
        <v>35</v>
      </c>
      <c r="BC2" s="42" t="s">
        <v>36</v>
      </c>
      <c r="BD2" s="42" t="s">
        <v>37</v>
      </c>
      <c r="BE2" s="42" t="s">
        <v>38</v>
      </c>
      <c r="BF2" s="42" t="s">
        <v>39</v>
      </c>
      <c r="BG2" s="42" t="s">
        <v>40</v>
      </c>
      <c r="BH2" s="42" t="s">
        <v>34</v>
      </c>
      <c r="BI2" s="42" t="s">
        <v>35</v>
      </c>
      <c r="BJ2" s="42" t="s">
        <v>36</v>
      </c>
      <c r="BK2" s="42" t="s">
        <v>37</v>
      </c>
      <c r="BL2" s="42" t="s">
        <v>38</v>
      </c>
    </row>
    <row r="3">
      <c r="A3" s="43">
        <v>1.0</v>
      </c>
      <c r="B3" s="43">
        <v>100.0</v>
      </c>
      <c r="C3" s="39" t="s">
        <v>54</v>
      </c>
      <c r="D3" s="43" t="s">
        <v>90</v>
      </c>
      <c r="E3" s="44">
        <v>1.0</v>
      </c>
      <c r="F3" s="44">
        <v>1.0</v>
      </c>
      <c r="G3" s="38"/>
      <c r="H3" s="38"/>
      <c r="I3" s="43"/>
      <c r="J3" s="43"/>
      <c r="K3" s="43"/>
      <c r="L3" s="43"/>
      <c r="M3" s="43"/>
      <c r="N3" s="43"/>
      <c r="O3" s="43"/>
      <c r="P3" s="43">
        <v>1.0</v>
      </c>
      <c r="Q3" s="43">
        <v>1.0</v>
      </c>
      <c r="R3" s="43">
        <v>1.0</v>
      </c>
      <c r="S3" s="43">
        <v>1.0</v>
      </c>
      <c r="T3" s="43">
        <v>1.0</v>
      </c>
      <c r="U3" s="43">
        <v>1.0</v>
      </c>
      <c r="V3" s="43">
        <v>1.0</v>
      </c>
      <c r="W3" s="43">
        <v>1.0</v>
      </c>
      <c r="X3" s="43">
        <v>1.0</v>
      </c>
      <c r="Y3" s="43">
        <v>1.0</v>
      </c>
      <c r="Z3" s="43">
        <v>1.0</v>
      </c>
      <c r="AA3" s="43">
        <v>1.0</v>
      </c>
      <c r="AB3" s="43">
        <v>1.0</v>
      </c>
      <c r="AC3" s="43">
        <v>1.0</v>
      </c>
      <c r="AD3" s="43">
        <v>1.0</v>
      </c>
      <c r="AE3" s="43">
        <v>1.0</v>
      </c>
      <c r="AF3" s="43">
        <v>1.0</v>
      </c>
      <c r="AG3" s="43">
        <v>1.0</v>
      </c>
      <c r="AH3" s="43">
        <v>1.0</v>
      </c>
      <c r="AI3" s="43">
        <v>1.0</v>
      </c>
      <c r="AJ3" s="43">
        <v>1.0</v>
      </c>
      <c r="AK3" s="43">
        <v>1.0</v>
      </c>
      <c r="AL3" s="43">
        <v>1.0</v>
      </c>
      <c r="AM3" s="43">
        <v>1.0</v>
      </c>
      <c r="AN3" s="43">
        <v>1.0</v>
      </c>
      <c r="AO3" s="43">
        <v>1.0</v>
      </c>
      <c r="AP3" s="43">
        <v>1.0</v>
      </c>
      <c r="AQ3" s="43">
        <v>1.0</v>
      </c>
      <c r="AR3" s="43">
        <v>1.0</v>
      </c>
      <c r="AS3" s="42">
        <v>0.0</v>
      </c>
      <c r="AT3" s="42">
        <v>0.0</v>
      </c>
      <c r="AU3" s="43">
        <v>1.0</v>
      </c>
      <c r="AV3" s="43">
        <v>1.0</v>
      </c>
      <c r="AW3" s="43">
        <v>1.0</v>
      </c>
      <c r="AX3" s="38"/>
      <c r="AY3" s="38"/>
      <c r="AZ3" s="38"/>
      <c r="BA3" s="38"/>
      <c r="BB3" s="38"/>
      <c r="BC3" s="38"/>
      <c r="BD3" s="38"/>
      <c r="BE3" s="38"/>
      <c r="BF3" s="38"/>
      <c r="BG3" s="38"/>
      <c r="BH3" s="38"/>
      <c r="BI3" s="38"/>
      <c r="BJ3" s="38"/>
      <c r="BK3" s="38"/>
      <c r="BL3" s="38"/>
    </row>
    <row r="4">
      <c r="A4" s="43">
        <v>2.0</v>
      </c>
      <c r="B4" s="43">
        <v>100.0</v>
      </c>
      <c r="C4" s="43" t="s">
        <v>92</v>
      </c>
      <c r="D4" s="43" t="s">
        <v>90</v>
      </c>
      <c r="E4" s="44">
        <v>1.0</v>
      </c>
      <c r="F4" s="44">
        <v>1.0</v>
      </c>
      <c r="G4" s="38"/>
      <c r="H4" s="38"/>
      <c r="I4" s="43"/>
      <c r="J4" s="43"/>
      <c r="K4" s="43"/>
      <c r="L4" s="43"/>
      <c r="M4" s="43"/>
      <c r="N4" s="43"/>
      <c r="O4" s="43"/>
      <c r="P4" s="43">
        <v>1.0</v>
      </c>
      <c r="Q4" s="43">
        <v>1.0</v>
      </c>
      <c r="R4" s="43">
        <v>1.0</v>
      </c>
      <c r="S4" s="43">
        <v>1.0</v>
      </c>
      <c r="T4" s="43">
        <v>1.0</v>
      </c>
      <c r="U4" s="43">
        <v>1.0</v>
      </c>
      <c r="V4" s="43">
        <v>1.0</v>
      </c>
      <c r="W4" s="43">
        <v>1.0</v>
      </c>
      <c r="X4" s="43">
        <v>1.0</v>
      </c>
      <c r="Y4" s="43">
        <v>1.0</v>
      </c>
      <c r="Z4" s="43">
        <v>1.0</v>
      </c>
      <c r="AA4" s="43">
        <v>1.0</v>
      </c>
      <c r="AB4" s="43">
        <v>1.0</v>
      </c>
      <c r="AC4" s="43">
        <v>1.0</v>
      </c>
      <c r="AD4" s="43">
        <v>1.0</v>
      </c>
      <c r="AE4" s="43">
        <v>1.0</v>
      </c>
      <c r="AF4" s="43">
        <v>1.0</v>
      </c>
      <c r="AG4" s="43">
        <v>1.0</v>
      </c>
      <c r="AH4" s="43">
        <v>1.0</v>
      </c>
      <c r="AI4" s="43">
        <v>1.0</v>
      </c>
      <c r="AJ4" s="43">
        <v>1.0</v>
      </c>
      <c r="AK4" s="43">
        <v>1.0</v>
      </c>
      <c r="AL4" s="43">
        <v>1.0</v>
      </c>
      <c r="AM4" s="43">
        <v>1.0</v>
      </c>
      <c r="AN4" s="43">
        <v>1.0</v>
      </c>
      <c r="AO4" s="43">
        <v>1.0</v>
      </c>
      <c r="AP4" s="43">
        <v>1.0</v>
      </c>
      <c r="AQ4" s="43">
        <v>1.0</v>
      </c>
      <c r="AR4" s="43">
        <v>1.0</v>
      </c>
      <c r="AS4" s="42">
        <v>0.0</v>
      </c>
      <c r="AT4" s="42">
        <v>0.0</v>
      </c>
      <c r="AU4" s="43">
        <v>1.0</v>
      </c>
      <c r="AV4" s="43">
        <v>1.0</v>
      </c>
      <c r="AW4" s="43">
        <v>1.0</v>
      </c>
      <c r="AX4" s="38"/>
      <c r="AY4" s="38"/>
      <c r="AZ4" s="38"/>
      <c r="BA4" s="38"/>
      <c r="BB4" s="38"/>
      <c r="BC4" s="38"/>
      <c r="BD4" s="38"/>
      <c r="BE4" s="38"/>
      <c r="BF4" s="38"/>
      <c r="BG4" s="38"/>
      <c r="BH4" s="38"/>
      <c r="BI4" s="38"/>
      <c r="BJ4" s="38"/>
      <c r="BK4" s="38"/>
      <c r="BL4" s="38"/>
    </row>
    <row r="5">
      <c r="A5" s="43">
        <v>3.0</v>
      </c>
      <c r="B5" s="43">
        <v>100.0</v>
      </c>
      <c r="C5" s="43" t="s">
        <v>95</v>
      </c>
      <c r="D5" s="43" t="s">
        <v>90</v>
      </c>
      <c r="E5" s="44">
        <v>1.0</v>
      </c>
      <c r="F5" s="44">
        <v>1.0</v>
      </c>
      <c r="G5" s="38"/>
      <c r="H5" s="38"/>
      <c r="I5" s="43"/>
      <c r="J5" s="43"/>
      <c r="K5" s="43"/>
      <c r="L5" s="43"/>
      <c r="M5" s="43"/>
      <c r="N5" s="43"/>
      <c r="O5" s="43"/>
      <c r="P5" s="43">
        <v>1.0</v>
      </c>
      <c r="Q5" s="43">
        <v>1.0</v>
      </c>
      <c r="R5" s="43">
        <v>1.0</v>
      </c>
      <c r="S5" s="43">
        <v>1.0</v>
      </c>
      <c r="T5" s="43">
        <v>1.0</v>
      </c>
      <c r="U5" s="43">
        <v>1.0</v>
      </c>
      <c r="V5" s="43">
        <v>1.0</v>
      </c>
      <c r="W5" s="43">
        <v>1.0</v>
      </c>
      <c r="X5" s="43">
        <v>1.0</v>
      </c>
      <c r="Y5" s="43">
        <v>1.0</v>
      </c>
      <c r="Z5" s="43">
        <v>1.0</v>
      </c>
      <c r="AA5" s="43">
        <v>1.0</v>
      </c>
      <c r="AB5" s="43">
        <v>1.0</v>
      </c>
      <c r="AC5" s="43">
        <v>1.0</v>
      </c>
      <c r="AD5" s="43">
        <v>1.0</v>
      </c>
      <c r="AE5" s="43">
        <v>1.0</v>
      </c>
      <c r="AF5" s="43">
        <v>1.0</v>
      </c>
      <c r="AG5" s="43">
        <v>1.0</v>
      </c>
      <c r="AH5" s="43">
        <v>1.0</v>
      </c>
      <c r="AI5" s="43">
        <v>1.0</v>
      </c>
      <c r="AJ5" s="43">
        <v>1.0</v>
      </c>
      <c r="AK5" s="43">
        <v>1.0</v>
      </c>
      <c r="AL5" s="43">
        <v>1.0</v>
      </c>
      <c r="AM5" s="43">
        <v>1.0</v>
      </c>
      <c r="AN5" s="43">
        <v>1.0</v>
      </c>
      <c r="AO5" s="43">
        <v>1.0</v>
      </c>
      <c r="AP5" s="43">
        <v>1.0</v>
      </c>
      <c r="AQ5" s="43">
        <v>1.0</v>
      </c>
      <c r="AR5" s="43">
        <v>1.0</v>
      </c>
      <c r="AS5" s="42">
        <v>0.0</v>
      </c>
      <c r="AT5" s="42">
        <v>0.0</v>
      </c>
      <c r="AU5" s="43">
        <v>1.0</v>
      </c>
      <c r="AV5" s="43">
        <v>1.0</v>
      </c>
      <c r="AW5" s="43">
        <v>1.0</v>
      </c>
      <c r="AX5" s="38"/>
      <c r="AY5" s="38"/>
      <c r="AZ5" s="38"/>
      <c r="BA5" s="38"/>
      <c r="BB5" s="38"/>
      <c r="BC5" s="38"/>
      <c r="BD5" s="38"/>
      <c r="BE5" s="38"/>
      <c r="BF5" s="38"/>
      <c r="BG5" s="38"/>
      <c r="BH5" s="38"/>
      <c r="BI5" s="38"/>
      <c r="BJ5" s="38"/>
      <c r="BK5" s="38"/>
      <c r="BL5" s="38"/>
    </row>
    <row r="6">
      <c r="A6" s="43">
        <v>4.0</v>
      </c>
      <c r="B6" s="43">
        <v>100.0</v>
      </c>
      <c r="C6" s="43" t="s">
        <v>95</v>
      </c>
      <c r="D6" s="43" t="s">
        <v>90</v>
      </c>
      <c r="E6" s="44">
        <v>1.0</v>
      </c>
      <c r="F6" s="44">
        <v>1.0</v>
      </c>
      <c r="G6" s="38"/>
      <c r="H6" s="38"/>
      <c r="I6" s="43"/>
      <c r="J6" s="43"/>
      <c r="K6" s="43"/>
      <c r="L6" s="43"/>
      <c r="M6" s="43"/>
      <c r="N6" s="43"/>
      <c r="O6" s="43"/>
      <c r="P6" s="43">
        <v>1.0</v>
      </c>
      <c r="Q6" s="43">
        <v>1.0</v>
      </c>
      <c r="R6" s="43">
        <v>1.0</v>
      </c>
      <c r="S6" s="43">
        <v>1.0</v>
      </c>
      <c r="T6" s="43">
        <v>1.0</v>
      </c>
      <c r="U6" s="43">
        <v>1.0</v>
      </c>
      <c r="V6" s="43">
        <v>1.0</v>
      </c>
      <c r="W6" s="43">
        <v>1.0</v>
      </c>
      <c r="X6" s="43">
        <v>1.0</v>
      </c>
      <c r="Y6" s="43">
        <v>1.0</v>
      </c>
      <c r="Z6" s="43">
        <v>1.0</v>
      </c>
      <c r="AA6" s="43">
        <v>1.0</v>
      </c>
      <c r="AB6" s="43">
        <v>1.0</v>
      </c>
      <c r="AC6" s="43">
        <v>1.0</v>
      </c>
      <c r="AD6" s="43">
        <v>1.0</v>
      </c>
      <c r="AE6" s="43">
        <v>1.0</v>
      </c>
      <c r="AF6" s="43">
        <v>1.0</v>
      </c>
      <c r="AG6" s="43">
        <v>1.0</v>
      </c>
      <c r="AH6" s="43">
        <v>1.0</v>
      </c>
      <c r="AI6" s="43">
        <v>1.0</v>
      </c>
      <c r="AJ6" s="43">
        <v>1.0</v>
      </c>
      <c r="AK6" s="43">
        <v>1.0</v>
      </c>
      <c r="AL6" s="43">
        <v>1.0</v>
      </c>
      <c r="AM6" s="43">
        <v>1.0</v>
      </c>
      <c r="AN6" s="43">
        <v>1.0</v>
      </c>
      <c r="AO6" s="43">
        <v>1.0</v>
      </c>
      <c r="AP6" s="43">
        <v>1.0</v>
      </c>
      <c r="AQ6" s="43">
        <v>1.0</v>
      </c>
      <c r="AR6" s="43">
        <v>1.0</v>
      </c>
      <c r="AS6" s="42">
        <v>0.0</v>
      </c>
      <c r="AT6" s="42">
        <v>0.0</v>
      </c>
      <c r="AU6" s="43">
        <v>1.0</v>
      </c>
      <c r="AV6" s="43">
        <v>1.0</v>
      </c>
      <c r="AW6" s="43">
        <v>1.0</v>
      </c>
      <c r="AX6" s="38"/>
      <c r="AY6" s="38"/>
      <c r="AZ6" s="38"/>
      <c r="BA6" s="38"/>
      <c r="BB6" s="38"/>
      <c r="BC6" s="38"/>
      <c r="BD6" s="38"/>
      <c r="BE6" s="38"/>
      <c r="BF6" s="38"/>
      <c r="BG6" s="38"/>
      <c r="BH6" s="38"/>
      <c r="BI6" s="38"/>
      <c r="BJ6" s="38"/>
      <c r="BK6" s="38"/>
      <c r="BL6" s="38"/>
    </row>
    <row r="7">
      <c r="A7" s="43">
        <v>5.0</v>
      </c>
      <c r="B7" s="43">
        <v>100.0</v>
      </c>
      <c r="C7" s="43" t="s">
        <v>54</v>
      </c>
      <c r="D7" s="43" t="s">
        <v>102</v>
      </c>
      <c r="E7" s="44">
        <v>1.0</v>
      </c>
      <c r="F7" s="44">
        <v>1.0</v>
      </c>
      <c r="G7" s="38"/>
      <c r="H7" s="38"/>
      <c r="I7" s="43"/>
      <c r="J7" s="43"/>
      <c r="K7" s="43"/>
      <c r="L7" s="43"/>
      <c r="M7" s="43"/>
      <c r="N7" s="43"/>
      <c r="O7" s="43"/>
      <c r="P7" s="43">
        <v>1.0</v>
      </c>
      <c r="Q7" s="43">
        <v>1.0</v>
      </c>
      <c r="R7" s="43">
        <v>1.0</v>
      </c>
      <c r="S7" s="43">
        <v>1.0</v>
      </c>
      <c r="T7" s="43">
        <v>1.0</v>
      </c>
      <c r="U7" s="43">
        <v>1.0</v>
      </c>
      <c r="V7" s="43">
        <v>1.0</v>
      </c>
      <c r="W7" s="43">
        <v>1.0</v>
      </c>
      <c r="X7" s="43">
        <v>1.0</v>
      </c>
      <c r="Y7" s="43">
        <v>1.0</v>
      </c>
      <c r="Z7" s="43">
        <v>1.0</v>
      </c>
      <c r="AA7" s="43">
        <v>1.0</v>
      </c>
      <c r="AB7" s="43">
        <v>1.0</v>
      </c>
      <c r="AC7" s="43">
        <v>1.0</v>
      </c>
      <c r="AD7" s="43">
        <v>1.0</v>
      </c>
      <c r="AE7" s="43">
        <v>1.0</v>
      </c>
      <c r="AF7" s="43">
        <v>1.0</v>
      </c>
      <c r="AG7" s="43">
        <v>1.0</v>
      </c>
      <c r="AH7" s="43">
        <v>1.0</v>
      </c>
      <c r="AI7" s="43">
        <v>1.0</v>
      </c>
      <c r="AJ7" s="43">
        <v>1.0</v>
      </c>
      <c r="AK7" s="43">
        <v>1.0</v>
      </c>
      <c r="AL7" s="43">
        <v>1.0</v>
      </c>
      <c r="AM7" s="43">
        <v>1.0</v>
      </c>
      <c r="AN7" s="43">
        <v>1.0</v>
      </c>
      <c r="AO7" s="43">
        <v>1.0</v>
      </c>
      <c r="AP7" s="43">
        <v>1.0</v>
      </c>
      <c r="AQ7" s="43">
        <v>1.0</v>
      </c>
      <c r="AR7" s="43">
        <v>1.0</v>
      </c>
      <c r="AS7" s="42">
        <v>0.0</v>
      </c>
      <c r="AT7" s="42">
        <v>0.0</v>
      </c>
      <c r="AU7" s="43">
        <v>1.0</v>
      </c>
      <c r="AV7" s="43">
        <v>1.0</v>
      </c>
      <c r="AW7" s="43">
        <v>1.0</v>
      </c>
      <c r="AX7" s="38"/>
      <c r="AY7" s="38"/>
      <c r="AZ7" s="38"/>
      <c r="BA7" s="38"/>
      <c r="BB7" s="38"/>
      <c r="BC7" s="38"/>
      <c r="BD7" s="38"/>
      <c r="BE7" s="38"/>
      <c r="BF7" s="38"/>
      <c r="BG7" s="38"/>
      <c r="BH7" s="38"/>
      <c r="BI7" s="38"/>
      <c r="BJ7" s="38"/>
      <c r="BK7" s="38"/>
      <c r="BL7" s="38"/>
    </row>
    <row r="8">
      <c r="A8" s="43">
        <v>6.0</v>
      </c>
      <c r="B8" s="43">
        <v>100.0</v>
      </c>
      <c r="C8" s="43" t="s">
        <v>92</v>
      </c>
      <c r="D8" s="43" t="s">
        <v>102</v>
      </c>
      <c r="E8" s="44">
        <v>1.0</v>
      </c>
      <c r="F8" s="44">
        <v>1.0</v>
      </c>
      <c r="G8" s="38"/>
      <c r="H8" s="38"/>
      <c r="I8" s="43"/>
      <c r="J8" s="43"/>
      <c r="K8" s="43"/>
      <c r="L8" s="43"/>
      <c r="M8" s="43"/>
      <c r="N8" s="43"/>
      <c r="O8" s="43"/>
      <c r="P8" s="43">
        <v>1.0</v>
      </c>
      <c r="Q8" s="43">
        <v>1.0</v>
      </c>
      <c r="R8" s="43">
        <v>1.0</v>
      </c>
      <c r="S8" s="43">
        <v>1.0</v>
      </c>
      <c r="T8" s="43">
        <v>1.0</v>
      </c>
      <c r="U8" s="43">
        <v>1.0</v>
      </c>
      <c r="V8" s="43">
        <v>1.0</v>
      </c>
      <c r="W8" s="43">
        <v>1.0</v>
      </c>
      <c r="X8" s="43">
        <v>1.0</v>
      </c>
      <c r="Y8" s="43">
        <v>1.0</v>
      </c>
      <c r="Z8" s="43">
        <v>1.0</v>
      </c>
      <c r="AA8" s="43">
        <v>1.0</v>
      </c>
      <c r="AB8" s="43">
        <v>1.0</v>
      </c>
      <c r="AC8" s="43">
        <v>1.0</v>
      </c>
      <c r="AD8" s="43">
        <v>1.0</v>
      </c>
      <c r="AE8" s="43">
        <v>1.0</v>
      </c>
      <c r="AF8" s="43">
        <v>1.0</v>
      </c>
      <c r="AG8" s="43">
        <v>1.0</v>
      </c>
      <c r="AH8" s="43">
        <v>1.0</v>
      </c>
      <c r="AI8" s="43">
        <v>1.0</v>
      </c>
      <c r="AJ8" s="43">
        <v>1.0</v>
      </c>
      <c r="AK8" s="43">
        <v>1.0</v>
      </c>
      <c r="AL8" s="43">
        <v>1.0</v>
      </c>
      <c r="AM8" s="43">
        <v>1.0</v>
      </c>
      <c r="AN8" s="43">
        <v>1.0</v>
      </c>
      <c r="AO8" s="43">
        <v>1.0</v>
      </c>
      <c r="AP8" s="43">
        <v>1.0</v>
      </c>
      <c r="AQ8" s="43">
        <v>1.0</v>
      </c>
      <c r="AR8" s="43">
        <v>1.0</v>
      </c>
      <c r="AS8" s="42">
        <v>0.0</v>
      </c>
      <c r="AT8" s="42">
        <v>0.0</v>
      </c>
      <c r="AU8" s="43">
        <v>1.0</v>
      </c>
      <c r="AV8" s="43">
        <v>1.0</v>
      </c>
      <c r="AW8" s="43">
        <v>1.0</v>
      </c>
      <c r="AX8" s="38"/>
      <c r="AY8" s="38"/>
      <c r="AZ8" s="38"/>
      <c r="BA8" s="38"/>
      <c r="BB8" s="38"/>
      <c r="BC8" s="38"/>
      <c r="BD8" s="38"/>
      <c r="BE8" s="38"/>
      <c r="BF8" s="38"/>
      <c r="BG8" s="38"/>
      <c r="BH8" s="38"/>
      <c r="BI8" s="38"/>
      <c r="BJ8" s="38"/>
      <c r="BK8" s="38"/>
      <c r="BL8" s="38"/>
    </row>
    <row r="9">
      <c r="A9" s="43">
        <v>7.0</v>
      </c>
      <c r="B9" s="43">
        <v>100.0</v>
      </c>
      <c r="C9" s="43" t="s">
        <v>95</v>
      </c>
      <c r="D9" s="43" t="s">
        <v>102</v>
      </c>
      <c r="E9" s="44">
        <v>1.0</v>
      </c>
      <c r="F9" s="44">
        <v>1.0</v>
      </c>
      <c r="G9" s="38"/>
      <c r="H9" s="38"/>
      <c r="I9" s="43"/>
      <c r="J9" s="43"/>
      <c r="K9" s="43"/>
      <c r="L9" s="43"/>
      <c r="M9" s="43"/>
      <c r="N9" s="43"/>
      <c r="O9" s="43"/>
      <c r="P9" s="43">
        <v>1.0</v>
      </c>
      <c r="Q9" s="43">
        <v>1.0</v>
      </c>
      <c r="R9" s="43">
        <v>1.0</v>
      </c>
      <c r="S9" s="43">
        <v>1.0</v>
      </c>
      <c r="T9" s="43">
        <v>1.0</v>
      </c>
      <c r="U9" s="43">
        <v>1.0</v>
      </c>
      <c r="V9" s="43">
        <v>1.0</v>
      </c>
      <c r="W9" s="43">
        <v>1.0</v>
      </c>
      <c r="X9" s="43">
        <v>1.0</v>
      </c>
      <c r="Y9" s="43">
        <v>1.0</v>
      </c>
      <c r="Z9" s="43">
        <v>1.0</v>
      </c>
      <c r="AA9" s="43">
        <v>1.0</v>
      </c>
      <c r="AB9" s="43">
        <v>1.0</v>
      </c>
      <c r="AC9" s="43">
        <v>1.0</v>
      </c>
      <c r="AD9" s="43">
        <v>1.0</v>
      </c>
      <c r="AE9" s="43">
        <v>1.0</v>
      </c>
      <c r="AF9" s="43">
        <v>1.0</v>
      </c>
      <c r="AG9" s="43">
        <v>1.0</v>
      </c>
      <c r="AH9" s="43">
        <v>1.0</v>
      </c>
      <c r="AI9" s="43">
        <v>1.0</v>
      </c>
      <c r="AJ9" s="43">
        <v>1.0</v>
      </c>
      <c r="AK9" s="43">
        <v>1.0</v>
      </c>
      <c r="AL9" s="43">
        <v>1.0</v>
      </c>
      <c r="AM9" s="43">
        <v>1.0</v>
      </c>
      <c r="AN9" s="43">
        <v>1.0</v>
      </c>
      <c r="AO9" s="43">
        <v>1.0</v>
      </c>
      <c r="AP9" s="43">
        <v>1.0</v>
      </c>
      <c r="AQ9" s="43">
        <v>1.0</v>
      </c>
      <c r="AR9" s="43">
        <v>1.0</v>
      </c>
      <c r="AS9" s="42">
        <v>0.0</v>
      </c>
      <c r="AT9" s="42">
        <v>0.0</v>
      </c>
      <c r="AU9" s="43">
        <v>1.0</v>
      </c>
      <c r="AV9" s="43">
        <v>1.0</v>
      </c>
      <c r="AW9" s="43">
        <v>1.0</v>
      </c>
      <c r="AX9" s="38"/>
      <c r="AY9" s="38"/>
      <c r="AZ9" s="38"/>
      <c r="BA9" s="38"/>
      <c r="BB9" s="38"/>
      <c r="BC9" s="38"/>
      <c r="BD9" s="38"/>
      <c r="BE9" s="38"/>
      <c r="BF9" s="38"/>
      <c r="BG9" s="38"/>
      <c r="BH9" s="38"/>
      <c r="BI9" s="38"/>
      <c r="BJ9" s="38"/>
      <c r="BK9" s="38"/>
      <c r="BL9" s="38"/>
    </row>
    <row r="10">
      <c r="A10" s="43">
        <v>8.0</v>
      </c>
      <c r="B10" s="43">
        <v>100.0</v>
      </c>
      <c r="C10" s="43" t="s">
        <v>95</v>
      </c>
      <c r="D10" s="43" t="s">
        <v>102</v>
      </c>
      <c r="E10" s="44">
        <v>1.0</v>
      </c>
      <c r="F10" s="44">
        <v>1.0</v>
      </c>
      <c r="G10" s="38"/>
      <c r="H10" s="38"/>
      <c r="I10" s="43"/>
      <c r="J10" s="43"/>
      <c r="K10" s="43"/>
      <c r="L10" s="43"/>
      <c r="M10" s="43"/>
      <c r="N10" s="43"/>
      <c r="O10" s="43"/>
      <c r="P10" s="43">
        <v>1.0</v>
      </c>
      <c r="Q10" s="43">
        <v>1.0</v>
      </c>
      <c r="R10" s="43">
        <v>1.0</v>
      </c>
      <c r="S10" s="43">
        <v>1.0</v>
      </c>
      <c r="T10" s="43">
        <v>1.0</v>
      </c>
      <c r="U10" s="43">
        <v>1.0</v>
      </c>
      <c r="V10" s="43">
        <v>1.0</v>
      </c>
      <c r="W10" s="43">
        <v>1.0</v>
      </c>
      <c r="X10" s="43">
        <v>1.0</v>
      </c>
      <c r="Y10" s="43">
        <v>1.0</v>
      </c>
      <c r="Z10" s="43">
        <v>1.0</v>
      </c>
      <c r="AA10" s="43">
        <v>1.0</v>
      </c>
      <c r="AB10" s="43">
        <v>1.0</v>
      </c>
      <c r="AC10" s="43">
        <v>1.0</v>
      </c>
      <c r="AD10" s="43">
        <v>1.0</v>
      </c>
      <c r="AE10" s="43">
        <v>1.0</v>
      </c>
      <c r="AF10" s="43">
        <v>1.0</v>
      </c>
      <c r="AG10" s="43">
        <v>1.0</v>
      </c>
      <c r="AH10" s="43">
        <v>1.0</v>
      </c>
      <c r="AI10" s="43">
        <v>1.0</v>
      </c>
      <c r="AJ10" s="43">
        <v>1.0</v>
      </c>
      <c r="AK10" s="43">
        <v>1.0</v>
      </c>
      <c r="AL10" s="43">
        <v>1.0</v>
      </c>
      <c r="AM10" s="43">
        <v>1.0</v>
      </c>
      <c r="AN10" s="43">
        <v>1.0</v>
      </c>
      <c r="AO10" s="43">
        <v>1.0</v>
      </c>
      <c r="AP10" s="43">
        <v>1.0</v>
      </c>
      <c r="AQ10" s="43">
        <v>1.0</v>
      </c>
      <c r="AR10" s="43">
        <v>1.0</v>
      </c>
      <c r="AS10" s="42">
        <v>0.0</v>
      </c>
      <c r="AT10" s="42">
        <v>0.0</v>
      </c>
      <c r="AU10" s="43">
        <v>1.0</v>
      </c>
      <c r="AV10" s="43">
        <v>1.0</v>
      </c>
      <c r="AW10" s="43">
        <v>1.0</v>
      </c>
      <c r="AX10" s="38"/>
      <c r="AY10" s="38"/>
      <c r="AZ10" s="38"/>
      <c r="BA10" s="38"/>
      <c r="BB10" s="38"/>
      <c r="BC10" s="38"/>
      <c r="BD10" s="38"/>
      <c r="BE10" s="38"/>
      <c r="BF10" s="38"/>
      <c r="BG10" s="38"/>
      <c r="BH10" s="38"/>
      <c r="BI10" s="38"/>
      <c r="BJ10" s="38"/>
      <c r="BK10" s="38"/>
      <c r="BL10" s="38"/>
    </row>
    <row r="11">
      <c r="A11" s="43">
        <v>9.0</v>
      </c>
      <c r="B11" s="43">
        <v>100.0</v>
      </c>
      <c r="C11" s="43" t="s">
        <v>54</v>
      </c>
      <c r="D11" s="43" t="s">
        <v>111</v>
      </c>
      <c r="E11" s="44">
        <v>1.0</v>
      </c>
      <c r="F11" s="44">
        <v>0.0</v>
      </c>
      <c r="G11" s="38"/>
      <c r="H11" s="38"/>
      <c r="I11" s="43"/>
      <c r="J11" s="43"/>
      <c r="K11" s="43"/>
      <c r="L11" s="43"/>
      <c r="M11" s="43"/>
      <c r="N11" s="43"/>
      <c r="O11" s="43"/>
      <c r="P11" s="43">
        <v>1.0</v>
      </c>
      <c r="Q11" s="43">
        <v>1.0</v>
      </c>
      <c r="R11" s="43">
        <v>1.0</v>
      </c>
      <c r="S11" s="43">
        <v>1.0</v>
      </c>
      <c r="T11" s="43">
        <v>1.0</v>
      </c>
      <c r="U11" s="43">
        <v>1.0</v>
      </c>
      <c r="V11" s="43">
        <v>1.0</v>
      </c>
      <c r="W11" s="43">
        <v>1.0</v>
      </c>
      <c r="X11" s="43">
        <v>1.0</v>
      </c>
      <c r="Y11" s="43">
        <v>1.0</v>
      </c>
      <c r="Z11" s="43">
        <v>1.0</v>
      </c>
      <c r="AA11" s="43">
        <v>1.0</v>
      </c>
      <c r="AB11" s="43">
        <v>1.0</v>
      </c>
      <c r="AC11" s="43">
        <v>1.0</v>
      </c>
      <c r="AD11" s="43">
        <v>1.0</v>
      </c>
      <c r="AE11" s="43">
        <v>1.0</v>
      </c>
      <c r="AF11" s="43">
        <v>1.0</v>
      </c>
      <c r="AG11" s="43">
        <v>1.0</v>
      </c>
      <c r="AH11" s="43">
        <v>1.0</v>
      </c>
      <c r="AI11" s="43">
        <v>1.0</v>
      </c>
      <c r="AJ11" s="43">
        <v>1.0</v>
      </c>
      <c r="AK11" s="43">
        <v>1.0</v>
      </c>
      <c r="AL11" s="43">
        <v>1.0</v>
      </c>
      <c r="AM11" s="43">
        <v>1.0</v>
      </c>
      <c r="AN11" s="43">
        <v>1.0</v>
      </c>
      <c r="AO11" s="43">
        <v>1.0</v>
      </c>
      <c r="AP11" s="43">
        <v>1.0</v>
      </c>
      <c r="AQ11" s="43">
        <v>1.0</v>
      </c>
      <c r="AR11" s="43">
        <v>1.0</v>
      </c>
      <c r="AS11" s="42">
        <v>0.0</v>
      </c>
      <c r="AT11" s="42">
        <v>0.0</v>
      </c>
      <c r="AU11" s="43">
        <v>1.0</v>
      </c>
      <c r="AV11" s="43">
        <v>1.0</v>
      </c>
      <c r="AW11" s="43">
        <v>1.0</v>
      </c>
      <c r="AX11" s="38"/>
      <c r="AY11" s="38"/>
      <c r="AZ11" s="38"/>
      <c r="BA11" s="38"/>
      <c r="BB11" s="38"/>
      <c r="BC11" s="38"/>
      <c r="BD11" s="38"/>
      <c r="BE11" s="38"/>
      <c r="BF11" s="38"/>
      <c r="BG11" s="38"/>
      <c r="BH11" s="38"/>
      <c r="BI11" s="38"/>
      <c r="BJ11" s="38"/>
      <c r="BK11" s="38"/>
      <c r="BL11" s="38"/>
    </row>
    <row r="12">
      <c r="A12" s="43">
        <v>10.0</v>
      </c>
      <c r="B12" s="43">
        <v>100.0</v>
      </c>
      <c r="C12" s="43" t="s">
        <v>92</v>
      </c>
      <c r="D12" s="43" t="s">
        <v>111</v>
      </c>
      <c r="E12" s="44">
        <v>1.0</v>
      </c>
      <c r="F12" s="44">
        <v>0.0</v>
      </c>
      <c r="G12" s="38"/>
      <c r="H12" s="38"/>
      <c r="I12" s="43"/>
      <c r="J12" s="43"/>
      <c r="K12" s="43"/>
      <c r="L12" s="43"/>
      <c r="M12" s="43"/>
      <c r="N12" s="43"/>
      <c r="O12" s="43"/>
      <c r="P12" s="43">
        <v>1.0</v>
      </c>
      <c r="Q12" s="43">
        <v>1.0</v>
      </c>
      <c r="R12" s="43">
        <v>1.0</v>
      </c>
      <c r="S12" s="43">
        <v>1.0</v>
      </c>
      <c r="T12" s="43">
        <v>1.0</v>
      </c>
      <c r="U12" s="43">
        <v>1.0</v>
      </c>
      <c r="V12" s="43">
        <v>1.0</v>
      </c>
      <c r="W12" s="43">
        <v>1.0</v>
      </c>
      <c r="X12" s="43">
        <v>1.0</v>
      </c>
      <c r="Y12" s="43">
        <v>1.0</v>
      </c>
      <c r="Z12" s="43">
        <v>1.0</v>
      </c>
      <c r="AA12" s="43">
        <v>1.0</v>
      </c>
      <c r="AB12" s="43">
        <v>1.0</v>
      </c>
      <c r="AC12" s="43">
        <v>1.0</v>
      </c>
      <c r="AD12" s="43">
        <v>1.0</v>
      </c>
      <c r="AE12" s="43">
        <v>1.0</v>
      </c>
      <c r="AF12" s="43">
        <v>1.0</v>
      </c>
      <c r="AG12" s="43">
        <v>1.0</v>
      </c>
      <c r="AH12" s="43">
        <v>1.0</v>
      </c>
      <c r="AI12" s="43">
        <v>1.0</v>
      </c>
      <c r="AJ12" s="43">
        <v>1.0</v>
      </c>
      <c r="AK12" s="43">
        <v>1.0</v>
      </c>
      <c r="AL12" s="43">
        <v>1.0</v>
      </c>
      <c r="AM12" s="43">
        <v>1.0</v>
      </c>
      <c r="AN12" s="43">
        <v>1.0</v>
      </c>
      <c r="AO12" s="43">
        <v>1.0</v>
      </c>
      <c r="AP12" s="43">
        <v>1.0</v>
      </c>
      <c r="AQ12" s="43">
        <v>1.0</v>
      </c>
      <c r="AR12" s="43">
        <v>1.0</v>
      </c>
      <c r="AS12" s="42">
        <v>0.0</v>
      </c>
      <c r="AT12" s="42">
        <v>0.0</v>
      </c>
      <c r="AU12" s="43">
        <v>1.0</v>
      </c>
      <c r="AV12" s="43">
        <v>1.0</v>
      </c>
      <c r="AW12" s="43">
        <v>1.0</v>
      </c>
      <c r="AX12" s="38"/>
      <c r="AY12" s="38"/>
      <c r="AZ12" s="38"/>
      <c r="BA12" s="38"/>
      <c r="BB12" s="38"/>
      <c r="BC12" s="38"/>
      <c r="BD12" s="38"/>
      <c r="BE12" s="38"/>
      <c r="BF12" s="38"/>
      <c r="BG12" s="38"/>
      <c r="BH12" s="38"/>
      <c r="BI12" s="38"/>
      <c r="BJ12" s="38"/>
      <c r="BK12" s="38"/>
      <c r="BL12" s="38"/>
    </row>
    <row r="13">
      <c r="A13" s="43">
        <v>11.0</v>
      </c>
      <c r="B13" s="43">
        <v>100.0</v>
      </c>
      <c r="C13" s="43" t="s">
        <v>95</v>
      </c>
      <c r="D13" s="43" t="s">
        <v>111</v>
      </c>
      <c r="E13" s="44">
        <v>1.0</v>
      </c>
      <c r="F13" s="44">
        <v>0.0</v>
      </c>
      <c r="G13" s="38"/>
      <c r="H13" s="38"/>
      <c r="I13" s="43"/>
      <c r="J13" s="43"/>
      <c r="K13" s="43"/>
      <c r="L13" s="43"/>
      <c r="M13" s="43"/>
      <c r="N13" s="43"/>
      <c r="O13" s="43"/>
      <c r="P13" s="43">
        <v>1.0</v>
      </c>
      <c r="Q13" s="43">
        <v>1.0</v>
      </c>
      <c r="R13" s="43">
        <v>1.0</v>
      </c>
      <c r="S13" s="43">
        <v>1.0</v>
      </c>
      <c r="T13" s="43">
        <v>1.0</v>
      </c>
      <c r="U13" s="43">
        <v>1.0</v>
      </c>
      <c r="V13" s="43">
        <v>1.0</v>
      </c>
      <c r="W13" s="43">
        <v>1.0</v>
      </c>
      <c r="X13" s="43">
        <v>1.0</v>
      </c>
      <c r="Y13" s="43">
        <v>1.0</v>
      </c>
      <c r="Z13" s="43">
        <v>1.0</v>
      </c>
      <c r="AA13" s="43">
        <v>1.0</v>
      </c>
      <c r="AB13" s="43">
        <v>1.0</v>
      </c>
      <c r="AC13" s="43">
        <v>1.0</v>
      </c>
      <c r="AD13" s="43">
        <v>1.0</v>
      </c>
      <c r="AE13" s="43">
        <v>1.0</v>
      </c>
      <c r="AF13" s="43">
        <v>1.0</v>
      </c>
      <c r="AG13" s="43">
        <v>1.0</v>
      </c>
      <c r="AH13" s="43">
        <v>1.0</v>
      </c>
      <c r="AI13" s="43">
        <v>1.0</v>
      </c>
      <c r="AJ13" s="43">
        <v>1.0</v>
      </c>
      <c r="AK13" s="43">
        <v>1.0</v>
      </c>
      <c r="AL13" s="43">
        <v>1.0</v>
      </c>
      <c r="AM13" s="43">
        <v>1.0</v>
      </c>
      <c r="AN13" s="43">
        <v>1.0</v>
      </c>
      <c r="AO13" s="43">
        <v>1.0</v>
      </c>
      <c r="AP13" s="43">
        <v>1.0</v>
      </c>
      <c r="AQ13" s="43">
        <v>1.0</v>
      </c>
      <c r="AR13" s="43">
        <v>1.0</v>
      </c>
      <c r="AS13" s="42">
        <v>0.0</v>
      </c>
      <c r="AT13" s="42">
        <v>0.0</v>
      </c>
      <c r="AU13" s="43">
        <v>1.0</v>
      </c>
      <c r="AV13" s="43">
        <v>1.0</v>
      </c>
      <c r="AW13" s="43">
        <v>1.0</v>
      </c>
      <c r="AX13" s="38"/>
      <c r="AY13" s="38"/>
      <c r="AZ13" s="38"/>
      <c r="BA13" s="38"/>
      <c r="BB13" s="38"/>
      <c r="BC13" s="38"/>
      <c r="BD13" s="38"/>
      <c r="BE13" s="38"/>
      <c r="BF13" s="38"/>
      <c r="BG13" s="38"/>
      <c r="BH13" s="38"/>
      <c r="BI13" s="38"/>
      <c r="BJ13" s="38"/>
      <c r="BK13" s="38"/>
      <c r="BL13" s="38"/>
    </row>
    <row r="14">
      <c r="A14" s="43">
        <v>12.0</v>
      </c>
      <c r="B14" s="43">
        <v>100.0</v>
      </c>
      <c r="C14" s="43" t="s">
        <v>95</v>
      </c>
      <c r="D14" s="43" t="s">
        <v>111</v>
      </c>
      <c r="E14" s="44">
        <v>1.0</v>
      </c>
      <c r="F14" s="44">
        <v>0.0</v>
      </c>
      <c r="G14" s="38"/>
      <c r="H14" s="38"/>
      <c r="I14" s="43"/>
      <c r="J14" s="43"/>
      <c r="K14" s="43"/>
      <c r="L14" s="43"/>
      <c r="M14" s="43"/>
      <c r="N14" s="43"/>
      <c r="O14" s="43"/>
      <c r="P14" s="43">
        <v>1.0</v>
      </c>
      <c r="Q14" s="43">
        <v>1.0</v>
      </c>
      <c r="R14" s="43">
        <v>1.0</v>
      </c>
      <c r="S14" s="43">
        <v>1.0</v>
      </c>
      <c r="T14" s="43">
        <v>1.0</v>
      </c>
      <c r="U14" s="43">
        <v>1.0</v>
      </c>
      <c r="V14" s="43">
        <v>1.0</v>
      </c>
      <c r="W14" s="43">
        <v>1.0</v>
      </c>
      <c r="X14" s="43">
        <v>1.0</v>
      </c>
      <c r="Y14" s="43">
        <v>1.0</v>
      </c>
      <c r="Z14" s="43">
        <v>1.0</v>
      </c>
      <c r="AA14" s="43">
        <v>1.0</v>
      </c>
      <c r="AB14" s="43">
        <v>1.0</v>
      </c>
      <c r="AC14" s="43">
        <v>1.0</v>
      </c>
      <c r="AD14" s="43">
        <v>1.0</v>
      </c>
      <c r="AE14" s="43">
        <v>1.0</v>
      </c>
      <c r="AF14" s="43">
        <v>1.0</v>
      </c>
      <c r="AG14" s="43">
        <v>1.0</v>
      </c>
      <c r="AH14" s="43">
        <v>1.0</v>
      </c>
      <c r="AI14" s="43">
        <v>1.0</v>
      </c>
      <c r="AJ14" s="43">
        <v>1.0</v>
      </c>
      <c r="AK14" s="43">
        <v>1.0</v>
      </c>
      <c r="AL14" s="43">
        <v>1.0</v>
      </c>
      <c r="AM14" s="43">
        <v>1.0</v>
      </c>
      <c r="AN14" s="43">
        <v>1.0</v>
      </c>
      <c r="AO14" s="43">
        <v>1.0</v>
      </c>
      <c r="AP14" s="43">
        <v>1.0</v>
      </c>
      <c r="AQ14" s="43">
        <v>1.0</v>
      </c>
      <c r="AR14" s="43">
        <v>1.0</v>
      </c>
      <c r="AS14" s="42">
        <v>0.0</v>
      </c>
      <c r="AT14" s="42">
        <v>0.0</v>
      </c>
      <c r="AU14" s="43">
        <v>1.0</v>
      </c>
      <c r="AV14" s="43">
        <v>1.0</v>
      </c>
      <c r="AW14" s="43">
        <v>1.0</v>
      </c>
      <c r="AX14" s="38"/>
      <c r="AY14" s="38"/>
      <c r="AZ14" s="38"/>
      <c r="BA14" s="38"/>
      <c r="BB14" s="38"/>
      <c r="BC14" s="38"/>
      <c r="BD14" s="38"/>
      <c r="BE14" s="38"/>
      <c r="BF14" s="38"/>
      <c r="BG14" s="38"/>
      <c r="BH14" s="38"/>
      <c r="BI14" s="38"/>
      <c r="BJ14" s="38"/>
      <c r="BK14" s="38"/>
      <c r="BL14" s="38"/>
    </row>
    <row r="15">
      <c r="A15" s="43">
        <v>13.0</v>
      </c>
      <c r="B15" s="43">
        <v>300.0</v>
      </c>
      <c r="C15" s="39" t="s">
        <v>113</v>
      </c>
      <c r="D15" s="43" t="s">
        <v>90</v>
      </c>
      <c r="E15" s="44">
        <v>1.0</v>
      </c>
      <c r="F15" s="44">
        <v>1.0</v>
      </c>
      <c r="G15" s="38"/>
      <c r="H15" s="38"/>
      <c r="I15" s="43"/>
      <c r="J15" s="43"/>
      <c r="K15" s="43"/>
      <c r="L15" s="43"/>
      <c r="M15" s="43"/>
      <c r="N15" s="43"/>
      <c r="O15" s="43"/>
      <c r="P15" s="43">
        <v>1.0</v>
      </c>
      <c r="Q15" s="43">
        <v>1.0</v>
      </c>
      <c r="R15" s="43">
        <v>1.0</v>
      </c>
      <c r="S15" s="43">
        <v>1.0</v>
      </c>
      <c r="T15" s="43">
        <v>1.0</v>
      </c>
      <c r="U15" s="43">
        <v>1.0</v>
      </c>
      <c r="V15" s="43">
        <v>1.0</v>
      </c>
      <c r="W15" s="43">
        <v>1.0</v>
      </c>
      <c r="X15" s="43">
        <v>1.0</v>
      </c>
      <c r="Y15" s="43">
        <v>1.0</v>
      </c>
      <c r="Z15" s="43">
        <v>1.0</v>
      </c>
      <c r="AA15" s="43">
        <v>1.0</v>
      </c>
      <c r="AB15" s="43">
        <v>1.0</v>
      </c>
      <c r="AC15" s="43">
        <v>1.0</v>
      </c>
      <c r="AD15" s="43">
        <v>1.0</v>
      </c>
      <c r="AE15" s="43">
        <v>1.0</v>
      </c>
      <c r="AF15" s="43">
        <v>1.0</v>
      </c>
      <c r="AG15" s="43">
        <v>1.0</v>
      </c>
      <c r="AH15" s="43">
        <v>1.0</v>
      </c>
      <c r="AI15" s="43">
        <v>1.0</v>
      </c>
      <c r="AJ15" s="43">
        <v>1.0</v>
      </c>
      <c r="AK15" s="43">
        <v>1.0</v>
      </c>
      <c r="AL15" s="43">
        <v>1.0</v>
      </c>
      <c r="AM15" s="43">
        <v>1.0</v>
      </c>
      <c r="AN15" s="43">
        <v>1.0</v>
      </c>
      <c r="AO15" s="43">
        <v>1.0</v>
      </c>
      <c r="AP15" s="43">
        <v>1.0</v>
      </c>
      <c r="AQ15" s="43">
        <v>1.0</v>
      </c>
      <c r="AR15" s="43">
        <v>1.0</v>
      </c>
      <c r="AS15" s="42">
        <v>0.0</v>
      </c>
      <c r="AT15" s="42">
        <v>0.0</v>
      </c>
      <c r="AU15" s="43">
        <v>1.0</v>
      </c>
      <c r="AV15" s="43">
        <v>1.0</v>
      </c>
      <c r="AW15" s="43">
        <v>1.0</v>
      </c>
      <c r="AX15" s="38"/>
      <c r="AY15" s="38"/>
      <c r="AZ15" s="38"/>
      <c r="BA15" s="38"/>
      <c r="BB15" s="38"/>
      <c r="BC15" s="38"/>
      <c r="BD15" s="38"/>
      <c r="BE15" s="38"/>
      <c r="BF15" s="38"/>
      <c r="BG15" s="38"/>
      <c r="BH15" s="38"/>
      <c r="BI15" s="38"/>
      <c r="BJ15" s="38"/>
      <c r="BK15" s="38"/>
      <c r="BL15" s="38"/>
    </row>
    <row r="16">
      <c r="A16" s="43">
        <v>14.0</v>
      </c>
      <c r="B16" s="43">
        <v>300.0</v>
      </c>
      <c r="C16" s="43" t="s">
        <v>92</v>
      </c>
      <c r="D16" s="43" t="s">
        <v>90</v>
      </c>
      <c r="E16" s="44">
        <v>1.0</v>
      </c>
      <c r="F16" s="44">
        <v>1.0</v>
      </c>
      <c r="G16" s="38"/>
      <c r="H16" s="38"/>
      <c r="I16" s="43"/>
      <c r="J16" s="43"/>
      <c r="K16" s="43"/>
      <c r="L16" s="43"/>
      <c r="M16" s="43"/>
      <c r="N16" s="43"/>
      <c r="O16" s="43"/>
      <c r="P16" s="43">
        <v>1.0</v>
      </c>
      <c r="Q16" s="43">
        <v>1.0</v>
      </c>
      <c r="R16" s="43">
        <v>1.0</v>
      </c>
      <c r="S16" s="43">
        <v>1.0</v>
      </c>
      <c r="T16" s="43">
        <v>1.0</v>
      </c>
      <c r="U16" s="43">
        <v>1.0</v>
      </c>
      <c r="V16" s="43">
        <v>1.0</v>
      </c>
      <c r="W16" s="43">
        <v>1.0</v>
      </c>
      <c r="X16" s="43">
        <v>1.0</v>
      </c>
      <c r="Y16" s="43">
        <v>1.0</v>
      </c>
      <c r="Z16" s="43">
        <v>1.0</v>
      </c>
      <c r="AA16" s="43">
        <v>1.0</v>
      </c>
      <c r="AB16" s="43">
        <v>1.0</v>
      </c>
      <c r="AC16" s="43">
        <v>1.0</v>
      </c>
      <c r="AD16" s="43">
        <v>1.0</v>
      </c>
      <c r="AE16" s="43">
        <v>1.0</v>
      </c>
      <c r="AF16" s="43">
        <v>1.0</v>
      </c>
      <c r="AG16" s="43">
        <v>1.0</v>
      </c>
      <c r="AH16" s="43">
        <v>1.0</v>
      </c>
      <c r="AI16" s="43">
        <v>1.0</v>
      </c>
      <c r="AJ16" s="43">
        <v>1.0</v>
      </c>
      <c r="AK16" s="43">
        <v>1.0</v>
      </c>
      <c r="AL16" s="43">
        <v>1.0</v>
      </c>
      <c r="AM16" s="43">
        <v>1.0</v>
      </c>
      <c r="AN16" s="43">
        <v>1.0</v>
      </c>
      <c r="AO16" s="43">
        <v>1.0</v>
      </c>
      <c r="AP16" s="43">
        <v>1.0</v>
      </c>
      <c r="AQ16" s="43">
        <v>1.0</v>
      </c>
      <c r="AR16" s="43">
        <v>1.0</v>
      </c>
      <c r="AS16" s="42">
        <v>0.0</v>
      </c>
      <c r="AT16" s="42">
        <v>0.0</v>
      </c>
      <c r="AU16" s="43">
        <v>1.0</v>
      </c>
      <c r="AV16" s="43">
        <v>1.0</v>
      </c>
      <c r="AW16" s="43">
        <v>1.0</v>
      </c>
      <c r="AX16" s="38"/>
      <c r="AY16" s="38"/>
      <c r="AZ16" s="38"/>
      <c r="BA16" s="38"/>
      <c r="BB16" s="38"/>
      <c r="BC16" s="38"/>
      <c r="BD16" s="38"/>
      <c r="BE16" s="38"/>
      <c r="BF16" s="38"/>
      <c r="BG16" s="38"/>
      <c r="BH16" s="38"/>
      <c r="BI16" s="38"/>
      <c r="BJ16" s="38"/>
      <c r="BK16" s="38"/>
      <c r="BL16" s="38"/>
    </row>
    <row r="17">
      <c r="A17" s="43">
        <v>15.0</v>
      </c>
      <c r="B17" s="43">
        <v>300.0</v>
      </c>
      <c r="C17" s="43" t="s">
        <v>95</v>
      </c>
      <c r="D17" s="43" t="s">
        <v>90</v>
      </c>
      <c r="E17" s="44">
        <v>1.0</v>
      </c>
      <c r="F17" s="44">
        <v>1.0</v>
      </c>
      <c r="G17" s="38"/>
      <c r="H17" s="38"/>
      <c r="I17" s="43"/>
      <c r="J17" s="43"/>
      <c r="K17" s="43"/>
      <c r="L17" s="43"/>
      <c r="M17" s="43"/>
      <c r="N17" s="43"/>
      <c r="O17" s="43"/>
      <c r="P17" s="43">
        <v>1.0</v>
      </c>
      <c r="Q17" s="43">
        <v>1.0</v>
      </c>
      <c r="R17" s="43">
        <v>1.0</v>
      </c>
      <c r="S17" s="43">
        <v>1.0</v>
      </c>
      <c r="T17" s="43">
        <v>1.0</v>
      </c>
      <c r="U17" s="43">
        <v>1.0</v>
      </c>
      <c r="V17" s="43">
        <v>1.0</v>
      </c>
      <c r="W17" s="43">
        <v>1.0</v>
      </c>
      <c r="X17" s="43">
        <v>1.0</v>
      </c>
      <c r="Y17" s="43">
        <v>1.0</v>
      </c>
      <c r="Z17" s="43">
        <v>1.0</v>
      </c>
      <c r="AA17" s="43">
        <v>1.0</v>
      </c>
      <c r="AB17" s="43">
        <v>1.0</v>
      </c>
      <c r="AC17" s="43">
        <v>1.0</v>
      </c>
      <c r="AD17" s="43">
        <v>1.0</v>
      </c>
      <c r="AE17" s="43">
        <v>1.0</v>
      </c>
      <c r="AF17" s="43">
        <v>1.0</v>
      </c>
      <c r="AG17" s="43">
        <v>1.0</v>
      </c>
      <c r="AH17" s="43">
        <v>1.0</v>
      </c>
      <c r="AI17" s="43">
        <v>1.0</v>
      </c>
      <c r="AJ17" s="43">
        <v>1.0</v>
      </c>
      <c r="AK17" s="43">
        <v>1.0</v>
      </c>
      <c r="AL17" s="43">
        <v>1.0</v>
      </c>
      <c r="AM17" s="43">
        <v>1.0</v>
      </c>
      <c r="AN17" s="43">
        <v>1.0</v>
      </c>
      <c r="AO17" s="43">
        <v>1.0</v>
      </c>
      <c r="AP17" s="43">
        <v>1.0</v>
      </c>
      <c r="AQ17" s="43">
        <v>1.0</v>
      </c>
      <c r="AR17" s="43">
        <v>1.0</v>
      </c>
      <c r="AS17" s="42">
        <v>0.0</v>
      </c>
      <c r="AT17" s="42">
        <v>0.0</v>
      </c>
      <c r="AU17" s="43">
        <v>1.0</v>
      </c>
      <c r="AV17" s="43">
        <v>1.0</v>
      </c>
      <c r="AW17" s="43">
        <v>1.0</v>
      </c>
      <c r="AX17" s="38"/>
      <c r="AY17" s="38"/>
      <c r="AZ17" s="38"/>
      <c r="BA17" s="38"/>
      <c r="BB17" s="38"/>
      <c r="BC17" s="38"/>
      <c r="BD17" s="38"/>
      <c r="BE17" s="38"/>
      <c r="BF17" s="38"/>
      <c r="BG17" s="38"/>
      <c r="BH17" s="38"/>
      <c r="BI17" s="38"/>
      <c r="BJ17" s="38"/>
      <c r="BK17" s="38"/>
      <c r="BL17" s="38"/>
    </row>
    <row r="18">
      <c r="A18" s="43">
        <v>16.0</v>
      </c>
      <c r="B18" s="43">
        <v>300.0</v>
      </c>
      <c r="C18" s="43" t="s">
        <v>95</v>
      </c>
      <c r="D18" s="43" t="s">
        <v>90</v>
      </c>
      <c r="E18" s="44">
        <v>1.0</v>
      </c>
      <c r="F18" s="44">
        <v>1.0</v>
      </c>
      <c r="G18" s="38"/>
      <c r="H18" s="38"/>
      <c r="I18" s="43"/>
      <c r="J18" s="43"/>
      <c r="K18" s="43"/>
      <c r="L18" s="43"/>
      <c r="M18" s="43"/>
      <c r="N18" s="43"/>
      <c r="O18" s="43"/>
      <c r="P18" s="43">
        <v>1.0</v>
      </c>
      <c r="Q18" s="43">
        <v>1.0</v>
      </c>
      <c r="R18" s="43">
        <v>1.0</v>
      </c>
      <c r="S18" s="43">
        <v>1.0</v>
      </c>
      <c r="T18" s="43">
        <v>1.0</v>
      </c>
      <c r="U18" s="43">
        <v>1.0</v>
      </c>
      <c r="V18" s="43">
        <v>1.0</v>
      </c>
      <c r="W18" s="43">
        <v>1.0</v>
      </c>
      <c r="X18" s="43">
        <v>1.0</v>
      </c>
      <c r="Y18" s="43">
        <v>1.0</v>
      </c>
      <c r="Z18" s="43">
        <v>1.0</v>
      </c>
      <c r="AA18" s="43">
        <v>1.0</v>
      </c>
      <c r="AB18" s="43">
        <v>1.0</v>
      </c>
      <c r="AC18" s="43">
        <v>1.0</v>
      </c>
      <c r="AD18" s="43">
        <v>1.0</v>
      </c>
      <c r="AE18" s="43">
        <v>1.0</v>
      </c>
      <c r="AF18" s="43">
        <v>1.0</v>
      </c>
      <c r="AG18" s="43">
        <v>1.0</v>
      </c>
      <c r="AH18" s="43">
        <v>1.0</v>
      </c>
      <c r="AI18" s="43">
        <v>1.0</v>
      </c>
      <c r="AJ18" s="43">
        <v>1.0</v>
      </c>
      <c r="AK18" s="43">
        <v>1.0</v>
      </c>
      <c r="AL18" s="43">
        <v>1.0</v>
      </c>
      <c r="AM18" s="43">
        <v>1.0</v>
      </c>
      <c r="AN18" s="43">
        <v>1.0</v>
      </c>
      <c r="AO18" s="43">
        <v>1.0</v>
      </c>
      <c r="AP18" s="43">
        <v>1.0</v>
      </c>
      <c r="AQ18" s="43">
        <v>1.0</v>
      </c>
      <c r="AR18" s="43">
        <v>1.0</v>
      </c>
      <c r="AS18" s="42">
        <v>0.0</v>
      </c>
      <c r="AT18" s="42">
        <v>0.0</v>
      </c>
      <c r="AU18" s="43">
        <v>1.0</v>
      </c>
      <c r="AV18" s="43">
        <v>1.0</v>
      </c>
      <c r="AW18" s="43">
        <v>1.0</v>
      </c>
      <c r="AX18" s="38"/>
      <c r="AY18" s="38"/>
      <c r="AZ18" s="38"/>
      <c r="BA18" s="38"/>
      <c r="BB18" s="38"/>
      <c r="BC18" s="38"/>
      <c r="BD18" s="38"/>
      <c r="BE18" s="38"/>
      <c r="BF18" s="38"/>
      <c r="BG18" s="38"/>
      <c r="BH18" s="38"/>
      <c r="BI18" s="38"/>
      <c r="BJ18" s="38"/>
      <c r="BK18" s="38"/>
      <c r="BL18" s="38"/>
    </row>
    <row r="19">
      <c r="A19" s="43">
        <v>17.0</v>
      </c>
      <c r="B19" s="43">
        <v>300.0</v>
      </c>
      <c r="C19" s="43" t="s">
        <v>54</v>
      </c>
      <c r="D19" s="43" t="s">
        <v>102</v>
      </c>
      <c r="E19" s="44">
        <v>1.0</v>
      </c>
      <c r="F19" s="44">
        <v>1.0</v>
      </c>
      <c r="G19" s="38"/>
      <c r="H19" s="38"/>
      <c r="I19" s="43"/>
      <c r="J19" s="43"/>
      <c r="K19" s="43"/>
      <c r="L19" s="43"/>
      <c r="M19" s="43"/>
      <c r="N19" s="43"/>
      <c r="O19" s="43"/>
      <c r="P19" s="43">
        <v>1.0</v>
      </c>
      <c r="Q19" s="43">
        <v>1.0</v>
      </c>
      <c r="R19" s="43">
        <v>1.0</v>
      </c>
      <c r="S19" s="43">
        <v>1.0</v>
      </c>
      <c r="T19" s="43">
        <v>1.0</v>
      </c>
      <c r="U19" s="43">
        <v>1.0</v>
      </c>
      <c r="V19" s="43">
        <v>1.0</v>
      </c>
      <c r="W19" s="43">
        <v>1.0</v>
      </c>
      <c r="X19" s="43">
        <v>1.0</v>
      </c>
      <c r="Y19" s="43">
        <v>1.0</v>
      </c>
      <c r="Z19" s="43">
        <v>1.0</v>
      </c>
      <c r="AA19" s="43">
        <v>1.0</v>
      </c>
      <c r="AB19" s="43">
        <v>1.0</v>
      </c>
      <c r="AC19" s="43">
        <v>1.0</v>
      </c>
      <c r="AD19" s="43">
        <v>1.0</v>
      </c>
      <c r="AE19" s="43">
        <v>1.0</v>
      </c>
      <c r="AF19" s="43">
        <v>1.0</v>
      </c>
      <c r="AG19" s="43">
        <v>1.0</v>
      </c>
      <c r="AH19" s="43">
        <v>1.0</v>
      </c>
      <c r="AI19" s="43">
        <v>1.0</v>
      </c>
      <c r="AJ19" s="43">
        <v>1.0</v>
      </c>
      <c r="AK19" s="43">
        <v>1.0</v>
      </c>
      <c r="AL19" s="43">
        <v>1.0</v>
      </c>
      <c r="AM19" s="43">
        <v>1.0</v>
      </c>
      <c r="AN19" s="43">
        <v>1.0</v>
      </c>
      <c r="AO19" s="43">
        <v>1.0</v>
      </c>
      <c r="AP19" s="43">
        <v>1.0</v>
      </c>
      <c r="AQ19" s="43">
        <v>1.0</v>
      </c>
      <c r="AR19" s="43">
        <v>1.0</v>
      </c>
      <c r="AS19" s="42">
        <v>0.0</v>
      </c>
      <c r="AT19" s="42">
        <v>0.0</v>
      </c>
      <c r="AU19" s="43">
        <v>1.0</v>
      </c>
      <c r="AV19" s="43">
        <v>1.0</v>
      </c>
      <c r="AW19" s="43">
        <v>1.0</v>
      </c>
      <c r="AX19" s="38"/>
      <c r="AY19" s="38"/>
      <c r="AZ19" s="38"/>
      <c r="BA19" s="38"/>
      <c r="BB19" s="38"/>
      <c r="BC19" s="38"/>
      <c r="BD19" s="38"/>
      <c r="BE19" s="38"/>
      <c r="BF19" s="38"/>
      <c r="BG19" s="38"/>
      <c r="BH19" s="38"/>
      <c r="BI19" s="38"/>
      <c r="BJ19" s="38"/>
      <c r="BK19" s="38"/>
      <c r="BL19" s="38"/>
    </row>
    <row r="20">
      <c r="A20" s="43">
        <v>18.0</v>
      </c>
      <c r="B20" s="43">
        <v>300.0</v>
      </c>
      <c r="C20" s="43" t="s">
        <v>92</v>
      </c>
      <c r="D20" s="43" t="s">
        <v>102</v>
      </c>
      <c r="E20" s="44">
        <v>1.0</v>
      </c>
      <c r="F20" s="44">
        <v>1.0</v>
      </c>
      <c r="G20" s="38"/>
      <c r="H20" s="38"/>
      <c r="I20" s="43"/>
      <c r="J20" s="43"/>
      <c r="K20" s="43"/>
      <c r="L20" s="43"/>
      <c r="M20" s="43"/>
      <c r="N20" s="43"/>
      <c r="O20" s="43"/>
      <c r="P20" s="43">
        <v>1.0</v>
      </c>
      <c r="Q20" s="43">
        <v>1.0</v>
      </c>
      <c r="R20" s="43">
        <v>1.0</v>
      </c>
      <c r="S20" s="43">
        <v>1.0</v>
      </c>
      <c r="T20" s="43">
        <v>1.0</v>
      </c>
      <c r="U20" s="43">
        <v>1.0</v>
      </c>
      <c r="V20" s="43">
        <v>1.0</v>
      </c>
      <c r="W20" s="43">
        <v>1.0</v>
      </c>
      <c r="X20" s="43">
        <v>1.0</v>
      </c>
      <c r="Y20" s="43">
        <v>1.0</v>
      </c>
      <c r="Z20" s="43">
        <v>1.0</v>
      </c>
      <c r="AA20" s="43">
        <v>1.0</v>
      </c>
      <c r="AB20" s="43">
        <v>1.0</v>
      </c>
      <c r="AC20" s="43">
        <v>1.0</v>
      </c>
      <c r="AD20" s="43">
        <v>1.0</v>
      </c>
      <c r="AE20" s="43">
        <v>1.0</v>
      </c>
      <c r="AF20" s="43">
        <v>1.0</v>
      </c>
      <c r="AG20" s="43">
        <v>1.0</v>
      </c>
      <c r="AH20" s="43">
        <v>1.0</v>
      </c>
      <c r="AI20" s="43">
        <v>1.0</v>
      </c>
      <c r="AJ20" s="43">
        <v>1.0</v>
      </c>
      <c r="AK20" s="43">
        <v>1.0</v>
      </c>
      <c r="AL20" s="43">
        <v>1.0</v>
      </c>
      <c r="AM20" s="43">
        <v>1.0</v>
      </c>
      <c r="AN20" s="43">
        <v>1.0</v>
      </c>
      <c r="AO20" s="43">
        <v>1.0</v>
      </c>
      <c r="AP20" s="43">
        <v>1.0</v>
      </c>
      <c r="AQ20" s="43">
        <v>1.0</v>
      </c>
      <c r="AR20" s="43">
        <v>1.0</v>
      </c>
      <c r="AS20" s="42">
        <v>0.0</v>
      </c>
      <c r="AT20" s="42">
        <v>0.0</v>
      </c>
      <c r="AU20" s="43">
        <v>1.0</v>
      </c>
      <c r="AV20" s="43">
        <v>1.0</v>
      </c>
      <c r="AW20" s="43">
        <v>1.0</v>
      </c>
      <c r="AX20" s="38"/>
      <c r="AY20" s="38"/>
      <c r="AZ20" s="38"/>
      <c r="BA20" s="38"/>
      <c r="BB20" s="38"/>
      <c r="BC20" s="38"/>
      <c r="BD20" s="38"/>
      <c r="BE20" s="38"/>
      <c r="BF20" s="38"/>
      <c r="BG20" s="38"/>
      <c r="BH20" s="38"/>
      <c r="BI20" s="38"/>
      <c r="BJ20" s="38"/>
      <c r="BK20" s="38"/>
      <c r="BL20" s="38"/>
    </row>
    <row r="21">
      <c r="A21" s="43">
        <v>19.0</v>
      </c>
      <c r="B21" s="43">
        <v>300.0</v>
      </c>
      <c r="C21" s="43" t="s">
        <v>95</v>
      </c>
      <c r="D21" s="43" t="s">
        <v>102</v>
      </c>
      <c r="E21" s="44">
        <v>1.0</v>
      </c>
      <c r="F21" s="44">
        <v>1.0</v>
      </c>
      <c r="G21" s="38"/>
      <c r="H21" s="38"/>
      <c r="I21" s="43"/>
      <c r="J21" s="43"/>
      <c r="K21" s="43"/>
      <c r="L21" s="43"/>
      <c r="M21" s="43"/>
      <c r="N21" s="43"/>
      <c r="O21" s="43"/>
      <c r="P21" s="43">
        <v>1.0</v>
      </c>
      <c r="Q21" s="43">
        <v>1.0</v>
      </c>
      <c r="R21" s="43">
        <v>1.0</v>
      </c>
      <c r="S21" s="43">
        <v>1.0</v>
      </c>
      <c r="T21" s="43">
        <v>1.0</v>
      </c>
      <c r="U21" s="43">
        <v>1.0</v>
      </c>
      <c r="V21" s="43">
        <v>1.0</v>
      </c>
      <c r="W21" s="43">
        <v>1.0</v>
      </c>
      <c r="X21" s="43">
        <v>1.0</v>
      </c>
      <c r="Y21" s="43">
        <v>1.0</v>
      </c>
      <c r="Z21" s="43">
        <v>1.0</v>
      </c>
      <c r="AA21" s="43">
        <v>1.0</v>
      </c>
      <c r="AB21" s="43">
        <v>1.0</v>
      </c>
      <c r="AC21" s="43">
        <v>1.0</v>
      </c>
      <c r="AD21" s="43">
        <v>1.0</v>
      </c>
      <c r="AE21" s="43">
        <v>1.0</v>
      </c>
      <c r="AF21" s="43">
        <v>1.0</v>
      </c>
      <c r="AG21" s="43">
        <v>1.0</v>
      </c>
      <c r="AH21" s="43">
        <v>1.0</v>
      </c>
      <c r="AI21" s="43">
        <v>1.0</v>
      </c>
      <c r="AJ21" s="43">
        <v>1.0</v>
      </c>
      <c r="AK21" s="43">
        <v>1.0</v>
      </c>
      <c r="AL21" s="43">
        <v>1.0</v>
      </c>
      <c r="AM21" s="43">
        <v>1.0</v>
      </c>
      <c r="AN21" s="43">
        <v>1.0</v>
      </c>
      <c r="AO21" s="43">
        <v>1.0</v>
      </c>
      <c r="AP21" s="43">
        <v>1.0</v>
      </c>
      <c r="AQ21" s="43">
        <v>1.0</v>
      </c>
      <c r="AR21" s="43">
        <v>1.0</v>
      </c>
      <c r="AS21" s="42">
        <v>0.0</v>
      </c>
      <c r="AT21" s="42">
        <v>0.0</v>
      </c>
      <c r="AU21" s="43">
        <v>1.0</v>
      </c>
      <c r="AV21" s="43">
        <v>1.0</v>
      </c>
      <c r="AW21" s="43">
        <v>1.0</v>
      </c>
      <c r="AX21" s="38"/>
      <c r="AY21" s="38"/>
      <c r="AZ21" s="38"/>
      <c r="BA21" s="38"/>
      <c r="BB21" s="38"/>
      <c r="BC21" s="38"/>
      <c r="BD21" s="38"/>
      <c r="BE21" s="38"/>
      <c r="BF21" s="38"/>
      <c r="BG21" s="38"/>
      <c r="BH21" s="38"/>
      <c r="BI21" s="38"/>
      <c r="BJ21" s="38"/>
      <c r="BK21" s="38"/>
      <c r="BL21" s="38"/>
    </row>
    <row r="22">
      <c r="A22" s="43">
        <v>20.0</v>
      </c>
      <c r="B22" s="43">
        <v>300.0</v>
      </c>
      <c r="C22" s="43" t="s">
        <v>95</v>
      </c>
      <c r="D22" s="43" t="s">
        <v>102</v>
      </c>
      <c r="E22" s="44">
        <v>1.0</v>
      </c>
      <c r="F22" s="44">
        <v>1.0</v>
      </c>
      <c r="G22" s="38"/>
      <c r="H22" s="38"/>
      <c r="I22" s="43"/>
      <c r="J22" s="43"/>
      <c r="K22" s="43"/>
      <c r="L22" s="43"/>
      <c r="M22" s="43"/>
      <c r="N22" s="43"/>
      <c r="O22" s="43"/>
      <c r="P22" s="43">
        <v>1.0</v>
      </c>
      <c r="Q22" s="43">
        <v>1.0</v>
      </c>
      <c r="R22" s="43">
        <v>1.0</v>
      </c>
      <c r="S22" s="43">
        <v>1.0</v>
      </c>
      <c r="T22" s="43">
        <v>1.0</v>
      </c>
      <c r="U22" s="43">
        <v>1.0</v>
      </c>
      <c r="V22" s="43">
        <v>1.0</v>
      </c>
      <c r="W22" s="43">
        <v>1.0</v>
      </c>
      <c r="X22" s="43">
        <v>1.0</v>
      </c>
      <c r="Y22" s="43">
        <v>1.0</v>
      </c>
      <c r="Z22" s="43">
        <v>1.0</v>
      </c>
      <c r="AA22" s="43">
        <v>1.0</v>
      </c>
      <c r="AB22" s="43">
        <v>1.0</v>
      </c>
      <c r="AC22" s="43">
        <v>1.0</v>
      </c>
      <c r="AD22" s="43">
        <v>1.0</v>
      </c>
      <c r="AE22" s="43">
        <v>1.0</v>
      </c>
      <c r="AF22" s="43">
        <v>1.0</v>
      </c>
      <c r="AG22" s="43">
        <v>1.0</v>
      </c>
      <c r="AH22" s="43">
        <v>1.0</v>
      </c>
      <c r="AI22" s="43">
        <v>1.0</v>
      </c>
      <c r="AJ22" s="43">
        <v>1.0</v>
      </c>
      <c r="AK22" s="43">
        <v>1.0</v>
      </c>
      <c r="AL22" s="43">
        <v>1.0</v>
      </c>
      <c r="AM22" s="43">
        <v>1.0</v>
      </c>
      <c r="AN22" s="43">
        <v>1.0</v>
      </c>
      <c r="AO22" s="43">
        <v>1.0</v>
      </c>
      <c r="AP22" s="43">
        <v>1.0</v>
      </c>
      <c r="AQ22" s="43">
        <v>1.0</v>
      </c>
      <c r="AR22" s="43">
        <v>1.0</v>
      </c>
      <c r="AS22" s="42">
        <v>0.0</v>
      </c>
      <c r="AT22" s="42">
        <v>0.0</v>
      </c>
      <c r="AU22" s="43">
        <v>1.0</v>
      </c>
      <c r="AV22" s="43">
        <v>1.0</v>
      </c>
      <c r="AW22" s="43">
        <v>1.0</v>
      </c>
      <c r="AX22" s="38"/>
      <c r="AY22" s="38"/>
      <c r="AZ22" s="38"/>
      <c r="BA22" s="38"/>
      <c r="BB22" s="38"/>
      <c r="BC22" s="38"/>
      <c r="BD22" s="38"/>
      <c r="BE22" s="38"/>
      <c r="BF22" s="38"/>
      <c r="BG22" s="38"/>
      <c r="BH22" s="38"/>
      <c r="BI22" s="38"/>
      <c r="BJ22" s="38"/>
      <c r="BK22" s="38"/>
      <c r="BL22" s="38"/>
    </row>
    <row r="23">
      <c r="A23" s="43">
        <v>21.0</v>
      </c>
      <c r="B23" s="43">
        <v>300.0</v>
      </c>
      <c r="C23" s="43" t="s">
        <v>54</v>
      </c>
      <c r="D23" s="43" t="s">
        <v>111</v>
      </c>
      <c r="E23" s="44">
        <v>1.0</v>
      </c>
      <c r="F23" s="44">
        <v>0.0</v>
      </c>
      <c r="G23" s="38"/>
      <c r="H23" s="38"/>
      <c r="I23" s="43"/>
      <c r="J23" s="43"/>
      <c r="K23" s="43"/>
      <c r="L23" s="43"/>
      <c r="M23" s="43"/>
      <c r="N23" s="43"/>
      <c r="O23" s="43"/>
      <c r="P23" s="43">
        <v>1.0</v>
      </c>
      <c r="Q23" s="43">
        <v>1.0</v>
      </c>
      <c r="R23" s="43">
        <v>1.0</v>
      </c>
      <c r="S23" s="43">
        <v>1.0</v>
      </c>
      <c r="T23" s="43">
        <v>1.0</v>
      </c>
      <c r="U23" s="43">
        <v>1.0</v>
      </c>
      <c r="V23" s="43">
        <v>1.0</v>
      </c>
      <c r="W23" s="43">
        <v>1.0</v>
      </c>
      <c r="X23" s="43">
        <v>1.0</v>
      </c>
      <c r="Y23" s="43">
        <v>1.0</v>
      </c>
      <c r="Z23" s="43">
        <v>1.0</v>
      </c>
      <c r="AA23" s="43">
        <v>1.0</v>
      </c>
      <c r="AB23" s="43">
        <v>1.0</v>
      </c>
      <c r="AC23" s="43">
        <v>1.0</v>
      </c>
      <c r="AD23" s="43">
        <v>1.0</v>
      </c>
      <c r="AE23" s="43">
        <v>1.0</v>
      </c>
      <c r="AF23" s="43">
        <v>1.0</v>
      </c>
      <c r="AG23" s="43">
        <v>1.0</v>
      </c>
      <c r="AH23" s="43">
        <v>1.0</v>
      </c>
      <c r="AI23" s="43">
        <v>1.0</v>
      </c>
      <c r="AJ23" s="43">
        <v>1.0</v>
      </c>
      <c r="AK23" s="43">
        <v>1.0</v>
      </c>
      <c r="AL23" s="43">
        <v>1.0</v>
      </c>
      <c r="AM23" s="43">
        <v>1.0</v>
      </c>
      <c r="AN23" s="43">
        <v>1.0</v>
      </c>
      <c r="AO23" s="43">
        <v>1.0</v>
      </c>
      <c r="AP23" s="43">
        <v>1.0</v>
      </c>
      <c r="AQ23" s="43">
        <v>1.0</v>
      </c>
      <c r="AR23" s="43">
        <v>1.0</v>
      </c>
      <c r="AS23" s="42">
        <v>0.0</v>
      </c>
      <c r="AT23" s="42">
        <v>0.0</v>
      </c>
      <c r="AU23" s="43">
        <v>1.0</v>
      </c>
      <c r="AV23" s="43">
        <v>1.0</v>
      </c>
      <c r="AW23" s="43">
        <v>1.0</v>
      </c>
      <c r="AX23" s="38"/>
      <c r="AY23" s="38"/>
      <c r="AZ23" s="38"/>
      <c r="BA23" s="38"/>
      <c r="BB23" s="38"/>
      <c r="BC23" s="38"/>
      <c r="BD23" s="38"/>
      <c r="BE23" s="38"/>
      <c r="BF23" s="38"/>
      <c r="BG23" s="38"/>
      <c r="BH23" s="38"/>
      <c r="BI23" s="38"/>
      <c r="BJ23" s="38"/>
      <c r="BK23" s="38"/>
      <c r="BL23" s="38"/>
    </row>
    <row r="24">
      <c r="A24" s="43">
        <v>22.0</v>
      </c>
      <c r="B24" s="43">
        <v>300.0</v>
      </c>
      <c r="C24" s="43" t="s">
        <v>92</v>
      </c>
      <c r="D24" s="43" t="s">
        <v>111</v>
      </c>
      <c r="E24" s="44">
        <v>1.0</v>
      </c>
      <c r="F24" s="44">
        <v>0.0</v>
      </c>
      <c r="G24" s="38"/>
      <c r="H24" s="38"/>
      <c r="I24" s="43"/>
      <c r="J24" s="43"/>
      <c r="K24" s="43"/>
      <c r="L24" s="43"/>
      <c r="M24" s="43"/>
      <c r="N24" s="43"/>
      <c r="O24" s="43"/>
      <c r="P24" s="43">
        <v>1.0</v>
      </c>
      <c r="Q24" s="43">
        <v>1.0</v>
      </c>
      <c r="R24" s="43">
        <v>1.0</v>
      </c>
      <c r="S24" s="43">
        <v>1.0</v>
      </c>
      <c r="T24" s="43">
        <v>1.0</v>
      </c>
      <c r="U24" s="43">
        <v>1.0</v>
      </c>
      <c r="V24" s="43">
        <v>1.0</v>
      </c>
      <c r="W24" s="43">
        <v>1.0</v>
      </c>
      <c r="X24" s="43">
        <v>1.0</v>
      </c>
      <c r="Y24" s="43">
        <v>1.0</v>
      </c>
      <c r="Z24" s="43">
        <v>1.0</v>
      </c>
      <c r="AA24" s="43">
        <v>1.0</v>
      </c>
      <c r="AB24" s="43">
        <v>1.0</v>
      </c>
      <c r="AC24" s="43">
        <v>1.0</v>
      </c>
      <c r="AD24" s="43">
        <v>1.0</v>
      </c>
      <c r="AE24" s="43">
        <v>1.0</v>
      </c>
      <c r="AF24" s="43">
        <v>1.0</v>
      </c>
      <c r="AG24" s="43">
        <v>1.0</v>
      </c>
      <c r="AH24" s="43">
        <v>1.0</v>
      </c>
      <c r="AI24" s="43">
        <v>1.0</v>
      </c>
      <c r="AJ24" s="43">
        <v>1.0</v>
      </c>
      <c r="AK24" s="43">
        <v>1.0</v>
      </c>
      <c r="AL24" s="43">
        <v>1.0</v>
      </c>
      <c r="AM24" s="43">
        <v>1.0</v>
      </c>
      <c r="AN24" s="43">
        <v>1.0</v>
      </c>
      <c r="AO24" s="43">
        <v>1.0</v>
      </c>
      <c r="AP24" s="43">
        <v>1.0</v>
      </c>
      <c r="AQ24" s="43">
        <v>1.0</v>
      </c>
      <c r="AR24" s="43">
        <v>1.0</v>
      </c>
      <c r="AS24" s="42">
        <v>0.0</v>
      </c>
      <c r="AT24" s="42">
        <v>0.0</v>
      </c>
      <c r="AU24" s="43">
        <v>1.0</v>
      </c>
      <c r="AV24" s="43">
        <v>1.0</v>
      </c>
      <c r="AW24" s="43">
        <v>1.0</v>
      </c>
      <c r="AX24" s="38"/>
      <c r="AY24" s="38"/>
      <c r="AZ24" s="38"/>
      <c r="BA24" s="38"/>
      <c r="BB24" s="38"/>
      <c r="BC24" s="38"/>
      <c r="BD24" s="38"/>
      <c r="BE24" s="38"/>
      <c r="BF24" s="38"/>
      <c r="BG24" s="38"/>
      <c r="BH24" s="38"/>
      <c r="BI24" s="38"/>
      <c r="BJ24" s="38"/>
      <c r="BK24" s="38"/>
      <c r="BL24" s="38"/>
    </row>
    <row r="25">
      <c r="A25" s="43">
        <v>23.0</v>
      </c>
      <c r="B25" s="43">
        <v>300.0</v>
      </c>
      <c r="C25" s="43" t="s">
        <v>95</v>
      </c>
      <c r="D25" s="43" t="s">
        <v>111</v>
      </c>
      <c r="E25" s="44">
        <v>1.0</v>
      </c>
      <c r="F25" s="44">
        <v>0.0</v>
      </c>
      <c r="G25" s="38"/>
      <c r="H25" s="38"/>
      <c r="I25" s="43"/>
      <c r="J25" s="43"/>
      <c r="K25" s="43"/>
      <c r="L25" s="43"/>
      <c r="M25" s="43"/>
      <c r="N25" s="43"/>
      <c r="O25" s="43"/>
      <c r="P25" s="43">
        <v>1.0</v>
      </c>
      <c r="Q25" s="43">
        <v>1.0</v>
      </c>
      <c r="R25" s="43">
        <v>1.0</v>
      </c>
      <c r="S25" s="43">
        <v>1.0</v>
      </c>
      <c r="T25" s="43">
        <v>1.0</v>
      </c>
      <c r="U25" s="43">
        <v>1.0</v>
      </c>
      <c r="V25" s="43">
        <v>1.0</v>
      </c>
      <c r="W25" s="43">
        <v>1.0</v>
      </c>
      <c r="X25" s="43">
        <v>1.0</v>
      </c>
      <c r="Y25" s="43">
        <v>1.0</v>
      </c>
      <c r="Z25" s="43">
        <v>1.0</v>
      </c>
      <c r="AA25" s="43">
        <v>1.0</v>
      </c>
      <c r="AB25" s="43">
        <v>1.0</v>
      </c>
      <c r="AC25" s="43">
        <v>1.0</v>
      </c>
      <c r="AD25" s="43">
        <v>1.0</v>
      </c>
      <c r="AE25" s="43">
        <v>1.0</v>
      </c>
      <c r="AF25" s="43">
        <v>1.0</v>
      </c>
      <c r="AG25" s="43">
        <v>1.0</v>
      </c>
      <c r="AH25" s="43">
        <v>1.0</v>
      </c>
      <c r="AI25" s="43">
        <v>1.0</v>
      </c>
      <c r="AJ25" s="43">
        <v>1.0</v>
      </c>
      <c r="AK25" s="43">
        <v>1.0</v>
      </c>
      <c r="AL25" s="43">
        <v>1.0</v>
      </c>
      <c r="AM25" s="43">
        <v>1.0</v>
      </c>
      <c r="AN25" s="43">
        <v>1.0</v>
      </c>
      <c r="AO25" s="43">
        <v>1.0</v>
      </c>
      <c r="AP25" s="43">
        <v>1.0</v>
      </c>
      <c r="AQ25" s="43">
        <v>1.0</v>
      </c>
      <c r="AR25" s="43">
        <v>1.0</v>
      </c>
      <c r="AS25" s="42">
        <v>0.0</v>
      </c>
      <c r="AT25" s="42">
        <v>0.0</v>
      </c>
      <c r="AU25" s="43">
        <v>1.0</v>
      </c>
      <c r="AV25" s="43">
        <v>1.0</v>
      </c>
      <c r="AW25" s="43">
        <v>1.0</v>
      </c>
      <c r="AX25" s="38"/>
      <c r="AY25" s="38"/>
      <c r="AZ25" s="38"/>
      <c r="BA25" s="38"/>
      <c r="BB25" s="38"/>
      <c r="BC25" s="38"/>
      <c r="BD25" s="38"/>
      <c r="BE25" s="38"/>
      <c r="BF25" s="38"/>
      <c r="BG25" s="38"/>
      <c r="BH25" s="38"/>
      <c r="BI25" s="38"/>
      <c r="BJ25" s="38"/>
      <c r="BK25" s="38"/>
      <c r="BL25" s="38"/>
    </row>
    <row r="26">
      <c r="A26" s="43">
        <v>24.0</v>
      </c>
      <c r="B26" s="43">
        <v>300.0</v>
      </c>
      <c r="C26" s="43" t="s">
        <v>95</v>
      </c>
      <c r="D26" s="43" t="s">
        <v>111</v>
      </c>
      <c r="E26" s="44">
        <v>1.0</v>
      </c>
      <c r="F26" s="44">
        <v>0.0</v>
      </c>
      <c r="G26" s="38"/>
      <c r="H26" s="38"/>
      <c r="I26" s="43"/>
      <c r="J26" s="43"/>
      <c r="K26" s="43"/>
      <c r="L26" s="43"/>
      <c r="M26" s="43"/>
      <c r="N26" s="43"/>
      <c r="O26" s="43"/>
      <c r="P26" s="43">
        <v>1.0</v>
      </c>
      <c r="Q26" s="43">
        <v>1.0</v>
      </c>
      <c r="R26" s="43">
        <v>1.0</v>
      </c>
      <c r="S26" s="43">
        <v>1.0</v>
      </c>
      <c r="T26" s="43">
        <v>1.0</v>
      </c>
      <c r="U26" s="43">
        <v>1.0</v>
      </c>
      <c r="V26" s="43">
        <v>1.0</v>
      </c>
      <c r="W26" s="43">
        <v>1.0</v>
      </c>
      <c r="X26" s="43">
        <v>1.0</v>
      </c>
      <c r="Y26" s="43">
        <v>1.0</v>
      </c>
      <c r="Z26" s="43">
        <v>1.0</v>
      </c>
      <c r="AA26" s="43">
        <v>1.0</v>
      </c>
      <c r="AB26" s="43">
        <v>1.0</v>
      </c>
      <c r="AC26" s="43">
        <v>1.0</v>
      </c>
      <c r="AD26" s="43">
        <v>1.0</v>
      </c>
      <c r="AE26" s="43">
        <v>1.0</v>
      </c>
      <c r="AF26" s="43">
        <v>1.0</v>
      </c>
      <c r="AG26" s="43">
        <v>1.0</v>
      </c>
      <c r="AH26" s="43">
        <v>1.0</v>
      </c>
      <c r="AI26" s="43">
        <v>1.0</v>
      </c>
      <c r="AJ26" s="43">
        <v>1.0</v>
      </c>
      <c r="AK26" s="43">
        <v>1.0</v>
      </c>
      <c r="AL26" s="43">
        <v>1.0</v>
      </c>
      <c r="AM26" s="43">
        <v>1.0</v>
      </c>
      <c r="AN26" s="43">
        <v>1.0</v>
      </c>
      <c r="AO26" s="43">
        <v>1.0</v>
      </c>
      <c r="AP26" s="43">
        <v>1.0</v>
      </c>
      <c r="AQ26" s="43">
        <v>1.0</v>
      </c>
      <c r="AR26" s="43">
        <v>1.0</v>
      </c>
      <c r="AS26" s="42">
        <v>0.0</v>
      </c>
      <c r="AT26" s="42">
        <v>0.0</v>
      </c>
      <c r="AU26" s="43">
        <v>1.0</v>
      </c>
      <c r="AV26" s="43">
        <v>1.0</v>
      </c>
      <c r="AW26" s="43">
        <v>1.0</v>
      </c>
      <c r="AX26" s="38"/>
      <c r="AY26" s="38"/>
      <c r="AZ26" s="38"/>
      <c r="BA26" s="38"/>
      <c r="BB26" s="38"/>
      <c r="BC26" s="38"/>
      <c r="BD26" s="38"/>
      <c r="BE26" s="38"/>
      <c r="BF26" s="38"/>
      <c r="BG26" s="38"/>
      <c r="BH26" s="38"/>
      <c r="BI26" s="38"/>
      <c r="BJ26" s="38"/>
      <c r="BK26" s="38"/>
      <c r="BL26" s="38"/>
    </row>
    <row r="27">
      <c r="A27" s="43">
        <v>25.0</v>
      </c>
      <c r="B27" s="43" t="s">
        <v>118</v>
      </c>
      <c r="C27" s="39" t="s">
        <v>113</v>
      </c>
      <c r="D27" s="43" t="s">
        <v>90</v>
      </c>
      <c r="E27" s="44">
        <v>1.0</v>
      </c>
      <c r="F27" s="44">
        <v>1.0</v>
      </c>
      <c r="G27" s="38"/>
      <c r="H27" s="38"/>
      <c r="I27" s="43"/>
      <c r="J27" s="43"/>
      <c r="K27" s="43"/>
      <c r="L27" s="43"/>
      <c r="M27" s="43"/>
      <c r="N27" s="43"/>
      <c r="O27" s="43"/>
      <c r="P27" s="43">
        <v>1.0</v>
      </c>
      <c r="Q27" s="43">
        <v>1.0</v>
      </c>
      <c r="R27" s="43">
        <v>1.0</v>
      </c>
      <c r="S27" s="43">
        <v>1.0</v>
      </c>
      <c r="T27" s="43">
        <v>1.0</v>
      </c>
      <c r="U27" s="43">
        <v>1.0</v>
      </c>
      <c r="V27" s="43">
        <v>1.0</v>
      </c>
      <c r="W27" s="43">
        <v>1.0</v>
      </c>
      <c r="X27" s="43">
        <v>1.0</v>
      </c>
      <c r="Y27" s="43">
        <v>1.0</v>
      </c>
      <c r="Z27" s="43">
        <v>1.0</v>
      </c>
      <c r="AA27" s="43">
        <v>1.0</v>
      </c>
      <c r="AB27" s="43">
        <v>1.0</v>
      </c>
      <c r="AC27" s="43">
        <v>1.0</v>
      </c>
      <c r="AD27" s="43">
        <v>1.0</v>
      </c>
      <c r="AE27" s="43">
        <v>1.0</v>
      </c>
      <c r="AF27" s="43">
        <v>1.0</v>
      </c>
      <c r="AG27" s="43">
        <v>1.0</v>
      </c>
      <c r="AH27" s="43">
        <v>1.0</v>
      </c>
      <c r="AI27" s="43">
        <v>1.0</v>
      </c>
      <c r="AJ27" s="43">
        <v>1.0</v>
      </c>
      <c r="AK27" s="43">
        <v>1.0</v>
      </c>
      <c r="AL27" s="43">
        <v>1.0</v>
      </c>
      <c r="AM27" s="43">
        <v>1.0</v>
      </c>
      <c r="AN27" s="43">
        <v>1.0</v>
      </c>
      <c r="AO27" s="43">
        <v>1.0</v>
      </c>
      <c r="AP27" s="43">
        <v>1.0</v>
      </c>
      <c r="AQ27" s="43">
        <v>1.0</v>
      </c>
      <c r="AR27" s="43">
        <v>1.0</v>
      </c>
      <c r="AS27" s="42">
        <v>0.0</v>
      </c>
      <c r="AT27" s="42">
        <v>0.0</v>
      </c>
      <c r="AU27" s="43">
        <v>1.0</v>
      </c>
      <c r="AV27" s="43">
        <v>1.0</v>
      </c>
      <c r="AW27" s="43">
        <v>1.0</v>
      </c>
      <c r="AX27" s="38"/>
      <c r="AY27" s="38"/>
      <c r="AZ27" s="38"/>
      <c r="BA27" s="38"/>
      <c r="BB27" s="38"/>
      <c r="BC27" s="38"/>
      <c r="BD27" s="38"/>
      <c r="BE27" s="38"/>
      <c r="BF27" s="38"/>
      <c r="BG27" s="38"/>
      <c r="BH27" s="38"/>
      <c r="BI27" s="38"/>
      <c r="BJ27" s="38"/>
      <c r="BK27" s="38"/>
      <c r="BL27" s="38"/>
    </row>
    <row r="28">
      <c r="A28" s="43">
        <v>26.0</v>
      </c>
      <c r="B28" s="43" t="s">
        <v>118</v>
      </c>
      <c r="C28" s="43" t="s">
        <v>92</v>
      </c>
      <c r="D28" s="43" t="s">
        <v>90</v>
      </c>
      <c r="E28" s="44">
        <v>1.0</v>
      </c>
      <c r="F28" s="44">
        <v>1.0</v>
      </c>
      <c r="G28" s="38"/>
      <c r="H28" s="38"/>
      <c r="I28" s="43"/>
      <c r="J28" s="43"/>
      <c r="K28" s="43"/>
      <c r="L28" s="43"/>
      <c r="M28" s="43"/>
      <c r="N28" s="43"/>
      <c r="O28" s="43"/>
      <c r="P28" s="43">
        <v>1.0</v>
      </c>
      <c r="Q28" s="43">
        <v>1.0</v>
      </c>
      <c r="R28" s="43">
        <v>1.0</v>
      </c>
      <c r="S28" s="43">
        <v>1.0</v>
      </c>
      <c r="T28" s="43">
        <v>1.0</v>
      </c>
      <c r="U28" s="43">
        <v>1.0</v>
      </c>
      <c r="V28" s="43">
        <v>1.0</v>
      </c>
      <c r="W28" s="43">
        <v>1.0</v>
      </c>
      <c r="X28" s="43">
        <v>1.0</v>
      </c>
      <c r="Y28" s="43">
        <v>1.0</v>
      </c>
      <c r="Z28" s="43">
        <v>1.0</v>
      </c>
      <c r="AA28" s="43">
        <v>1.0</v>
      </c>
      <c r="AB28" s="43">
        <v>1.0</v>
      </c>
      <c r="AC28" s="43">
        <v>1.0</v>
      </c>
      <c r="AD28" s="43">
        <v>1.0</v>
      </c>
      <c r="AE28" s="43">
        <v>1.0</v>
      </c>
      <c r="AF28" s="43">
        <v>1.0</v>
      </c>
      <c r="AG28" s="43">
        <v>1.0</v>
      </c>
      <c r="AH28" s="43">
        <v>1.0</v>
      </c>
      <c r="AI28" s="43">
        <v>1.0</v>
      </c>
      <c r="AJ28" s="43">
        <v>1.0</v>
      </c>
      <c r="AK28" s="43">
        <v>1.0</v>
      </c>
      <c r="AL28" s="43">
        <v>1.0</v>
      </c>
      <c r="AM28" s="43">
        <v>1.0</v>
      </c>
      <c r="AN28" s="43">
        <v>1.0</v>
      </c>
      <c r="AO28" s="43">
        <v>1.0</v>
      </c>
      <c r="AP28" s="43">
        <v>1.0</v>
      </c>
      <c r="AQ28" s="43">
        <v>1.0</v>
      </c>
      <c r="AR28" s="43">
        <v>1.0</v>
      </c>
      <c r="AS28" s="42">
        <v>0.0</v>
      </c>
      <c r="AT28" s="42">
        <v>0.0</v>
      </c>
      <c r="AU28" s="43">
        <v>1.0</v>
      </c>
      <c r="AV28" s="43">
        <v>1.0</v>
      </c>
      <c r="AW28" s="43">
        <v>1.0</v>
      </c>
      <c r="AX28" s="38"/>
      <c r="AY28" s="38"/>
      <c r="AZ28" s="38"/>
      <c r="BA28" s="38"/>
      <c r="BB28" s="38"/>
      <c r="BC28" s="38"/>
      <c r="BD28" s="38"/>
      <c r="BE28" s="38"/>
      <c r="BF28" s="38"/>
      <c r="BG28" s="38"/>
      <c r="BH28" s="38"/>
      <c r="BI28" s="38"/>
      <c r="BJ28" s="38"/>
      <c r="BK28" s="38"/>
      <c r="BL28" s="38"/>
    </row>
    <row r="29">
      <c r="A29" s="43">
        <v>27.0</v>
      </c>
      <c r="B29" s="43" t="s">
        <v>118</v>
      </c>
      <c r="C29" s="43" t="s">
        <v>95</v>
      </c>
      <c r="D29" s="43" t="s">
        <v>90</v>
      </c>
      <c r="E29" s="44">
        <v>1.0</v>
      </c>
      <c r="F29" s="44">
        <v>1.0</v>
      </c>
      <c r="G29" s="38"/>
      <c r="H29" s="38"/>
      <c r="I29" s="43"/>
      <c r="J29" s="43"/>
      <c r="K29" s="43"/>
      <c r="L29" s="43"/>
      <c r="M29" s="43"/>
      <c r="N29" s="43"/>
      <c r="O29" s="43"/>
      <c r="P29" s="43">
        <v>1.0</v>
      </c>
      <c r="Q29" s="43">
        <v>1.0</v>
      </c>
      <c r="R29" s="43">
        <v>1.0</v>
      </c>
      <c r="S29" s="43">
        <v>1.0</v>
      </c>
      <c r="T29" s="43">
        <v>1.0</v>
      </c>
      <c r="U29" s="43">
        <v>1.0</v>
      </c>
      <c r="V29" s="43">
        <v>1.0</v>
      </c>
      <c r="W29" s="43">
        <v>1.0</v>
      </c>
      <c r="X29" s="43">
        <v>1.0</v>
      </c>
      <c r="Y29" s="43">
        <v>1.0</v>
      </c>
      <c r="Z29" s="43">
        <v>1.0</v>
      </c>
      <c r="AA29" s="43">
        <v>1.0</v>
      </c>
      <c r="AB29" s="43">
        <v>1.0</v>
      </c>
      <c r="AC29" s="43">
        <v>1.0</v>
      </c>
      <c r="AD29" s="43">
        <v>1.0</v>
      </c>
      <c r="AE29" s="43">
        <v>1.0</v>
      </c>
      <c r="AF29" s="43">
        <v>1.0</v>
      </c>
      <c r="AG29" s="43">
        <v>1.0</v>
      </c>
      <c r="AH29" s="43">
        <v>1.0</v>
      </c>
      <c r="AI29" s="43">
        <v>1.0</v>
      </c>
      <c r="AJ29" s="43">
        <v>1.0</v>
      </c>
      <c r="AK29" s="43">
        <v>1.0</v>
      </c>
      <c r="AL29" s="43">
        <v>1.0</v>
      </c>
      <c r="AM29" s="43">
        <v>1.0</v>
      </c>
      <c r="AN29" s="43">
        <v>1.0</v>
      </c>
      <c r="AO29" s="43">
        <v>1.0</v>
      </c>
      <c r="AP29" s="43">
        <v>1.0</v>
      </c>
      <c r="AQ29" s="43">
        <v>1.0</v>
      </c>
      <c r="AR29" s="43">
        <v>1.0</v>
      </c>
      <c r="AS29" s="42">
        <v>0.0</v>
      </c>
      <c r="AT29" s="42">
        <v>0.0</v>
      </c>
      <c r="AU29" s="43">
        <v>1.0</v>
      </c>
      <c r="AV29" s="43">
        <v>1.0</v>
      </c>
      <c r="AW29" s="43">
        <v>1.0</v>
      </c>
      <c r="AX29" s="38"/>
      <c r="AY29" s="38"/>
      <c r="AZ29" s="38"/>
      <c r="BA29" s="38"/>
      <c r="BB29" s="38"/>
      <c r="BC29" s="38"/>
      <c r="BD29" s="38"/>
      <c r="BE29" s="38"/>
      <c r="BF29" s="38"/>
      <c r="BG29" s="38"/>
      <c r="BH29" s="38"/>
      <c r="BI29" s="38"/>
      <c r="BJ29" s="38"/>
      <c r="BK29" s="38"/>
      <c r="BL29" s="38"/>
    </row>
    <row r="30">
      <c r="A30" s="43">
        <v>28.0</v>
      </c>
      <c r="B30" s="43" t="s">
        <v>118</v>
      </c>
      <c r="C30" s="43" t="s">
        <v>95</v>
      </c>
      <c r="D30" s="43" t="s">
        <v>90</v>
      </c>
      <c r="E30" s="44">
        <v>1.0</v>
      </c>
      <c r="F30" s="44">
        <v>1.0</v>
      </c>
      <c r="G30" s="38"/>
      <c r="H30" s="38"/>
      <c r="I30" s="43"/>
      <c r="J30" s="43"/>
      <c r="K30" s="43"/>
      <c r="L30" s="43"/>
      <c r="M30" s="43"/>
      <c r="N30" s="43"/>
      <c r="O30" s="43"/>
      <c r="P30" s="43">
        <v>1.0</v>
      </c>
      <c r="Q30" s="43">
        <v>1.0</v>
      </c>
      <c r="R30" s="43">
        <v>1.0</v>
      </c>
      <c r="S30" s="43">
        <v>1.0</v>
      </c>
      <c r="T30" s="43">
        <v>1.0</v>
      </c>
      <c r="U30" s="43">
        <v>1.0</v>
      </c>
      <c r="V30" s="43">
        <v>1.0</v>
      </c>
      <c r="W30" s="43">
        <v>1.0</v>
      </c>
      <c r="X30" s="43">
        <v>1.0</v>
      </c>
      <c r="Y30" s="43">
        <v>1.0</v>
      </c>
      <c r="Z30" s="43">
        <v>1.0</v>
      </c>
      <c r="AA30" s="43">
        <v>1.0</v>
      </c>
      <c r="AB30" s="43">
        <v>1.0</v>
      </c>
      <c r="AC30" s="43">
        <v>1.0</v>
      </c>
      <c r="AD30" s="43">
        <v>1.0</v>
      </c>
      <c r="AE30" s="43">
        <v>1.0</v>
      </c>
      <c r="AF30" s="43">
        <v>1.0</v>
      </c>
      <c r="AG30" s="43">
        <v>1.0</v>
      </c>
      <c r="AH30" s="43">
        <v>1.0</v>
      </c>
      <c r="AI30" s="43">
        <v>1.0</v>
      </c>
      <c r="AJ30" s="43">
        <v>1.0</v>
      </c>
      <c r="AK30" s="43">
        <v>1.0</v>
      </c>
      <c r="AL30" s="43">
        <v>1.0</v>
      </c>
      <c r="AM30" s="43">
        <v>1.0</v>
      </c>
      <c r="AN30" s="43">
        <v>1.0</v>
      </c>
      <c r="AO30" s="43">
        <v>1.0</v>
      </c>
      <c r="AP30" s="43">
        <v>1.0</v>
      </c>
      <c r="AQ30" s="43">
        <v>1.0</v>
      </c>
      <c r="AR30" s="43">
        <v>1.0</v>
      </c>
      <c r="AS30" s="42">
        <v>0.0</v>
      </c>
      <c r="AT30" s="42">
        <v>0.0</v>
      </c>
      <c r="AU30" s="43">
        <v>1.0</v>
      </c>
      <c r="AV30" s="43">
        <v>1.0</v>
      </c>
      <c r="AW30" s="43">
        <v>1.0</v>
      </c>
      <c r="AX30" s="38"/>
      <c r="AY30" s="38"/>
      <c r="AZ30" s="38"/>
      <c r="BA30" s="38"/>
      <c r="BB30" s="38"/>
      <c r="BC30" s="38"/>
      <c r="BD30" s="38"/>
      <c r="BE30" s="38"/>
      <c r="BF30" s="38"/>
      <c r="BG30" s="38"/>
      <c r="BH30" s="38"/>
      <c r="BI30" s="38"/>
      <c r="BJ30" s="38"/>
      <c r="BK30" s="38"/>
      <c r="BL30" s="38"/>
    </row>
    <row r="31">
      <c r="A31" s="43">
        <v>29.0</v>
      </c>
      <c r="B31" s="43" t="s">
        <v>118</v>
      </c>
      <c r="C31" s="43" t="s">
        <v>54</v>
      </c>
      <c r="D31" s="43" t="s">
        <v>102</v>
      </c>
      <c r="E31" s="44">
        <v>1.0</v>
      </c>
      <c r="F31" s="44">
        <v>0.0</v>
      </c>
      <c r="G31" s="38"/>
      <c r="H31" s="38"/>
      <c r="I31" s="43"/>
      <c r="J31" s="43"/>
      <c r="K31" s="43"/>
      <c r="L31" s="43"/>
      <c r="M31" s="43"/>
      <c r="N31" s="43"/>
      <c r="O31" s="43"/>
      <c r="P31" s="43">
        <v>1.0</v>
      </c>
      <c r="Q31" s="43">
        <v>1.0</v>
      </c>
      <c r="R31" s="43">
        <v>1.0</v>
      </c>
      <c r="S31" s="43">
        <v>1.0</v>
      </c>
      <c r="T31" s="43">
        <v>1.0</v>
      </c>
      <c r="U31" s="43">
        <v>1.0</v>
      </c>
      <c r="V31" s="43">
        <v>1.0</v>
      </c>
      <c r="W31" s="43">
        <v>1.0</v>
      </c>
      <c r="X31" s="43">
        <v>1.0</v>
      </c>
      <c r="Y31" s="43">
        <v>1.0</v>
      </c>
      <c r="Z31" s="43">
        <v>1.0</v>
      </c>
      <c r="AA31" s="43">
        <v>1.0</v>
      </c>
      <c r="AB31" s="43">
        <v>1.0</v>
      </c>
      <c r="AC31" s="43">
        <v>1.0</v>
      </c>
      <c r="AD31" s="43">
        <v>1.0</v>
      </c>
      <c r="AE31" s="43">
        <v>1.0</v>
      </c>
      <c r="AF31" s="43">
        <v>1.0</v>
      </c>
      <c r="AG31" s="43">
        <v>1.0</v>
      </c>
      <c r="AH31" s="43">
        <v>1.0</v>
      </c>
      <c r="AI31" s="43">
        <v>1.0</v>
      </c>
      <c r="AJ31" s="43">
        <v>1.0</v>
      </c>
      <c r="AK31" s="43">
        <v>1.0</v>
      </c>
      <c r="AL31" s="43">
        <v>1.0</v>
      </c>
      <c r="AM31" s="43">
        <v>1.0</v>
      </c>
      <c r="AN31" s="43">
        <v>1.0</v>
      </c>
      <c r="AO31" s="43">
        <v>1.0</v>
      </c>
      <c r="AP31" s="43">
        <v>1.0</v>
      </c>
      <c r="AQ31" s="43">
        <v>1.0</v>
      </c>
      <c r="AR31" s="43">
        <v>1.0</v>
      </c>
      <c r="AS31" s="42">
        <v>0.0</v>
      </c>
      <c r="AT31" s="42">
        <v>0.0</v>
      </c>
      <c r="AU31" s="43">
        <v>1.0</v>
      </c>
      <c r="AV31" s="43">
        <v>1.0</v>
      </c>
      <c r="AW31" s="43">
        <v>1.0</v>
      </c>
      <c r="AX31" s="38"/>
      <c r="AY31" s="38"/>
      <c r="AZ31" s="38"/>
      <c r="BA31" s="38"/>
      <c r="BB31" s="38"/>
      <c r="BC31" s="38"/>
      <c r="BD31" s="38"/>
      <c r="BE31" s="38"/>
      <c r="BF31" s="38"/>
      <c r="BG31" s="38"/>
      <c r="BH31" s="38"/>
      <c r="BI31" s="38"/>
      <c r="BJ31" s="38"/>
      <c r="BK31" s="38"/>
      <c r="BL31" s="38"/>
    </row>
    <row r="32">
      <c r="A32" s="43">
        <v>30.0</v>
      </c>
      <c r="B32" s="43" t="s">
        <v>118</v>
      </c>
      <c r="C32" s="43" t="s">
        <v>92</v>
      </c>
      <c r="D32" s="43" t="s">
        <v>102</v>
      </c>
      <c r="E32" s="44">
        <v>1.0</v>
      </c>
      <c r="F32" s="44">
        <v>0.0</v>
      </c>
      <c r="G32" s="38"/>
      <c r="H32" s="38"/>
      <c r="I32" s="43"/>
      <c r="J32" s="43"/>
      <c r="K32" s="43"/>
      <c r="L32" s="43"/>
      <c r="M32" s="43"/>
      <c r="N32" s="43"/>
      <c r="O32" s="43"/>
      <c r="P32" s="43">
        <v>1.0</v>
      </c>
      <c r="Q32" s="43">
        <v>1.0</v>
      </c>
      <c r="R32" s="43">
        <v>1.0</v>
      </c>
      <c r="S32" s="43">
        <v>1.0</v>
      </c>
      <c r="T32" s="43">
        <v>1.0</v>
      </c>
      <c r="U32" s="43">
        <v>1.0</v>
      </c>
      <c r="V32" s="43">
        <v>1.0</v>
      </c>
      <c r="W32" s="43">
        <v>1.0</v>
      </c>
      <c r="X32" s="43">
        <v>1.0</v>
      </c>
      <c r="Y32" s="43">
        <v>1.0</v>
      </c>
      <c r="Z32" s="43">
        <v>1.0</v>
      </c>
      <c r="AA32" s="43">
        <v>1.0</v>
      </c>
      <c r="AB32" s="43">
        <v>1.0</v>
      </c>
      <c r="AC32" s="43">
        <v>1.0</v>
      </c>
      <c r="AD32" s="43">
        <v>1.0</v>
      </c>
      <c r="AE32" s="43">
        <v>1.0</v>
      </c>
      <c r="AF32" s="43">
        <v>1.0</v>
      </c>
      <c r="AG32" s="43">
        <v>1.0</v>
      </c>
      <c r="AH32" s="43">
        <v>1.0</v>
      </c>
      <c r="AI32" s="43">
        <v>1.0</v>
      </c>
      <c r="AJ32" s="43">
        <v>1.0</v>
      </c>
      <c r="AK32" s="43">
        <v>1.0</v>
      </c>
      <c r="AL32" s="43">
        <v>1.0</v>
      </c>
      <c r="AM32" s="43">
        <v>1.0</v>
      </c>
      <c r="AN32" s="43">
        <v>1.0</v>
      </c>
      <c r="AO32" s="43">
        <v>1.0</v>
      </c>
      <c r="AP32" s="43">
        <v>1.0</v>
      </c>
      <c r="AQ32" s="43">
        <v>1.0</v>
      </c>
      <c r="AR32" s="43">
        <v>1.0</v>
      </c>
      <c r="AS32" s="42">
        <v>0.0</v>
      </c>
      <c r="AT32" s="42">
        <v>0.0</v>
      </c>
      <c r="AU32" s="43">
        <v>1.0</v>
      </c>
      <c r="AV32" s="43">
        <v>1.0</v>
      </c>
      <c r="AW32" s="43">
        <v>1.0</v>
      </c>
      <c r="AX32" s="38"/>
      <c r="AY32" s="38"/>
      <c r="AZ32" s="38"/>
      <c r="BA32" s="38"/>
      <c r="BB32" s="38"/>
      <c r="BC32" s="38"/>
      <c r="BD32" s="38"/>
      <c r="BE32" s="38"/>
      <c r="BF32" s="38"/>
      <c r="BG32" s="38"/>
      <c r="BH32" s="38"/>
      <c r="BI32" s="38"/>
      <c r="BJ32" s="38"/>
      <c r="BK32" s="38"/>
      <c r="BL32" s="38"/>
    </row>
    <row r="33">
      <c r="A33" s="43">
        <v>31.0</v>
      </c>
      <c r="B33" s="43" t="s">
        <v>118</v>
      </c>
      <c r="C33" s="43" t="s">
        <v>95</v>
      </c>
      <c r="D33" s="43" t="s">
        <v>102</v>
      </c>
      <c r="E33" s="44">
        <v>1.0</v>
      </c>
      <c r="F33" s="44">
        <v>0.0</v>
      </c>
      <c r="G33" s="38"/>
      <c r="H33" s="38"/>
      <c r="I33" s="43"/>
      <c r="J33" s="43"/>
      <c r="K33" s="43"/>
      <c r="L33" s="43"/>
      <c r="M33" s="43"/>
      <c r="N33" s="43"/>
      <c r="O33" s="43"/>
      <c r="P33" s="43">
        <v>1.0</v>
      </c>
      <c r="Q33" s="43">
        <v>1.0</v>
      </c>
      <c r="R33" s="43">
        <v>1.0</v>
      </c>
      <c r="S33" s="43">
        <v>1.0</v>
      </c>
      <c r="T33" s="43">
        <v>1.0</v>
      </c>
      <c r="U33" s="43">
        <v>1.0</v>
      </c>
      <c r="V33" s="43">
        <v>1.0</v>
      </c>
      <c r="W33" s="43">
        <v>1.0</v>
      </c>
      <c r="X33" s="43">
        <v>1.0</v>
      </c>
      <c r="Y33" s="43">
        <v>1.0</v>
      </c>
      <c r="Z33" s="43">
        <v>1.0</v>
      </c>
      <c r="AA33" s="43">
        <v>1.0</v>
      </c>
      <c r="AB33" s="43">
        <v>1.0</v>
      </c>
      <c r="AC33" s="43">
        <v>1.0</v>
      </c>
      <c r="AD33" s="43">
        <v>1.0</v>
      </c>
      <c r="AE33" s="43">
        <v>1.0</v>
      </c>
      <c r="AF33" s="43">
        <v>1.0</v>
      </c>
      <c r="AG33" s="43">
        <v>1.0</v>
      </c>
      <c r="AH33" s="43">
        <v>1.0</v>
      </c>
      <c r="AI33" s="43">
        <v>1.0</v>
      </c>
      <c r="AJ33" s="43">
        <v>1.0</v>
      </c>
      <c r="AK33" s="43">
        <v>1.0</v>
      </c>
      <c r="AL33" s="43">
        <v>1.0</v>
      </c>
      <c r="AM33" s="43">
        <v>1.0</v>
      </c>
      <c r="AN33" s="43">
        <v>1.0</v>
      </c>
      <c r="AO33" s="43">
        <v>1.0</v>
      </c>
      <c r="AP33" s="43">
        <v>1.0</v>
      </c>
      <c r="AQ33" s="43">
        <v>1.0</v>
      </c>
      <c r="AR33" s="43">
        <v>1.0</v>
      </c>
      <c r="AS33" s="42">
        <v>0.0</v>
      </c>
      <c r="AT33" s="42">
        <v>0.0</v>
      </c>
      <c r="AU33" s="43">
        <v>1.0</v>
      </c>
      <c r="AV33" s="43">
        <v>1.0</v>
      </c>
      <c r="AW33" s="43">
        <v>1.0</v>
      </c>
      <c r="AX33" s="38"/>
      <c r="AY33" s="38"/>
      <c r="AZ33" s="38"/>
      <c r="BA33" s="38"/>
      <c r="BB33" s="38"/>
      <c r="BC33" s="38"/>
      <c r="BD33" s="38"/>
      <c r="BE33" s="38"/>
      <c r="BF33" s="38"/>
      <c r="BG33" s="38"/>
      <c r="BH33" s="38"/>
      <c r="BI33" s="38"/>
      <c r="BJ33" s="38"/>
      <c r="BK33" s="38"/>
      <c r="BL33" s="38"/>
    </row>
    <row r="34">
      <c r="A34" s="43">
        <v>32.0</v>
      </c>
      <c r="B34" s="43" t="s">
        <v>118</v>
      </c>
      <c r="C34" s="43" t="s">
        <v>95</v>
      </c>
      <c r="D34" s="43" t="s">
        <v>102</v>
      </c>
      <c r="E34" s="44">
        <v>1.0</v>
      </c>
      <c r="F34" s="44">
        <v>0.0</v>
      </c>
      <c r="G34" s="38"/>
      <c r="H34" s="38"/>
      <c r="I34" s="43"/>
      <c r="J34" s="43"/>
      <c r="K34" s="43"/>
      <c r="L34" s="43"/>
      <c r="M34" s="43"/>
      <c r="N34" s="43"/>
      <c r="O34" s="43"/>
      <c r="P34" s="43">
        <v>1.0</v>
      </c>
      <c r="Q34" s="43">
        <v>1.0</v>
      </c>
      <c r="R34" s="43">
        <v>1.0</v>
      </c>
      <c r="S34" s="43">
        <v>1.0</v>
      </c>
      <c r="T34" s="43">
        <v>1.0</v>
      </c>
      <c r="U34" s="43">
        <v>1.0</v>
      </c>
      <c r="V34" s="43">
        <v>1.0</v>
      </c>
      <c r="W34" s="43">
        <v>1.0</v>
      </c>
      <c r="X34" s="43">
        <v>1.0</v>
      </c>
      <c r="Y34" s="43">
        <v>1.0</v>
      </c>
      <c r="Z34" s="43">
        <v>1.0</v>
      </c>
      <c r="AA34" s="43">
        <v>1.0</v>
      </c>
      <c r="AB34" s="43">
        <v>1.0</v>
      </c>
      <c r="AC34" s="43">
        <v>1.0</v>
      </c>
      <c r="AD34" s="43">
        <v>1.0</v>
      </c>
      <c r="AE34" s="43">
        <v>1.0</v>
      </c>
      <c r="AF34" s="43">
        <v>1.0</v>
      </c>
      <c r="AG34" s="43">
        <v>1.0</v>
      </c>
      <c r="AH34" s="43">
        <v>1.0</v>
      </c>
      <c r="AI34" s="43">
        <v>1.0</v>
      </c>
      <c r="AJ34" s="43">
        <v>1.0</v>
      </c>
      <c r="AK34" s="43">
        <v>1.0</v>
      </c>
      <c r="AL34" s="43">
        <v>1.0</v>
      </c>
      <c r="AM34" s="43">
        <v>1.0</v>
      </c>
      <c r="AN34" s="43">
        <v>1.0</v>
      </c>
      <c r="AO34" s="43">
        <v>1.0</v>
      </c>
      <c r="AP34" s="43">
        <v>1.0</v>
      </c>
      <c r="AQ34" s="43">
        <v>1.0</v>
      </c>
      <c r="AR34" s="43">
        <v>1.0</v>
      </c>
      <c r="AS34" s="42">
        <v>0.0</v>
      </c>
      <c r="AT34" s="42">
        <v>0.0</v>
      </c>
      <c r="AU34" s="43">
        <v>1.0</v>
      </c>
      <c r="AV34" s="43">
        <v>1.0</v>
      </c>
      <c r="AW34" s="43">
        <v>1.0</v>
      </c>
      <c r="AX34" s="38"/>
      <c r="AY34" s="38"/>
      <c r="AZ34" s="38"/>
      <c r="BA34" s="38"/>
      <c r="BB34" s="38"/>
      <c r="BC34" s="38"/>
      <c r="BD34" s="38"/>
      <c r="BE34" s="38"/>
      <c r="BF34" s="38"/>
      <c r="BG34" s="38"/>
      <c r="BH34" s="38"/>
      <c r="BI34" s="38"/>
      <c r="BJ34" s="38"/>
      <c r="BK34" s="38"/>
      <c r="BL34" s="38"/>
    </row>
    <row r="35">
      <c r="A35" s="43">
        <v>33.0</v>
      </c>
      <c r="B35" s="43" t="s">
        <v>122</v>
      </c>
      <c r="C35" s="43" t="s">
        <v>54</v>
      </c>
      <c r="D35" s="43" t="s">
        <v>111</v>
      </c>
      <c r="E35" s="44">
        <v>1.0</v>
      </c>
      <c r="F35" s="44">
        <v>1.0</v>
      </c>
      <c r="G35" s="38"/>
      <c r="H35" s="38"/>
      <c r="I35" s="43"/>
      <c r="J35" s="43"/>
      <c r="K35" s="43"/>
      <c r="L35" s="43"/>
      <c r="M35" s="43"/>
      <c r="N35" s="43"/>
      <c r="O35" s="43"/>
      <c r="P35" s="43">
        <v>1.0</v>
      </c>
      <c r="Q35" s="43">
        <v>1.0</v>
      </c>
      <c r="R35" s="43">
        <v>1.0</v>
      </c>
      <c r="S35" s="43">
        <v>1.0</v>
      </c>
      <c r="T35" s="43">
        <v>1.0</v>
      </c>
      <c r="U35" s="43">
        <v>1.0</v>
      </c>
      <c r="V35" s="43">
        <v>1.0</v>
      </c>
      <c r="W35" s="43">
        <v>1.0</v>
      </c>
      <c r="X35" s="43">
        <v>1.0</v>
      </c>
      <c r="Y35" s="43">
        <v>1.0</v>
      </c>
      <c r="Z35" s="43">
        <v>1.0</v>
      </c>
      <c r="AA35" s="43">
        <v>1.0</v>
      </c>
      <c r="AB35" s="43">
        <v>1.0</v>
      </c>
      <c r="AC35" s="43">
        <v>1.0</v>
      </c>
      <c r="AD35" s="43">
        <v>1.0</v>
      </c>
      <c r="AE35" s="43">
        <v>1.0</v>
      </c>
      <c r="AF35" s="43">
        <v>1.0</v>
      </c>
      <c r="AG35" s="43">
        <v>1.0</v>
      </c>
      <c r="AH35" s="43">
        <v>1.0</v>
      </c>
      <c r="AI35" s="43">
        <v>1.0</v>
      </c>
      <c r="AJ35" s="43">
        <v>1.0</v>
      </c>
      <c r="AK35" s="43">
        <v>1.0</v>
      </c>
      <c r="AL35" s="43">
        <v>1.0</v>
      </c>
      <c r="AM35" s="43">
        <v>1.0</v>
      </c>
      <c r="AN35" s="43">
        <v>1.0</v>
      </c>
      <c r="AO35" s="43">
        <v>1.0</v>
      </c>
      <c r="AP35" s="43">
        <v>1.0</v>
      </c>
      <c r="AQ35" s="43">
        <v>1.0</v>
      </c>
      <c r="AR35" s="43">
        <v>1.0</v>
      </c>
      <c r="AS35" s="42">
        <v>0.0</v>
      </c>
      <c r="AT35" s="42">
        <v>0.0</v>
      </c>
      <c r="AU35" s="43">
        <v>1.0</v>
      </c>
      <c r="AV35" s="43">
        <v>1.0</v>
      </c>
      <c r="AW35" s="43">
        <v>1.0</v>
      </c>
      <c r="AX35" s="38"/>
      <c r="AY35" s="38"/>
      <c r="AZ35" s="38"/>
      <c r="BA35" s="38"/>
      <c r="BB35" s="38"/>
      <c r="BC35" s="38"/>
      <c r="BD35" s="38"/>
      <c r="BE35" s="38"/>
      <c r="BF35" s="38"/>
      <c r="BG35" s="38"/>
      <c r="BH35" s="38"/>
      <c r="BI35" s="38"/>
      <c r="BJ35" s="38"/>
      <c r="BK35" s="38"/>
      <c r="BL35" s="38"/>
    </row>
    <row r="36">
      <c r="A36" s="43">
        <v>34.0</v>
      </c>
      <c r="B36" s="43" t="s">
        <v>122</v>
      </c>
      <c r="C36" s="43" t="s">
        <v>92</v>
      </c>
      <c r="D36" s="43" t="s">
        <v>111</v>
      </c>
      <c r="E36" s="44">
        <v>1.0</v>
      </c>
      <c r="F36" s="44">
        <v>1.0</v>
      </c>
      <c r="G36" s="38"/>
      <c r="H36" s="38"/>
      <c r="I36" s="43"/>
      <c r="J36" s="43"/>
      <c r="K36" s="43"/>
      <c r="L36" s="43"/>
      <c r="M36" s="43"/>
      <c r="N36" s="43"/>
      <c r="O36" s="43"/>
      <c r="P36" s="43">
        <v>1.0</v>
      </c>
      <c r="Q36" s="43">
        <v>1.0</v>
      </c>
      <c r="R36" s="43">
        <v>1.0</v>
      </c>
      <c r="S36" s="43">
        <v>1.0</v>
      </c>
      <c r="T36" s="43">
        <v>1.0</v>
      </c>
      <c r="U36" s="43">
        <v>1.0</v>
      </c>
      <c r="V36" s="43">
        <v>1.0</v>
      </c>
      <c r="W36" s="43">
        <v>1.0</v>
      </c>
      <c r="X36" s="43">
        <v>1.0</v>
      </c>
      <c r="Y36" s="43">
        <v>1.0</v>
      </c>
      <c r="Z36" s="43">
        <v>1.0</v>
      </c>
      <c r="AA36" s="43">
        <v>1.0</v>
      </c>
      <c r="AB36" s="43">
        <v>1.0</v>
      </c>
      <c r="AC36" s="43">
        <v>1.0</v>
      </c>
      <c r="AD36" s="43">
        <v>1.0</v>
      </c>
      <c r="AE36" s="43">
        <v>1.0</v>
      </c>
      <c r="AF36" s="43">
        <v>1.0</v>
      </c>
      <c r="AG36" s="43">
        <v>1.0</v>
      </c>
      <c r="AH36" s="43">
        <v>1.0</v>
      </c>
      <c r="AI36" s="43">
        <v>1.0</v>
      </c>
      <c r="AJ36" s="43">
        <v>1.0</v>
      </c>
      <c r="AK36" s="43">
        <v>1.0</v>
      </c>
      <c r="AL36" s="43">
        <v>1.0</v>
      </c>
      <c r="AM36" s="43">
        <v>1.0</v>
      </c>
      <c r="AN36" s="43">
        <v>1.0</v>
      </c>
      <c r="AO36" s="43">
        <v>1.0</v>
      </c>
      <c r="AP36" s="43">
        <v>1.0</v>
      </c>
      <c r="AQ36" s="43">
        <v>1.0</v>
      </c>
      <c r="AR36" s="43">
        <v>1.0</v>
      </c>
      <c r="AS36" s="42">
        <v>0.0</v>
      </c>
      <c r="AT36" s="42">
        <v>0.0</v>
      </c>
      <c r="AU36" s="43">
        <v>1.0</v>
      </c>
      <c r="AV36" s="43">
        <v>1.0</v>
      </c>
      <c r="AW36" s="43">
        <v>1.0</v>
      </c>
      <c r="AX36" s="38"/>
      <c r="AY36" s="38"/>
      <c r="AZ36" s="38"/>
      <c r="BA36" s="38"/>
      <c r="BB36" s="38"/>
      <c r="BC36" s="38"/>
      <c r="BD36" s="38"/>
      <c r="BE36" s="38"/>
      <c r="BF36" s="38"/>
      <c r="BG36" s="38"/>
      <c r="BH36" s="38"/>
      <c r="BI36" s="38"/>
      <c r="BJ36" s="38"/>
      <c r="BK36" s="38"/>
      <c r="BL36" s="38"/>
    </row>
    <row r="37">
      <c r="A37" s="43">
        <v>35.0</v>
      </c>
      <c r="B37" s="43" t="s">
        <v>122</v>
      </c>
      <c r="C37" s="43" t="s">
        <v>95</v>
      </c>
      <c r="D37" s="43" t="s">
        <v>111</v>
      </c>
      <c r="E37" s="44">
        <v>1.0</v>
      </c>
      <c r="F37" s="44">
        <v>1.0</v>
      </c>
      <c r="G37" s="38"/>
      <c r="H37" s="38"/>
      <c r="I37" s="43"/>
      <c r="J37" s="43"/>
      <c r="K37" s="43"/>
      <c r="L37" s="43"/>
      <c r="M37" s="43"/>
      <c r="N37" s="43"/>
      <c r="O37" s="43"/>
      <c r="P37" s="43">
        <v>1.0</v>
      </c>
      <c r="Q37" s="43">
        <v>1.0</v>
      </c>
      <c r="R37" s="43">
        <v>1.0</v>
      </c>
      <c r="S37" s="43">
        <v>1.0</v>
      </c>
      <c r="T37" s="43">
        <v>1.0</v>
      </c>
      <c r="U37" s="43">
        <v>1.0</v>
      </c>
      <c r="V37" s="43">
        <v>1.0</v>
      </c>
      <c r="W37" s="43">
        <v>1.0</v>
      </c>
      <c r="X37" s="43">
        <v>1.0</v>
      </c>
      <c r="Y37" s="43">
        <v>1.0</v>
      </c>
      <c r="Z37" s="43">
        <v>1.0</v>
      </c>
      <c r="AA37" s="43">
        <v>1.0</v>
      </c>
      <c r="AB37" s="43">
        <v>1.0</v>
      </c>
      <c r="AC37" s="43">
        <v>1.0</v>
      </c>
      <c r="AD37" s="43">
        <v>1.0</v>
      </c>
      <c r="AE37" s="43">
        <v>1.0</v>
      </c>
      <c r="AF37" s="43">
        <v>1.0</v>
      </c>
      <c r="AG37" s="43">
        <v>1.0</v>
      </c>
      <c r="AH37" s="43">
        <v>1.0</v>
      </c>
      <c r="AI37" s="43">
        <v>1.0</v>
      </c>
      <c r="AJ37" s="43">
        <v>1.0</v>
      </c>
      <c r="AK37" s="43">
        <v>1.0</v>
      </c>
      <c r="AL37" s="43">
        <v>1.0</v>
      </c>
      <c r="AM37" s="43">
        <v>1.0</v>
      </c>
      <c r="AN37" s="43">
        <v>1.0</v>
      </c>
      <c r="AO37" s="43">
        <v>1.0</v>
      </c>
      <c r="AP37" s="43">
        <v>1.0</v>
      </c>
      <c r="AQ37" s="43">
        <v>1.0</v>
      </c>
      <c r="AR37" s="43">
        <v>1.0</v>
      </c>
      <c r="AS37" s="42">
        <v>0.0</v>
      </c>
      <c r="AT37" s="42">
        <v>0.0</v>
      </c>
      <c r="AU37" s="43">
        <v>1.0</v>
      </c>
      <c r="AV37" s="43">
        <v>1.0</v>
      </c>
      <c r="AW37" s="43">
        <v>1.0</v>
      </c>
      <c r="AX37" s="38"/>
      <c r="AY37" s="38"/>
      <c r="AZ37" s="38"/>
      <c r="BA37" s="38"/>
      <c r="BB37" s="38"/>
      <c r="BC37" s="38"/>
      <c r="BD37" s="38"/>
      <c r="BE37" s="38"/>
      <c r="BF37" s="38"/>
      <c r="BG37" s="38"/>
      <c r="BH37" s="38"/>
      <c r="BI37" s="38"/>
      <c r="BJ37" s="38"/>
      <c r="BK37" s="38"/>
      <c r="BL37" s="38"/>
    </row>
    <row r="38">
      <c r="A38" s="43">
        <v>36.0</v>
      </c>
      <c r="B38" s="43" t="s">
        <v>122</v>
      </c>
      <c r="C38" s="43" t="s">
        <v>95</v>
      </c>
      <c r="D38" s="43" t="s">
        <v>111</v>
      </c>
      <c r="E38" s="44">
        <v>1.0</v>
      </c>
      <c r="F38" s="44">
        <v>1.0</v>
      </c>
      <c r="G38" s="38"/>
      <c r="H38" s="38"/>
      <c r="I38" s="43"/>
      <c r="J38" s="43"/>
      <c r="K38" s="43"/>
      <c r="L38" s="43"/>
      <c r="M38" s="43"/>
      <c r="N38" s="43"/>
      <c r="O38" s="43"/>
      <c r="P38" s="43">
        <v>1.0</v>
      </c>
      <c r="Q38" s="43">
        <v>1.0</v>
      </c>
      <c r="R38" s="43">
        <v>1.0</v>
      </c>
      <c r="S38" s="43">
        <v>1.0</v>
      </c>
      <c r="T38" s="43">
        <v>1.0</v>
      </c>
      <c r="U38" s="43">
        <v>1.0</v>
      </c>
      <c r="V38" s="43">
        <v>1.0</v>
      </c>
      <c r="W38" s="43">
        <v>1.0</v>
      </c>
      <c r="X38" s="43">
        <v>1.0</v>
      </c>
      <c r="Y38" s="43">
        <v>1.0</v>
      </c>
      <c r="Z38" s="43">
        <v>1.0</v>
      </c>
      <c r="AA38" s="43">
        <v>1.0</v>
      </c>
      <c r="AB38" s="43">
        <v>1.0</v>
      </c>
      <c r="AC38" s="43">
        <v>1.0</v>
      </c>
      <c r="AD38" s="43">
        <v>1.0</v>
      </c>
      <c r="AE38" s="43">
        <v>1.0</v>
      </c>
      <c r="AF38" s="43">
        <v>1.0</v>
      </c>
      <c r="AG38" s="43">
        <v>1.0</v>
      </c>
      <c r="AH38" s="43">
        <v>1.0</v>
      </c>
      <c r="AI38" s="43">
        <v>1.0</v>
      </c>
      <c r="AJ38" s="43">
        <v>1.0</v>
      </c>
      <c r="AK38" s="43">
        <v>1.0</v>
      </c>
      <c r="AL38" s="43">
        <v>1.0</v>
      </c>
      <c r="AM38" s="43">
        <v>1.0</v>
      </c>
      <c r="AN38" s="43">
        <v>1.0</v>
      </c>
      <c r="AO38" s="43">
        <v>1.0</v>
      </c>
      <c r="AP38" s="43">
        <v>1.0</v>
      </c>
      <c r="AQ38" s="43">
        <v>1.0</v>
      </c>
      <c r="AR38" s="43">
        <v>1.0</v>
      </c>
      <c r="AS38" s="42">
        <v>0.0</v>
      </c>
      <c r="AT38" s="42">
        <v>0.0</v>
      </c>
      <c r="AU38" s="43">
        <v>1.0</v>
      </c>
      <c r="AV38" s="43">
        <v>1.0</v>
      </c>
      <c r="AW38" s="43">
        <v>1.0</v>
      </c>
      <c r="AX38" s="38"/>
      <c r="AY38" s="38"/>
      <c r="AZ38" s="38"/>
      <c r="BA38" s="38"/>
      <c r="BB38" s="38"/>
      <c r="BC38" s="38"/>
      <c r="BD38" s="38"/>
      <c r="BE38" s="38"/>
      <c r="BF38" s="38"/>
      <c r="BG38" s="38"/>
      <c r="BH38" s="38"/>
      <c r="BI38" s="38"/>
      <c r="BJ38" s="38"/>
      <c r="BK38" s="38"/>
      <c r="BL38" s="38"/>
    </row>
    <row r="39">
      <c r="A39" s="43">
        <v>37.0</v>
      </c>
      <c r="B39" s="43" t="s">
        <v>136</v>
      </c>
      <c r="C39" s="43" t="s">
        <v>138</v>
      </c>
      <c r="D39" s="43" t="s">
        <v>139</v>
      </c>
      <c r="E39" s="44">
        <v>1.0</v>
      </c>
      <c r="F39" s="44">
        <v>1.0</v>
      </c>
      <c r="G39" s="38"/>
      <c r="H39" s="38"/>
      <c r="I39" s="43"/>
      <c r="J39" s="43"/>
      <c r="K39" s="43"/>
      <c r="L39" s="43"/>
      <c r="M39" s="43"/>
      <c r="N39" s="43"/>
      <c r="O39" s="43"/>
      <c r="P39" s="43">
        <v>1.0</v>
      </c>
      <c r="Q39" s="43">
        <v>1.0</v>
      </c>
      <c r="R39" s="43">
        <v>1.0</v>
      </c>
      <c r="S39" s="43">
        <v>1.0</v>
      </c>
      <c r="T39" s="43">
        <v>1.0</v>
      </c>
      <c r="U39" s="43">
        <v>1.0</v>
      </c>
      <c r="V39" s="43">
        <v>1.0</v>
      </c>
      <c r="W39" s="43">
        <v>1.0</v>
      </c>
      <c r="X39" s="43">
        <v>1.0</v>
      </c>
      <c r="Y39" s="43">
        <v>1.0</v>
      </c>
      <c r="Z39" s="43">
        <v>1.0</v>
      </c>
      <c r="AA39" s="43">
        <v>1.0</v>
      </c>
      <c r="AB39" s="43">
        <v>1.0</v>
      </c>
      <c r="AC39" s="43">
        <v>1.0</v>
      </c>
      <c r="AD39" s="43">
        <v>1.0</v>
      </c>
      <c r="AE39" s="43">
        <v>1.0</v>
      </c>
      <c r="AF39" s="43">
        <v>1.0</v>
      </c>
      <c r="AG39" s="43">
        <v>1.0</v>
      </c>
      <c r="AH39" s="43">
        <v>1.0</v>
      </c>
      <c r="AI39" s="43">
        <v>1.0</v>
      </c>
      <c r="AJ39" s="43">
        <v>1.0</v>
      </c>
      <c r="AK39" s="43">
        <v>1.0</v>
      </c>
      <c r="AL39" s="43">
        <v>1.0</v>
      </c>
      <c r="AM39" s="43">
        <v>1.0</v>
      </c>
      <c r="AN39" s="43">
        <v>1.0</v>
      </c>
      <c r="AO39" s="43">
        <v>1.0</v>
      </c>
      <c r="AP39" s="43">
        <v>1.0</v>
      </c>
      <c r="AQ39" s="43">
        <v>1.0</v>
      </c>
      <c r="AR39" s="43">
        <v>1.0</v>
      </c>
      <c r="AS39" s="42">
        <v>0.0</v>
      </c>
      <c r="AT39" s="42">
        <v>0.0</v>
      </c>
      <c r="AU39" s="43">
        <v>1.0</v>
      </c>
      <c r="AV39" s="43">
        <v>1.0</v>
      </c>
      <c r="AW39" s="43">
        <v>1.0</v>
      </c>
      <c r="AX39" s="38"/>
      <c r="AY39" s="38"/>
      <c r="AZ39" s="38"/>
      <c r="BA39" s="38"/>
      <c r="BB39" s="38"/>
      <c r="BC39" s="38"/>
      <c r="BD39" s="38"/>
      <c r="BE39" s="38"/>
      <c r="BF39" s="38"/>
      <c r="BG39" s="38"/>
      <c r="BH39" s="38"/>
      <c r="BI39" s="38"/>
      <c r="BJ39" s="38"/>
      <c r="BK39" s="38"/>
      <c r="BL39" s="38"/>
    </row>
    <row r="40">
      <c r="A40" s="43">
        <v>38.0</v>
      </c>
      <c r="B40" s="43" t="s">
        <v>136</v>
      </c>
      <c r="C40" s="39" t="s">
        <v>141</v>
      </c>
      <c r="D40" s="43" t="s">
        <v>139</v>
      </c>
      <c r="E40" s="44">
        <v>1.0</v>
      </c>
      <c r="F40" s="44">
        <v>1.0</v>
      </c>
      <c r="G40" s="38"/>
      <c r="H40" s="38"/>
      <c r="I40" s="43"/>
      <c r="J40" s="43"/>
      <c r="K40" s="43"/>
      <c r="L40" s="43"/>
      <c r="M40" s="43"/>
      <c r="N40" s="43"/>
      <c r="O40" s="43"/>
      <c r="P40" s="43">
        <v>1.0</v>
      </c>
      <c r="Q40" s="43">
        <v>1.0</v>
      </c>
      <c r="R40" s="43">
        <v>1.0</v>
      </c>
      <c r="S40" s="43">
        <v>1.0</v>
      </c>
      <c r="T40" s="43">
        <v>1.0</v>
      </c>
      <c r="U40" s="43">
        <v>1.0</v>
      </c>
      <c r="V40" s="43">
        <v>1.0</v>
      </c>
      <c r="W40" s="43">
        <v>1.0</v>
      </c>
      <c r="X40" s="43">
        <v>1.0</v>
      </c>
      <c r="Y40" s="43">
        <v>1.0</v>
      </c>
      <c r="Z40" s="43">
        <v>1.0</v>
      </c>
      <c r="AA40" s="43">
        <v>1.0</v>
      </c>
      <c r="AB40" s="43">
        <v>1.0</v>
      </c>
      <c r="AC40" s="43">
        <v>1.0</v>
      </c>
      <c r="AD40" s="43">
        <v>1.0</v>
      </c>
      <c r="AE40" s="43">
        <v>1.0</v>
      </c>
      <c r="AF40" s="43">
        <v>1.0</v>
      </c>
      <c r="AG40" s="43">
        <v>1.0</v>
      </c>
      <c r="AH40" s="43">
        <v>1.0</v>
      </c>
      <c r="AI40" s="43">
        <v>1.0</v>
      </c>
      <c r="AJ40" s="43">
        <v>1.0</v>
      </c>
      <c r="AK40" s="43">
        <v>1.0</v>
      </c>
      <c r="AL40" s="43">
        <v>1.0</v>
      </c>
      <c r="AM40" s="43">
        <v>1.0</v>
      </c>
      <c r="AN40" s="43">
        <v>1.0</v>
      </c>
      <c r="AO40" s="43">
        <v>1.0</v>
      </c>
      <c r="AP40" s="43">
        <v>1.0</v>
      </c>
      <c r="AQ40" s="43">
        <v>1.0</v>
      </c>
      <c r="AR40" s="43">
        <v>1.0</v>
      </c>
      <c r="AS40" s="42">
        <v>0.0</v>
      </c>
      <c r="AT40" s="42">
        <v>0.0</v>
      </c>
      <c r="AU40" s="43">
        <v>1.0</v>
      </c>
      <c r="AV40" s="43">
        <v>1.0</v>
      </c>
      <c r="AW40" s="43">
        <v>1.0</v>
      </c>
      <c r="AX40" s="38"/>
      <c r="AY40" s="38"/>
      <c r="AZ40" s="38"/>
      <c r="BA40" s="38"/>
      <c r="BB40" s="38"/>
      <c r="BC40" s="38"/>
      <c r="BD40" s="38"/>
      <c r="BE40" s="38"/>
      <c r="BF40" s="38"/>
      <c r="BG40" s="38"/>
      <c r="BH40" s="38"/>
      <c r="BI40" s="38"/>
      <c r="BJ40" s="38"/>
      <c r="BK40" s="38"/>
      <c r="BL40" s="38"/>
    </row>
    <row r="41">
      <c r="A41" s="43">
        <v>39.0</v>
      </c>
      <c r="B41" s="43" t="s">
        <v>136</v>
      </c>
      <c r="C41" s="39" t="s">
        <v>145</v>
      </c>
      <c r="D41" s="43" t="s">
        <v>139</v>
      </c>
      <c r="E41" s="44">
        <v>1.0</v>
      </c>
      <c r="F41" s="44">
        <v>1.0</v>
      </c>
      <c r="G41" s="38"/>
      <c r="H41" s="38"/>
      <c r="I41" s="43"/>
      <c r="J41" s="43"/>
      <c r="K41" s="43"/>
      <c r="L41" s="43"/>
      <c r="M41" s="43"/>
      <c r="N41" s="43"/>
      <c r="O41" s="43"/>
      <c r="P41" s="43">
        <v>1.0</v>
      </c>
      <c r="Q41" s="43">
        <v>1.0</v>
      </c>
      <c r="R41" s="43">
        <v>1.0</v>
      </c>
      <c r="S41" s="43">
        <v>1.0</v>
      </c>
      <c r="T41" s="43">
        <v>1.0</v>
      </c>
      <c r="U41" s="43">
        <v>1.0</v>
      </c>
      <c r="V41" s="43">
        <v>1.0</v>
      </c>
      <c r="W41" s="43">
        <v>1.0</v>
      </c>
      <c r="X41" s="43">
        <v>1.0</v>
      </c>
      <c r="Y41" s="43">
        <v>1.0</v>
      </c>
      <c r="Z41" s="43">
        <v>1.0</v>
      </c>
      <c r="AA41" s="43">
        <v>1.0</v>
      </c>
      <c r="AB41" s="43">
        <v>1.0</v>
      </c>
      <c r="AC41" s="43">
        <v>1.0</v>
      </c>
      <c r="AD41" s="43">
        <v>1.0</v>
      </c>
      <c r="AE41" s="43">
        <v>1.0</v>
      </c>
      <c r="AF41" s="43">
        <v>1.0</v>
      </c>
      <c r="AG41" s="43">
        <v>1.0</v>
      </c>
      <c r="AH41" s="43">
        <v>1.0</v>
      </c>
      <c r="AI41" s="43">
        <v>1.0</v>
      </c>
      <c r="AJ41" s="43">
        <v>1.0</v>
      </c>
      <c r="AK41" s="43">
        <v>1.0</v>
      </c>
      <c r="AL41" s="43">
        <v>1.0</v>
      </c>
      <c r="AM41" s="43">
        <v>1.0</v>
      </c>
      <c r="AN41" s="43">
        <v>1.0</v>
      </c>
      <c r="AO41" s="43">
        <v>1.0</v>
      </c>
      <c r="AP41" s="43">
        <v>1.0</v>
      </c>
      <c r="AQ41" s="43">
        <v>1.0</v>
      </c>
      <c r="AR41" s="43">
        <v>1.0</v>
      </c>
      <c r="AS41" s="42">
        <v>0.0</v>
      </c>
      <c r="AT41" s="42">
        <v>0.0</v>
      </c>
      <c r="AU41" s="43">
        <v>1.0</v>
      </c>
      <c r="AV41" s="43">
        <v>1.0</v>
      </c>
      <c r="AW41" s="43">
        <v>1.0</v>
      </c>
      <c r="AX41" s="38"/>
      <c r="AY41" s="38"/>
      <c r="AZ41" s="38"/>
      <c r="BA41" s="38"/>
      <c r="BB41" s="38"/>
      <c r="BC41" s="38"/>
      <c r="BD41" s="38"/>
      <c r="BE41" s="38"/>
      <c r="BF41" s="38"/>
      <c r="BG41" s="38"/>
      <c r="BH41" s="38"/>
      <c r="BI41" s="38"/>
      <c r="BJ41" s="38"/>
      <c r="BK41" s="38"/>
      <c r="BL41" s="38"/>
    </row>
    <row r="42">
      <c r="A42" s="43">
        <v>40.0</v>
      </c>
      <c r="B42" s="43" t="s">
        <v>136</v>
      </c>
      <c r="C42" s="39" t="s">
        <v>145</v>
      </c>
      <c r="D42" s="43" t="s">
        <v>139</v>
      </c>
      <c r="E42" s="44">
        <v>1.0</v>
      </c>
      <c r="F42" s="44">
        <v>1.0</v>
      </c>
      <c r="G42" s="38"/>
      <c r="H42" s="38"/>
      <c r="I42" s="43"/>
      <c r="J42" s="43"/>
      <c r="K42" s="43"/>
      <c r="L42" s="43"/>
      <c r="M42" s="43"/>
      <c r="N42" s="43"/>
      <c r="O42" s="43"/>
      <c r="P42" s="43">
        <v>1.0</v>
      </c>
      <c r="Q42" s="43">
        <v>1.0</v>
      </c>
      <c r="R42" s="43">
        <v>1.0</v>
      </c>
      <c r="S42" s="43">
        <v>1.0</v>
      </c>
      <c r="T42" s="43">
        <v>1.0</v>
      </c>
      <c r="U42" s="43">
        <v>1.0</v>
      </c>
      <c r="V42" s="43">
        <v>1.0</v>
      </c>
      <c r="W42" s="43">
        <v>1.0</v>
      </c>
      <c r="X42" s="43">
        <v>1.0</v>
      </c>
      <c r="Y42" s="43">
        <v>1.0</v>
      </c>
      <c r="Z42" s="43">
        <v>1.0</v>
      </c>
      <c r="AA42" s="43">
        <v>1.0</v>
      </c>
      <c r="AB42" s="43">
        <v>1.0</v>
      </c>
      <c r="AC42" s="43">
        <v>1.0</v>
      </c>
      <c r="AD42" s="43">
        <v>1.0</v>
      </c>
      <c r="AE42" s="43">
        <v>1.0</v>
      </c>
      <c r="AF42" s="43">
        <v>1.0</v>
      </c>
      <c r="AG42" s="43">
        <v>1.0</v>
      </c>
      <c r="AH42" s="43">
        <v>1.0</v>
      </c>
      <c r="AI42" s="43">
        <v>1.0</v>
      </c>
      <c r="AJ42" s="43">
        <v>1.0</v>
      </c>
      <c r="AK42" s="43">
        <v>1.0</v>
      </c>
      <c r="AL42" s="43">
        <v>1.0</v>
      </c>
      <c r="AM42" s="43">
        <v>1.0</v>
      </c>
      <c r="AN42" s="43">
        <v>1.0</v>
      </c>
      <c r="AO42" s="43">
        <v>1.0</v>
      </c>
      <c r="AP42" s="43">
        <v>1.0</v>
      </c>
      <c r="AQ42" s="43">
        <v>1.0</v>
      </c>
      <c r="AR42" s="43">
        <v>1.0</v>
      </c>
      <c r="AS42" s="42">
        <v>0.0</v>
      </c>
      <c r="AT42" s="42">
        <v>0.0</v>
      </c>
      <c r="AU42" s="43">
        <v>1.0</v>
      </c>
      <c r="AV42" s="43">
        <v>1.0</v>
      </c>
      <c r="AW42" s="43">
        <v>1.0</v>
      </c>
      <c r="AX42" s="38"/>
      <c r="AY42" s="38"/>
      <c r="AZ42" s="38"/>
      <c r="BA42" s="38"/>
      <c r="BB42" s="38"/>
      <c r="BC42" s="38"/>
      <c r="BD42" s="38"/>
      <c r="BE42" s="38"/>
      <c r="BF42" s="38"/>
      <c r="BG42" s="38"/>
      <c r="BH42" s="38"/>
      <c r="BI42" s="38"/>
      <c r="BJ42" s="38"/>
      <c r="BK42" s="38"/>
      <c r="BL42" s="38"/>
    </row>
    <row r="43">
      <c r="A43" s="43">
        <v>41.0</v>
      </c>
      <c r="B43" s="43" t="s">
        <v>149</v>
      </c>
      <c r="C43" s="39" t="s">
        <v>150</v>
      </c>
      <c r="D43" s="43" t="s">
        <v>90</v>
      </c>
      <c r="E43" s="44">
        <v>1.0</v>
      </c>
      <c r="F43" s="44">
        <v>1.0</v>
      </c>
      <c r="G43" s="38"/>
      <c r="H43" s="38"/>
      <c r="I43" s="43"/>
      <c r="J43" s="43"/>
      <c r="K43" s="43"/>
      <c r="L43" s="43"/>
      <c r="M43" s="43"/>
      <c r="N43" s="43"/>
      <c r="O43" s="43"/>
      <c r="P43" s="43">
        <v>1.0</v>
      </c>
      <c r="Q43" s="43">
        <v>1.0</v>
      </c>
      <c r="R43" s="43">
        <v>1.0</v>
      </c>
      <c r="S43" s="43">
        <v>1.0</v>
      </c>
      <c r="T43" s="43">
        <v>1.0</v>
      </c>
      <c r="U43" s="43">
        <v>1.0</v>
      </c>
      <c r="V43" s="43">
        <v>1.0</v>
      </c>
      <c r="W43" s="43">
        <v>1.0</v>
      </c>
      <c r="X43" s="43">
        <v>1.0</v>
      </c>
      <c r="Y43" s="43">
        <v>1.0</v>
      </c>
      <c r="Z43" s="43">
        <v>1.0</v>
      </c>
      <c r="AA43" s="43">
        <v>1.0</v>
      </c>
      <c r="AB43" s="43">
        <v>1.0</v>
      </c>
      <c r="AC43" s="43">
        <v>1.0</v>
      </c>
      <c r="AD43" s="43">
        <v>1.0</v>
      </c>
      <c r="AE43" s="43">
        <v>1.0</v>
      </c>
      <c r="AF43" s="43">
        <v>1.0</v>
      </c>
      <c r="AG43" s="43">
        <v>1.0</v>
      </c>
      <c r="AH43" s="43">
        <v>1.0</v>
      </c>
      <c r="AI43" s="43">
        <v>1.0</v>
      </c>
      <c r="AJ43" s="43">
        <v>1.0</v>
      </c>
      <c r="AK43" s="43">
        <v>1.0</v>
      </c>
      <c r="AL43" s="43">
        <v>1.0</v>
      </c>
      <c r="AM43" s="43">
        <v>1.0</v>
      </c>
      <c r="AN43" s="43">
        <v>1.0</v>
      </c>
      <c r="AO43" s="43">
        <v>1.0</v>
      </c>
      <c r="AP43" s="43">
        <v>1.0</v>
      </c>
      <c r="AQ43" s="43">
        <v>1.0</v>
      </c>
      <c r="AR43" s="43">
        <v>1.0</v>
      </c>
      <c r="AS43" s="42">
        <v>0.0</v>
      </c>
      <c r="AT43" s="42">
        <v>0.0</v>
      </c>
      <c r="AU43" s="43">
        <v>1.0</v>
      </c>
      <c r="AV43" s="43">
        <v>1.0</v>
      </c>
      <c r="AW43" s="43">
        <v>1.0</v>
      </c>
      <c r="AX43" s="38"/>
      <c r="AY43" s="38"/>
      <c r="AZ43" s="38"/>
      <c r="BA43" s="38"/>
      <c r="BB43" s="38"/>
      <c r="BC43" s="38"/>
      <c r="BD43" s="38"/>
      <c r="BE43" s="38"/>
      <c r="BF43" s="38"/>
      <c r="BG43" s="38"/>
      <c r="BH43" s="38"/>
      <c r="BI43" s="38"/>
      <c r="BJ43" s="38"/>
      <c r="BK43" s="38"/>
      <c r="BL43" s="38"/>
    </row>
    <row r="44">
      <c r="A44" s="43">
        <v>42.0</v>
      </c>
      <c r="B44" s="43" t="s">
        <v>149</v>
      </c>
      <c r="C44" s="39" t="s">
        <v>152</v>
      </c>
      <c r="D44" s="43" t="s">
        <v>102</v>
      </c>
      <c r="E44" s="44">
        <v>1.0</v>
      </c>
      <c r="F44" s="44">
        <v>1.0</v>
      </c>
      <c r="G44" s="38"/>
      <c r="H44" s="38"/>
      <c r="I44" s="43"/>
      <c r="J44" s="43"/>
      <c r="K44" s="43"/>
      <c r="L44" s="43"/>
      <c r="M44" s="43"/>
      <c r="N44" s="43"/>
      <c r="O44" s="43"/>
      <c r="P44" s="43">
        <v>1.0</v>
      </c>
      <c r="Q44" s="43">
        <v>1.0</v>
      </c>
      <c r="R44" s="43">
        <v>1.0</v>
      </c>
      <c r="S44" s="43">
        <v>1.0</v>
      </c>
      <c r="T44" s="43">
        <v>1.0</v>
      </c>
      <c r="U44" s="43">
        <v>1.0</v>
      </c>
      <c r="V44" s="43">
        <v>1.0</v>
      </c>
      <c r="W44" s="43">
        <v>1.0</v>
      </c>
      <c r="X44" s="43">
        <v>1.0</v>
      </c>
      <c r="Y44" s="43">
        <v>1.0</v>
      </c>
      <c r="Z44" s="43">
        <v>1.0</v>
      </c>
      <c r="AA44" s="43">
        <v>1.0</v>
      </c>
      <c r="AB44" s="43">
        <v>1.0</v>
      </c>
      <c r="AC44" s="43">
        <v>1.0</v>
      </c>
      <c r="AD44" s="43">
        <v>1.0</v>
      </c>
      <c r="AE44" s="43">
        <v>1.0</v>
      </c>
      <c r="AF44" s="43">
        <v>1.0</v>
      </c>
      <c r="AG44" s="43">
        <v>1.0</v>
      </c>
      <c r="AH44" s="43">
        <v>1.0</v>
      </c>
      <c r="AI44" s="43">
        <v>1.0</v>
      </c>
      <c r="AJ44" s="43">
        <v>1.0</v>
      </c>
      <c r="AK44" s="43">
        <v>1.0</v>
      </c>
      <c r="AL44" s="43">
        <v>1.0</v>
      </c>
      <c r="AM44" s="43">
        <v>1.0</v>
      </c>
      <c r="AN44" s="43">
        <v>1.0</v>
      </c>
      <c r="AO44" s="43">
        <v>1.0</v>
      </c>
      <c r="AP44" s="43">
        <v>1.0</v>
      </c>
      <c r="AQ44" s="43">
        <v>1.0</v>
      </c>
      <c r="AR44" s="43">
        <v>1.0</v>
      </c>
      <c r="AS44" s="42">
        <v>0.0</v>
      </c>
      <c r="AT44" s="42">
        <v>0.0</v>
      </c>
      <c r="AU44" s="43">
        <v>1.0</v>
      </c>
      <c r="AV44" s="43">
        <v>1.0</v>
      </c>
      <c r="AW44" s="43">
        <v>1.0</v>
      </c>
      <c r="AX44" s="38"/>
      <c r="AY44" s="38"/>
      <c r="AZ44" s="38"/>
      <c r="BA44" s="38"/>
      <c r="BB44" s="38"/>
      <c r="BC44" s="38"/>
      <c r="BD44" s="38"/>
      <c r="BE44" s="38"/>
      <c r="BF44" s="38"/>
      <c r="BG44" s="38"/>
      <c r="BH44" s="38"/>
      <c r="BI44" s="38"/>
      <c r="BJ44" s="38"/>
      <c r="BK44" s="38"/>
      <c r="BL44" s="38"/>
    </row>
    <row r="45">
      <c r="A45" s="43"/>
      <c r="B45" s="43" t="s">
        <v>149</v>
      </c>
      <c r="C45" s="39" t="s">
        <v>153</v>
      </c>
      <c r="D45" s="39" t="s">
        <v>111</v>
      </c>
      <c r="E45" s="44">
        <v>1.0</v>
      </c>
      <c r="F45" s="44">
        <v>0.0</v>
      </c>
      <c r="G45" s="38"/>
      <c r="H45" s="38"/>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3"/>
      <c r="AS45" s="42"/>
      <c r="AT45" s="42"/>
      <c r="AU45" s="43"/>
      <c r="AV45" s="43"/>
      <c r="AW45" s="43"/>
      <c r="AX45" s="38"/>
      <c r="AY45" s="38"/>
      <c r="AZ45" s="38"/>
      <c r="BA45" s="38"/>
      <c r="BB45" s="38"/>
      <c r="BC45" s="38"/>
      <c r="BD45" s="38"/>
      <c r="BE45" s="38"/>
      <c r="BF45" s="38"/>
      <c r="BG45" s="38"/>
      <c r="BH45" s="38"/>
      <c r="BI45" s="38"/>
      <c r="BJ45" s="38"/>
      <c r="BK45" s="38"/>
      <c r="BL45" s="38"/>
    </row>
    <row r="46">
      <c r="A46" s="43">
        <v>45.0</v>
      </c>
      <c r="B46" s="43" t="s">
        <v>154</v>
      </c>
      <c r="C46" s="43" t="s">
        <v>95</v>
      </c>
      <c r="D46" s="43" t="s">
        <v>90</v>
      </c>
      <c r="E46" s="44">
        <v>1.0</v>
      </c>
      <c r="F46" s="44">
        <v>1.0</v>
      </c>
      <c r="G46" s="38"/>
      <c r="H46" s="38"/>
      <c r="I46" s="43"/>
      <c r="J46" s="43"/>
      <c r="K46" s="43"/>
      <c r="L46" s="43"/>
      <c r="M46" s="43"/>
      <c r="N46" s="43"/>
      <c r="O46" s="43"/>
      <c r="P46" s="43">
        <v>1.0</v>
      </c>
      <c r="Q46" s="43">
        <v>1.0</v>
      </c>
      <c r="R46" s="43">
        <v>1.0</v>
      </c>
      <c r="S46" s="43">
        <v>1.0</v>
      </c>
      <c r="T46" s="43">
        <v>1.0</v>
      </c>
      <c r="U46" s="43">
        <v>1.0</v>
      </c>
      <c r="V46" s="43">
        <v>1.0</v>
      </c>
      <c r="W46" s="43">
        <v>1.0</v>
      </c>
      <c r="X46" s="43">
        <v>1.0</v>
      </c>
      <c r="Y46" s="43">
        <v>1.0</v>
      </c>
      <c r="Z46" s="43">
        <v>1.0</v>
      </c>
      <c r="AA46" s="43">
        <v>1.0</v>
      </c>
      <c r="AB46" s="43">
        <v>1.0</v>
      </c>
      <c r="AC46" s="43">
        <v>1.0</v>
      </c>
      <c r="AD46" s="43">
        <v>1.0</v>
      </c>
      <c r="AE46" s="43">
        <v>1.0</v>
      </c>
      <c r="AF46" s="43">
        <v>1.0</v>
      </c>
      <c r="AG46" s="43">
        <v>1.0</v>
      </c>
      <c r="AH46" s="43">
        <v>1.0</v>
      </c>
      <c r="AI46" s="43">
        <v>1.0</v>
      </c>
      <c r="AJ46" s="43">
        <v>1.0</v>
      </c>
      <c r="AK46" s="43">
        <v>1.0</v>
      </c>
      <c r="AL46" s="43">
        <v>1.0</v>
      </c>
      <c r="AM46" s="43">
        <v>1.0</v>
      </c>
      <c r="AN46" s="43">
        <v>1.0</v>
      </c>
      <c r="AO46" s="43">
        <v>1.0</v>
      </c>
      <c r="AP46" s="43">
        <v>1.0</v>
      </c>
      <c r="AQ46" s="43">
        <v>1.0</v>
      </c>
      <c r="AR46" s="43">
        <v>1.0</v>
      </c>
      <c r="AS46" s="42">
        <v>0.0</v>
      </c>
      <c r="AT46" s="42">
        <v>0.0</v>
      </c>
      <c r="AU46" s="43">
        <v>1.0</v>
      </c>
      <c r="AV46" s="43">
        <v>1.0</v>
      </c>
      <c r="AW46" s="43">
        <v>1.0</v>
      </c>
      <c r="AX46" s="38"/>
      <c r="AY46" s="38"/>
      <c r="AZ46" s="38"/>
      <c r="BA46" s="38"/>
      <c r="BB46" s="38"/>
      <c r="BC46" s="38"/>
      <c r="BD46" s="38"/>
      <c r="BE46" s="38"/>
      <c r="BF46" s="38"/>
      <c r="BG46" s="38"/>
      <c r="BH46" s="38"/>
      <c r="BI46" s="38"/>
      <c r="BJ46" s="38"/>
      <c r="BK46" s="38"/>
      <c r="BL46" s="38"/>
    </row>
    <row r="47">
      <c r="A47" s="43">
        <v>46.0</v>
      </c>
      <c r="B47" s="43" t="s">
        <v>154</v>
      </c>
      <c r="C47" s="43" t="s">
        <v>95</v>
      </c>
      <c r="D47" s="43" t="s">
        <v>102</v>
      </c>
      <c r="E47" s="44">
        <v>1.0</v>
      </c>
      <c r="F47" s="44">
        <v>1.0</v>
      </c>
      <c r="G47" s="38"/>
      <c r="H47" s="38"/>
      <c r="I47" s="43"/>
      <c r="J47" s="43"/>
      <c r="K47" s="43"/>
      <c r="L47" s="43"/>
      <c r="M47" s="43"/>
      <c r="N47" s="43"/>
      <c r="O47" s="43"/>
      <c r="P47" s="43">
        <v>1.0</v>
      </c>
      <c r="Q47" s="43">
        <v>1.0</v>
      </c>
      <c r="R47" s="43">
        <v>1.0</v>
      </c>
      <c r="S47" s="43">
        <v>1.0</v>
      </c>
      <c r="T47" s="43">
        <v>1.0</v>
      </c>
      <c r="U47" s="43">
        <v>1.0</v>
      </c>
      <c r="V47" s="43">
        <v>1.0</v>
      </c>
      <c r="W47" s="43">
        <v>1.0</v>
      </c>
      <c r="X47" s="43">
        <v>1.0</v>
      </c>
      <c r="Y47" s="43">
        <v>1.0</v>
      </c>
      <c r="Z47" s="43">
        <v>1.0</v>
      </c>
      <c r="AA47" s="43">
        <v>1.0</v>
      </c>
      <c r="AB47" s="43">
        <v>1.0</v>
      </c>
      <c r="AC47" s="43">
        <v>1.0</v>
      </c>
      <c r="AD47" s="43">
        <v>1.0</v>
      </c>
      <c r="AE47" s="43">
        <v>1.0</v>
      </c>
      <c r="AF47" s="43">
        <v>1.0</v>
      </c>
      <c r="AG47" s="43">
        <v>1.0</v>
      </c>
      <c r="AH47" s="43">
        <v>1.0</v>
      </c>
      <c r="AI47" s="43">
        <v>1.0</v>
      </c>
      <c r="AJ47" s="43">
        <v>1.0</v>
      </c>
      <c r="AK47" s="43">
        <v>1.0</v>
      </c>
      <c r="AL47" s="43">
        <v>1.0</v>
      </c>
      <c r="AM47" s="43">
        <v>1.0</v>
      </c>
      <c r="AN47" s="43">
        <v>1.0</v>
      </c>
      <c r="AO47" s="43">
        <v>1.0</v>
      </c>
      <c r="AP47" s="43">
        <v>1.0</v>
      </c>
      <c r="AQ47" s="43">
        <v>1.0</v>
      </c>
      <c r="AR47" s="43">
        <v>1.0</v>
      </c>
      <c r="AS47" s="42">
        <v>0.0</v>
      </c>
      <c r="AT47" s="42">
        <v>0.0</v>
      </c>
      <c r="AU47" s="43">
        <v>1.0</v>
      </c>
      <c r="AV47" s="43">
        <v>1.0</v>
      </c>
      <c r="AW47" s="43">
        <v>1.0</v>
      </c>
      <c r="AX47" s="38"/>
      <c r="AY47" s="38"/>
      <c r="AZ47" s="38"/>
      <c r="BA47" s="38"/>
      <c r="BB47" s="38"/>
      <c r="BC47" s="38"/>
      <c r="BD47" s="38"/>
      <c r="BE47" s="38"/>
      <c r="BF47" s="38"/>
      <c r="BG47" s="38"/>
      <c r="BH47" s="38"/>
      <c r="BI47" s="38"/>
      <c r="BJ47" s="38"/>
      <c r="BK47" s="38"/>
      <c r="BL47" s="38"/>
    </row>
    <row r="48">
      <c r="A48" s="43">
        <v>47.0</v>
      </c>
      <c r="B48" s="43" t="s">
        <v>154</v>
      </c>
      <c r="C48" s="43" t="s">
        <v>95</v>
      </c>
      <c r="D48" s="43" t="s">
        <v>111</v>
      </c>
      <c r="E48" s="44">
        <v>1.0</v>
      </c>
      <c r="F48" s="44">
        <v>1.0</v>
      </c>
      <c r="G48" s="38"/>
      <c r="H48" s="38"/>
      <c r="I48" s="43"/>
      <c r="J48" s="43"/>
      <c r="K48" s="43"/>
      <c r="L48" s="43"/>
      <c r="M48" s="43"/>
      <c r="N48" s="43"/>
      <c r="O48" s="43"/>
      <c r="P48" s="43">
        <v>1.0</v>
      </c>
      <c r="Q48" s="43">
        <v>1.0</v>
      </c>
      <c r="R48" s="43">
        <v>1.0</v>
      </c>
      <c r="S48" s="43">
        <v>1.0</v>
      </c>
      <c r="T48" s="43">
        <v>1.0</v>
      </c>
      <c r="U48" s="43">
        <v>1.0</v>
      </c>
      <c r="V48" s="43">
        <v>1.0</v>
      </c>
      <c r="W48" s="43">
        <v>1.0</v>
      </c>
      <c r="X48" s="43">
        <v>1.0</v>
      </c>
      <c r="Y48" s="43">
        <v>1.0</v>
      </c>
      <c r="Z48" s="43">
        <v>1.0</v>
      </c>
      <c r="AA48" s="43">
        <v>1.0</v>
      </c>
      <c r="AB48" s="43">
        <v>1.0</v>
      </c>
      <c r="AC48" s="43">
        <v>1.0</v>
      </c>
      <c r="AD48" s="43">
        <v>1.0</v>
      </c>
      <c r="AE48" s="43">
        <v>1.0</v>
      </c>
      <c r="AF48" s="43">
        <v>1.0</v>
      </c>
      <c r="AG48" s="43">
        <v>1.0</v>
      </c>
      <c r="AH48" s="43">
        <v>1.0</v>
      </c>
      <c r="AI48" s="43">
        <v>1.0</v>
      </c>
      <c r="AJ48" s="43">
        <v>1.0</v>
      </c>
      <c r="AK48" s="43">
        <v>1.0</v>
      </c>
      <c r="AL48" s="43">
        <v>1.0</v>
      </c>
      <c r="AM48" s="43">
        <v>1.0</v>
      </c>
      <c r="AN48" s="43">
        <v>1.0</v>
      </c>
      <c r="AO48" s="43">
        <v>1.0</v>
      </c>
      <c r="AP48" s="43">
        <v>1.0</v>
      </c>
      <c r="AQ48" s="43">
        <v>1.0</v>
      </c>
      <c r="AR48" s="43">
        <v>1.0</v>
      </c>
      <c r="AS48" s="42">
        <v>0.0</v>
      </c>
      <c r="AT48" s="42">
        <v>0.0</v>
      </c>
      <c r="AU48" s="43">
        <v>1.0</v>
      </c>
      <c r="AV48" s="43">
        <v>1.0</v>
      </c>
      <c r="AW48" s="43">
        <v>1.0</v>
      </c>
      <c r="AX48" s="38"/>
      <c r="AY48" s="38"/>
      <c r="AZ48" s="38"/>
      <c r="BA48" s="38"/>
      <c r="BB48" s="38"/>
      <c r="BC48" s="38"/>
      <c r="BD48" s="38"/>
      <c r="BE48" s="38"/>
      <c r="BF48" s="38"/>
      <c r="BG48" s="38"/>
      <c r="BH48" s="38"/>
      <c r="BI48" s="38"/>
      <c r="BJ48" s="38"/>
      <c r="BK48" s="38"/>
      <c r="BL48" s="38"/>
    </row>
    <row r="49">
      <c r="A49" s="38"/>
      <c r="B49" s="43" t="s">
        <v>156</v>
      </c>
      <c r="C49" s="41" t="s">
        <v>157</v>
      </c>
      <c r="D49" s="38"/>
      <c r="E49" s="44">
        <v>1.0</v>
      </c>
      <c r="F49" s="44">
        <v>1.0</v>
      </c>
      <c r="G49" s="38"/>
      <c r="H49" s="38"/>
      <c r="I49" s="43"/>
      <c r="J49" s="43"/>
      <c r="K49" s="43"/>
      <c r="L49" s="43"/>
      <c r="M49" s="43"/>
      <c r="N49" s="43"/>
      <c r="O49" s="43"/>
      <c r="P49" s="43">
        <v>1.0</v>
      </c>
      <c r="Q49" s="43">
        <v>1.0</v>
      </c>
      <c r="R49" s="43">
        <v>1.0</v>
      </c>
      <c r="S49" s="43">
        <v>1.0</v>
      </c>
      <c r="T49" s="43">
        <v>1.0</v>
      </c>
      <c r="U49" s="43">
        <v>1.0</v>
      </c>
      <c r="V49" s="43">
        <v>1.0</v>
      </c>
      <c r="W49" s="43">
        <v>1.0</v>
      </c>
      <c r="X49" s="43">
        <v>1.0</v>
      </c>
      <c r="Y49" s="43">
        <v>1.0</v>
      </c>
      <c r="Z49" s="43">
        <v>1.0</v>
      </c>
      <c r="AA49" s="43">
        <v>1.0</v>
      </c>
      <c r="AB49" s="43">
        <v>1.0</v>
      </c>
      <c r="AC49" s="43">
        <v>1.0</v>
      </c>
      <c r="AD49" s="43">
        <v>1.0</v>
      </c>
      <c r="AE49" s="43">
        <v>1.0</v>
      </c>
      <c r="AF49" s="43">
        <v>1.0</v>
      </c>
      <c r="AG49" s="43">
        <v>1.0</v>
      </c>
      <c r="AH49" s="43">
        <v>1.0</v>
      </c>
      <c r="AI49" s="43">
        <v>1.0</v>
      </c>
      <c r="AJ49" s="43">
        <v>1.0</v>
      </c>
      <c r="AK49" s="43">
        <v>1.0</v>
      </c>
      <c r="AL49" s="43">
        <v>1.0</v>
      </c>
      <c r="AM49" s="43">
        <v>1.0</v>
      </c>
      <c r="AN49" s="43">
        <v>1.0</v>
      </c>
      <c r="AO49" s="43">
        <v>1.0</v>
      </c>
      <c r="AP49" s="43">
        <v>1.0</v>
      </c>
      <c r="AQ49" s="43">
        <v>1.0</v>
      </c>
      <c r="AR49" s="43">
        <v>1.0</v>
      </c>
      <c r="AS49" s="42">
        <v>0.0</v>
      </c>
      <c r="AT49" s="42">
        <v>0.0</v>
      </c>
      <c r="AU49" s="43">
        <v>1.0</v>
      </c>
      <c r="AV49" s="43">
        <v>1.0</v>
      </c>
      <c r="AW49" s="43">
        <v>1.0</v>
      </c>
      <c r="AX49" s="38"/>
      <c r="AY49" s="38"/>
      <c r="AZ49" s="38"/>
      <c r="BA49" s="38"/>
      <c r="BB49" s="38"/>
      <c r="BC49" s="38"/>
      <c r="BD49" s="38"/>
      <c r="BE49" s="38"/>
      <c r="BF49" s="38"/>
      <c r="BG49" s="38"/>
      <c r="BH49" s="38"/>
      <c r="BI49" s="38"/>
      <c r="BJ49" s="38"/>
      <c r="BK49" s="38"/>
      <c r="BL49" s="38"/>
    </row>
    <row r="50">
      <c r="A50" s="38"/>
      <c r="B50" s="39" t="s">
        <v>159</v>
      </c>
      <c r="C50" s="41" t="s">
        <v>157</v>
      </c>
      <c r="D50" s="38"/>
      <c r="E50" s="44">
        <v>1.0</v>
      </c>
      <c r="F50" s="44">
        <v>1.0</v>
      </c>
      <c r="G50" s="38"/>
      <c r="H50" s="38"/>
      <c r="I50" s="43"/>
      <c r="J50" s="43"/>
      <c r="K50" s="43"/>
      <c r="L50" s="43"/>
      <c r="M50" s="43"/>
      <c r="N50" s="43"/>
      <c r="O50" s="43"/>
      <c r="P50" s="43">
        <v>1.0</v>
      </c>
      <c r="Q50" s="43">
        <v>1.0</v>
      </c>
      <c r="R50" s="43">
        <v>1.0</v>
      </c>
      <c r="S50" s="43">
        <v>1.0</v>
      </c>
      <c r="T50" s="43">
        <v>1.0</v>
      </c>
      <c r="U50" s="43">
        <v>1.0</v>
      </c>
      <c r="V50" s="43">
        <v>1.0</v>
      </c>
      <c r="W50" s="43">
        <v>1.0</v>
      </c>
      <c r="X50" s="43">
        <v>1.0</v>
      </c>
      <c r="Y50" s="43">
        <v>1.0</v>
      </c>
      <c r="Z50" s="43">
        <v>1.0</v>
      </c>
      <c r="AA50" s="43">
        <v>1.0</v>
      </c>
      <c r="AB50" s="43">
        <v>1.0</v>
      </c>
      <c r="AC50" s="43">
        <v>1.0</v>
      </c>
      <c r="AD50" s="43">
        <v>1.0</v>
      </c>
      <c r="AE50" s="43">
        <v>1.0</v>
      </c>
      <c r="AF50" s="43">
        <v>1.0</v>
      </c>
      <c r="AG50" s="43">
        <v>1.0</v>
      </c>
      <c r="AH50" s="43">
        <v>1.0</v>
      </c>
      <c r="AI50" s="43">
        <v>1.0</v>
      </c>
      <c r="AJ50" s="43">
        <v>1.0</v>
      </c>
      <c r="AK50" s="43">
        <v>1.0</v>
      </c>
      <c r="AL50" s="43">
        <v>1.0</v>
      </c>
      <c r="AM50" s="43">
        <v>1.0</v>
      </c>
      <c r="AN50" s="43">
        <v>1.0</v>
      </c>
      <c r="AO50" s="43">
        <v>1.0</v>
      </c>
      <c r="AP50" s="43">
        <v>1.0</v>
      </c>
      <c r="AQ50" s="43">
        <v>1.0</v>
      </c>
      <c r="AR50" s="43">
        <v>1.0</v>
      </c>
      <c r="AS50" s="42">
        <v>0.0</v>
      </c>
      <c r="AT50" s="42">
        <v>0.0</v>
      </c>
      <c r="AU50" s="43">
        <v>1.0</v>
      </c>
      <c r="AV50" s="43">
        <v>1.0</v>
      </c>
      <c r="AW50" s="43">
        <v>1.0</v>
      </c>
      <c r="AX50" s="38"/>
      <c r="AY50" s="38"/>
      <c r="AZ50" s="38"/>
      <c r="BA50" s="38"/>
      <c r="BB50" s="38"/>
      <c r="BC50" s="38"/>
      <c r="BD50" s="38"/>
      <c r="BE50" s="38"/>
      <c r="BF50" s="38"/>
      <c r="BG50" s="38"/>
      <c r="BH50" s="38"/>
      <c r="BI50" s="38"/>
      <c r="BJ50" s="38"/>
      <c r="BK50" s="38"/>
      <c r="BL50" s="38"/>
    </row>
    <row r="51">
      <c r="A51" s="38"/>
      <c r="B51" s="43" t="s">
        <v>161</v>
      </c>
      <c r="C51" s="39" t="s">
        <v>54</v>
      </c>
      <c r="D51" s="43">
        <v>1.0</v>
      </c>
      <c r="E51" s="44">
        <v>1.0</v>
      </c>
      <c r="F51" s="44">
        <v>0.0</v>
      </c>
      <c r="G51" s="38"/>
      <c r="H51" s="38"/>
      <c r="I51" s="43"/>
      <c r="J51" s="43"/>
      <c r="K51" s="43"/>
      <c r="L51" s="43"/>
      <c r="M51" s="43"/>
      <c r="N51" s="43"/>
      <c r="O51" s="43"/>
      <c r="P51" s="43">
        <v>1.0</v>
      </c>
      <c r="Q51" s="43">
        <v>1.0</v>
      </c>
      <c r="R51" s="43">
        <v>1.0</v>
      </c>
      <c r="S51" s="43">
        <v>1.0</v>
      </c>
      <c r="T51" s="43">
        <v>1.0</v>
      </c>
      <c r="U51" s="43">
        <v>1.0</v>
      </c>
      <c r="V51" s="43">
        <v>1.0</v>
      </c>
      <c r="W51" s="43">
        <v>1.0</v>
      </c>
      <c r="X51" s="43">
        <v>1.0</v>
      </c>
      <c r="Y51" s="43">
        <v>1.0</v>
      </c>
      <c r="Z51" s="43">
        <v>1.0</v>
      </c>
      <c r="AA51" s="43">
        <v>1.0</v>
      </c>
      <c r="AB51" s="43">
        <v>1.0</v>
      </c>
      <c r="AC51" s="43">
        <v>1.0</v>
      </c>
      <c r="AD51" s="43">
        <v>1.0</v>
      </c>
      <c r="AE51" s="43">
        <v>1.0</v>
      </c>
      <c r="AF51" s="43">
        <v>1.0</v>
      </c>
      <c r="AG51" s="43">
        <v>1.0</v>
      </c>
      <c r="AH51" s="43">
        <v>1.0</v>
      </c>
      <c r="AI51" s="43">
        <v>1.0</v>
      </c>
      <c r="AJ51" s="43">
        <v>1.0</v>
      </c>
      <c r="AK51" s="43">
        <v>1.0</v>
      </c>
      <c r="AL51" s="43">
        <v>1.0</v>
      </c>
      <c r="AM51" s="43">
        <v>1.0</v>
      </c>
      <c r="AN51" s="43">
        <v>1.0</v>
      </c>
      <c r="AO51" s="43">
        <v>1.0</v>
      </c>
      <c r="AP51" s="43">
        <v>1.0</v>
      </c>
      <c r="AQ51" s="43">
        <v>1.0</v>
      </c>
      <c r="AR51" s="43">
        <v>1.0</v>
      </c>
      <c r="AS51" s="38"/>
      <c r="AT51" s="38"/>
      <c r="AU51" s="38"/>
      <c r="AV51" s="38"/>
      <c r="AW51" s="38"/>
      <c r="AX51" s="38"/>
      <c r="AY51" s="38"/>
      <c r="AZ51" s="38"/>
      <c r="BA51" s="38"/>
      <c r="BB51" s="38"/>
      <c r="BC51" s="38"/>
      <c r="BD51" s="38"/>
      <c r="BE51" s="38"/>
      <c r="BF51" s="38"/>
      <c r="BG51" s="38"/>
      <c r="BH51" s="38"/>
      <c r="BI51" s="38"/>
      <c r="BJ51" s="38"/>
      <c r="BK51" s="38"/>
      <c r="BL51" s="38"/>
    </row>
    <row r="52">
      <c r="A52" s="38"/>
      <c r="B52" s="43" t="s">
        <v>161</v>
      </c>
      <c r="C52" s="43" t="s">
        <v>95</v>
      </c>
      <c r="D52" s="43">
        <v>2.0</v>
      </c>
      <c r="E52" s="44">
        <v>1.0</v>
      </c>
      <c r="F52" s="44">
        <v>0.0</v>
      </c>
      <c r="G52" s="38"/>
      <c r="H52" s="38"/>
      <c r="I52" s="43"/>
      <c r="J52" s="43"/>
      <c r="K52" s="43"/>
      <c r="L52" s="43"/>
      <c r="M52" s="43"/>
      <c r="N52" s="43"/>
      <c r="O52" s="43"/>
      <c r="P52" s="43">
        <v>1.0</v>
      </c>
      <c r="Q52" s="43">
        <v>1.0</v>
      </c>
      <c r="R52" s="43">
        <v>1.0</v>
      </c>
      <c r="S52" s="43">
        <v>1.0</v>
      </c>
      <c r="T52" s="43">
        <v>1.0</v>
      </c>
      <c r="U52" s="43">
        <v>1.0</v>
      </c>
      <c r="V52" s="43">
        <v>1.0</v>
      </c>
      <c r="W52" s="43">
        <v>1.0</v>
      </c>
      <c r="X52" s="43">
        <v>1.0</v>
      </c>
      <c r="Y52" s="43">
        <v>1.0</v>
      </c>
      <c r="Z52" s="43">
        <v>1.0</v>
      </c>
      <c r="AA52" s="43">
        <v>1.0</v>
      </c>
      <c r="AB52" s="43">
        <v>1.0</v>
      </c>
      <c r="AC52" s="43">
        <v>1.0</v>
      </c>
      <c r="AD52" s="43">
        <v>1.0</v>
      </c>
      <c r="AE52" s="43">
        <v>1.0</v>
      </c>
      <c r="AF52" s="43">
        <v>1.0</v>
      </c>
      <c r="AG52" s="43">
        <v>1.0</v>
      </c>
      <c r="AH52" s="43">
        <v>1.0</v>
      </c>
      <c r="AI52" s="43">
        <v>1.0</v>
      </c>
      <c r="AJ52" s="43">
        <v>1.0</v>
      </c>
      <c r="AK52" s="43">
        <v>1.0</v>
      </c>
      <c r="AL52" s="43">
        <v>1.0</v>
      </c>
      <c r="AM52" s="43">
        <v>1.0</v>
      </c>
      <c r="AN52" s="43">
        <v>1.0</v>
      </c>
      <c r="AO52" s="43">
        <v>1.0</v>
      </c>
      <c r="AP52" s="43">
        <v>1.0</v>
      </c>
      <c r="AQ52" s="43">
        <v>1.0</v>
      </c>
      <c r="AR52" s="43">
        <v>1.0</v>
      </c>
      <c r="AS52" s="38"/>
      <c r="AT52" s="38"/>
      <c r="AU52" s="38"/>
      <c r="AV52" s="38"/>
      <c r="AW52" s="38"/>
      <c r="AX52" s="38"/>
      <c r="AY52" s="38"/>
      <c r="AZ52" s="38"/>
      <c r="BA52" s="38"/>
      <c r="BB52" s="38"/>
      <c r="BC52" s="38"/>
      <c r="BD52" s="38"/>
      <c r="BE52" s="38"/>
      <c r="BF52" s="38"/>
      <c r="BG52" s="38"/>
      <c r="BH52" s="38"/>
      <c r="BI52" s="38"/>
      <c r="BJ52" s="38"/>
      <c r="BK52" s="38"/>
      <c r="BL52" s="38"/>
    </row>
    <row r="53">
      <c r="A53" s="38"/>
      <c r="B53" s="43" t="s">
        <v>161</v>
      </c>
      <c r="C53" s="43" t="s">
        <v>95</v>
      </c>
      <c r="D53" s="71">
        <v>3.0</v>
      </c>
      <c r="E53" s="44">
        <v>1.0</v>
      </c>
      <c r="F53" s="44">
        <v>0.0</v>
      </c>
      <c r="G53" s="38"/>
      <c r="H53" s="38"/>
      <c r="I53" s="43"/>
      <c r="J53" s="43"/>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3"/>
      <c r="AL53" s="43"/>
      <c r="AM53" s="43"/>
      <c r="AN53" s="43"/>
      <c r="AO53" s="43"/>
      <c r="AP53" s="43"/>
      <c r="AQ53" s="43"/>
      <c r="AR53" s="43"/>
      <c r="AS53" s="38"/>
      <c r="AT53" s="38"/>
      <c r="AU53" s="38"/>
      <c r="AV53" s="38"/>
      <c r="AW53" s="38"/>
      <c r="AX53" s="38"/>
      <c r="AY53" s="38"/>
      <c r="AZ53" s="38"/>
      <c r="BA53" s="38"/>
      <c r="BB53" s="38"/>
      <c r="BC53" s="38"/>
      <c r="BD53" s="38"/>
      <c r="BE53" s="38"/>
      <c r="BF53" s="38"/>
      <c r="BG53" s="38"/>
      <c r="BH53" s="38"/>
      <c r="BI53" s="38"/>
      <c r="BJ53" s="38"/>
      <c r="BK53" s="38"/>
      <c r="BL53" s="38"/>
    </row>
    <row r="54">
      <c r="A54" s="38"/>
      <c r="B54" s="43" t="s">
        <v>161</v>
      </c>
      <c r="C54" s="43" t="s">
        <v>95</v>
      </c>
      <c r="D54" s="71">
        <v>4.0</v>
      </c>
      <c r="E54" s="44">
        <v>1.0</v>
      </c>
      <c r="F54" s="44">
        <v>0.0</v>
      </c>
      <c r="G54" s="38"/>
      <c r="H54" s="38"/>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c r="AH54" s="43"/>
      <c r="AI54" s="43"/>
      <c r="AJ54" s="43"/>
      <c r="AK54" s="43"/>
      <c r="AL54" s="43"/>
      <c r="AM54" s="43"/>
      <c r="AN54" s="43"/>
      <c r="AO54" s="43"/>
      <c r="AP54" s="43"/>
      <c r="AQ54" s="43"/>
      <c r="AR54" s="43"/>
      <c r="AS54" s="38"/>
      <c r="AT54" s="38"/>
      <c r="AU54" s="38"/>
      <c r="AV54" s="38"/>
      <c r="AW54" s="38"/>
      <c r="AX54" s="38"/>
      <c r="AY54" s="38"/>
      <c r="AZ54" s="38"/>
      <c r="BA54" s="38"/>
      <c r="BB54" s="38"/>
      <c r="BC54" s="38"/>
      <c r="BD54" s="38"/>
      <c r="BE54" s="38"/>
      <c r="BF54" s="38"/>
      <c r="BG54" s="38"/>
      <c r="BH54" s="38"/>
      <c r="BI54" s="38"/>
      <c r="BJ54" s="38"/>
      <c r="BK54" s="38"/>
      <c r="BL54" s="38"/>
    </row>
    <row r="55">
      <c r="A55" s="38"/>
      <c r="B55" s="43" t="s">
        <v>161</v>
      </c>
      <c r="C55" s="43" t="s">
        <v>95</v>
      </c>
      <c r="D55" s="71">
        <v>5.0</v>
      </c>
      <c r="E55" s="44">
        <v>1.0</v>
      </c>
      <c r="F55" s="44">
        <v>0.0</v>
      </c>
      <c r="G55" s="38"/>
      <c r="H55" s="38"/>
      <c r="I55" s="43"/>
      <c r="J55" s="43"/>
      <c r="K55" s="43"/>
      <c r="L55" s="43"/>
      <c r="M55" s="43"/>
      <c r="N55" s="43"/>
      <c r="O55" s="43"/>
      <c r="P55" s="43">
        <v>1.0</v>
      </c>
      <c r="Q55" s="43">
        <v>1.0</v>
      </c>
      <c r="R55" s="43">
        <v>1.0</v>
      </c>
      <c r="S55" s="43">
        <v>1.0</v>
      </c>
      <c r="T55" s="43">
        <v>1.0</v>
      </c>
      <c r="U55" s="43">
        <v>1.0</v>
      </c>
      <c r="V55" s="43">
        <v>1.0</v>
      </c>
      <c r="W55" s="43">
        <v>1.0</v>
      </c>
      <c r="X55" s="43">
        <v>1.0</v>
      </c>
      <c r="Y55" s="43">
        <v>1.0</v>
      </c>
      <c r="Z55" s="43">
        <v>1.0</v>
      </c>
      <c r="AA55" s="43">
        <v>1.0</v>
      </c>
      <c r="AB55" s="43">
        <v>1.0</v>
      </c>
      <c r="AC55" s="43">
        <v>1.0</v>
      </c>
      <c r="AD55" s="43">
        <v>1.0</v>
      </c>
      <c r="AE55" s="43">
        <v>1.0</v>
      </c>
      <c r="AF55" s="43">
        <v>1.0</v>
      </c>
      <c r="AG55" s="43">
        <v>1.0</v>
      </c>
      <c r="AH55" s="43">
        <v>1.0</v>
      </c>
      <c r="AI55" s="43">
        <v>1.0</v>
      </c>
      <c r="AJ55" s="43">
        <v>1.0</v>
      </c>
      <c r="AK55" s="43">
        <v>1.0</v>
      </c>
      <c r="AL55" s="43">
        <v>1.0</v>
      </c>
      <c r="AM55" s="43">
        <v>1.0</v>
      </c>
      <c r="AN55" s="43">
        <v>1.0</v>
      </c>
      <c r="AO55" s="43">
        <v>1.0</v>
      </c>
      <c r="AP55" s="43">
        <v>1.0</v>
      </c>
      <c r="AQ55" s="43">
        <v>1.0</v>
      </c>
      <c r="AR55" s="43">
        <v>1.0</v>
      </c>
      <c r="AS55" s="38"/>
      <c r="AT55" s="38"/>
      <c r="AU55" s="38"/>
      <c r="AV55" s="38"/>
      <c r="AW55" s="38"/>
      <c r="AX55" s="38"/>
      <c r="AY55" s="38"/>
      <c r="AZ55" s="38"/>
      <c r="BA55" s="38"/>
      <c r="BB55" s="38"/>
      <c r="BC55" s="38"/>
      <c r="BD55" s="38"/>
      <c r="BE55" s="38"/>
      <c r="BF55" s="38"/>
      <c r="BG55" s="38"/>
      <c r="BH55" s="38"/>
      <c r="BI55" s="38"/>
      <c r="BJ55" s="38"/>
      <c r="BK55" s="38"/>
      <c r="BL55" s="38"/>
    </row>
    <row r="56">
      <c r="A56" s="38"/>
      <c r="B56" s="43" t="s">
        <v>161</v>
      </c>
      <c r="C56" s="43" t="s">
        <v>95</v>
      </c>
      <c r="D56" s="71">
        <v>6.0</v>
      </c>
      <c r="E56" s="44">
        <v>1.0</v>
      </c>
      <c r="F56" s="44">
        <v>0.0</v>
      </c>
      <c r="G56" s="38"/>
      <c r="H56" s="38"/>
      <c r="I56" s="43"/>
      <c r="J56" s="43"/>
      <c r="K56" s="43"/>
      <c r="L56" s="43"/>
      <c r="M56" s="43"/>
      <c r="N56" s="43"/>
      <c r="O56" s="43"/>
      <c r="P56" s="43">
        <v>1.0</v>
      </c>
      <c r="Q56" s="43">
        <v>1.0</v>
      </c>
      <c r="R56" s="43">
        <v>1.0</v>
      </c>
      <c r="S56" s="43">
        <v>1.0</v>
      </c>
      <c r="T56" s="43">
        <v>1.0</v>
      </c>
      <c r="U56" s="43">
        <v>1.0</v>
      </c>
      <c r="V56" s="43">
        <v>1.0</v>
      </c>
      <c r="W56" s="43">
        <v>1.0</v>
      </c>
      <c r="X56" s="43">
        <v>1.0</v>
      </c>
      <c r="Y56" s="43">
        <v>1.0</v>
      </c>
      <c r="Z56" s="43">
        <v>1.0</v>
      </c>
      <c r="AA56" s="43">
        <v>1.0</v>
      </c>
      <c r="AB56" s="43">
        <v>1.0</v>
      </c>
      <c r="AC56" s="43">
        <v>1.0</v>
      </c>
      <c r="AD56" s="43">
        <v>1.0</v>
      </c>
      <c r="AE56" s="43">
        <v>1.0</v>
      </c>
      <c r="AF56" s="43">
        <v>1.0</v>
      </c>
      <c r="AG56" s="43">
        <v>1.0</v>
      </c>
      <c r="AH56" s="43">
        <v>1.0</v>
      </c>
      <c r="AI56" s="43">
        <v>1.0</v>
      </c>
      <c r="AJ56" s="43">
        <v>1.0</v>
      </c>
      <c r="AK56" s="43">
        <v>1.0</v>
      </c>
      <c r="AL56" s="43">
        <v>1.0</v>
      </c>
      <c r="AM56" s="43">
        <v>1.0</v>
      </c>
      <c r="AN56" s="43">
        <v>1.0</v>
      </c>
      <c r="AO56" s="43">
        <v>1.0</v>
      </c>
      <c r="AP56" s="43">
        <v>1.0</v>
      </c>
      <c r="AQ56" s="43">
        <v>1.0</v>
      </c>
      <c r="AR56" s="43">
        <v>1.0</v>
      </c>
      <c r="AS56" s="38"/>
      <c r="AT56" s="38"/>
      <c r="AU56" s="38"/>
      <c r="AV56" s="38"/>
      <c r="AW56" s="38"/>
      <c r="AX56" s="38"/>
      <c r="AY56" s="38"/>
      <c r="AZ56" s="38"/>
      <c r="BA56" s="38"/>
      <c r="BB56" s="38"/>
      <c r="BC56" s="38"/>
      <c r="BD56" s="38"/>
      <c r="BE56" s="38"/>
      <c r="BF56" s="38"/>
      <c r="BG56" s="38"/>
      <c r="BH56" s="38"/>
      <c r="BI56" s="38"/>
      <c r="BJ56" s="38"/>
      <c r="BK56" s="38"/>
      <c r="BL56" s="38"/>
    </row>
    <row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c r="BC57" s="38"/>
      <c r="BD57" s="38"/>
      <c r="BE57" s="38"/>
      <c r="BF57" s="38"/>
      <c r="BG57" s="38"/>
      <c r="BH57" s="38"/>
      <c r="BI57" s="38"/>
      <c r="BJ57" s="38"/>
      <c r="BK57" s="38"/>
      <c r="BL57" s="38"/>
    </row>
    <row r="58">
      <c r="A58" s="77"/>
      <c r="B58" s="77"/>
      <c r="C58" s="77"/>
      <c r="D58" s="77"/>
      <c r="E58" s="78">
        <f t="shared" ref="E58:F58" si="1">SUM(E3:E56)</f>
        <v>54</v>
      </c>
      <c r="F58" s="78">
        <f t="shared" si="1"/>
        <v>35</v>
      </c>
      <c r="G58" s="78"/>
      <c r="H58" s="78"/>
      <c r="I58" s="78"/>
      <c r="J58" s="78"/>
      <c r="K58" s="78"/>
      <c r="L58" s="78"/>
      <c r="M58" s="78"/>
      <c r="N58" s="78"/>
      <c r="O58" s="78"/>
      <c r="P58" s="78">
        <f t="shared" ref="P58:AW58" si="2">SUM(P3:P56)</f>
        <v>51</v>
      </c>
      <c r="Q58" s="78">
        <f t="shared" si="2"/>
        <v>51</v>
      </c>
      <c r="R58" s="78">
        <f t="shared" si="2"/>
        <v>51</v>
      </c>
      <c r="S58" s="78">
        <f t="shared" si="2"/>
        <v>51</v>
      </c>
      <c r="T58" s="78">
        <f t="shared" si="2"/>
        <v>51</v>
      </c>
      <c r="U58" s="78">
        <f t="shared" si="2"/>
        <v>51</v>
      </c>
      <c r="V58" s="78">
        <f t="shared" si="2"/>
        <v>51</v>
      </c>
      <c r="W58" s="78">
        <f t="shared" si="2"/>
        <v>51</v>
      </c>
      <c r="X58" s="78">
        <f t="shared" si="2"/>
        <v>51</v>
      </c>
      <c r="Y58" s="78">
        <f t="shared" si="2"/>
        <v>51</v>
      </c>
      <c r="Z58" s="78">
        <f t="shared" si="2"/>
        <v>51</v>
      </c>
      <c r="AA58" s="78">
        <f t="shared" si="2"/>
        <v>51</v>
      </c>
      <c r="AB58" s="78">
        <f t="shared" si="2"/>
        <v>51</v>
      </c>
      <c r="AC58" s="78">
        <f t="shared" si="2"/>
        <v>51</v>
      </c>
      <c r="AD58" s="78">
        <f t="shared" si="2"/>
        <v>51</v>
      </c>
      <c r="AE58" s="78">
        <f t="shared" si="2"/>
        <v>51</v>
      </c>
      <c r="AF58" s="78">
        <f t="shared" si="2"/>
        <v>51</v>
      </c>
      <c r="AG58" s="78">
        <f t="shared" si="2"/>
        <v>51</v>
      </c>
      <c r="AH58" s="78">
        <f t="shared" si="2"/>
        <v>51</v>
      </c>
      <c r="AI58" s="78">
        <f t="shared" si="2"/>
        <v>51</v>
      </c>
      <c r="AJ58" s="78">
        <f t="shared" si="2"/>
        <v>51</v>
      </c>
      <c r="AK58" s="78">
        <f t="shared" si="2"/>
        <v>51</v>
      </c>
      <c r="AL58" s="78">
        <f t="shared" si="2"/>
        <v>51</v>
      </c>
      <c r="AM58" s="78">
        <f t="shared" si="2"/>
        <v>51</v>
      </c>
      <c r="AN58" s="78">
        <f t="shared" si="2"/>
        <v>51</v>
      </c>
      <c r="AO58" s="78">
        <f t="shared" si="2"/>
        <v>51</v>
      </c>
      <c r="AP58" s="78">
        <f t="shared" si="2"/>
        <v>51</v>
      </c>
      <c r="AQ58" s="78">
        <f t="shared" si="2"/>
        <v>51</v>
      </c>
      <c r="AR58" s="78">
        <f t="shared" si="2"/>
        <v>51</v>
      </c>
      <c r="AS58" s="78">
        <f t="shared" si="2"/>
        <v>0</v>
      </c>
      <c r="AT58" s="78">
        <f t="shared" si="2"/>
        <v>0</v>
      </c>
      <c r="AU58" s="78">
        <f t="shared" si="2"/>
        <v>47</v>
      </c>
      <c r="AV58" s="78">
        <f t="shared" si="2"/>
        <v>47</v>
      </c>
      <c r="AW58" s="78">
        <f t="shared" si="2"/>
        <v>47</v>
      </c>
      <c r="AX58" s="77"/>
      <c r="AY58" s="77"/>
      <c r="AZ58" s="77"/>
      <c r="BA58" s="77"/>
      <c r="BB58" s="77"/>
      <c r="BC58" s="77"/>
      <c r="BD58" s="77"/>
      <c r="BE58" s="77"/>
      <c r="BF58" s="77"/>
      <c r="BG58" s="77"/>
      <c r="BH58" s="77"/>
      <c r="BI58" s="77"/>
      <c r="BJ58" s="77"/>
      <c r="BK58" s="77"/>
      <c r="BL58" s="77"/>
    </row>
    <row r="59">
      <c r="A59" s="38"/>
      <c r="B59" s="38"/>
      <c r="C59" s="38"/>
      <c r="D59" s="41" t="s">
        <v>173</v>
      </c>
      <c r="E59" s="38">
        <f t="shared" ref="E59:F59" si="3">COUNTIFS(E$1:E$57, "=1", $C$1:$C$57, "=חייל") + COUNTIFS(E$1:E$57, "=1", $C$1:$C$57, "=נהג")</f>
        <v>35</v>
      </c>
      <c r="F59" s="38">
        <f t="shared" si="3"/>
        <v>21</v>
      </c>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c r="BC59" s="38"/>
      <c r="BD59" s="38"/>
      <c r="BE59" s="38"/>
      <c r="BF59" s="38"/>
      <c r="BG59" s="38"/>
      <c r="BH59" s="38"/>
      <c r="BI59" s="38"/>
      <c r="BJ59" s="38"/>
      <c r="BK59" s="38"/>
      <c r="BL59" s="38"/>
    </row>
    <row r="60">
      <c r="A60" s="38"/>
      <c r="B60" s="38"/>
      <c r="C60" s="38"/>
      <c r="D60" s="41" t="s">
        <v>54</v>
      </c>
      <c r="E60" s="38">
        <f t="shared" ref="E60:F60" si="4">COUNTIFS(E$1:E$57, "=1", $C$1:$C$57, "=מפקד") + COUNTIFS(E$1:E$57, "=1", $C$1:$C$57, "=ממ")</f>
        <v>10</v>
      </c>
      <c r="F60" s="38">
        <f t="shared" si="4"/>
        <v>6</v>
      </c>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c r="BC60" s="38"/>
      <c r="BD60" s="38"/>
      <c r="BE60" s="38"/>
      <c r="BF60" s="38"/>
      <c r="BG60" s="38"/>
      <c r="BH60" s="38"/>
      <c r="BI60" s="38"/>
      <c r="BJ60" s="38"/>
      <c r="BK60" s="38"/>
      <c r="BL60" s="38"/>
    </row>
    <row r="61">
      <c r="A61" s="38"/>
      <c r="B61" s="38"/>
      <c r="D61" s="41" t="s">
        <v>157</v>
      </c>
      <c r="E61" s="38">
        <f>COUNTIFS(E$1:E$57, "=1", $C$1:$C$57, "=רספ")</f>
        <v>2</v>
      </c>
      <c r="F61" s="44">
        <v>2.0</v>
      </c>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c r="BC61" s="38"/>
      <c r="BD61" s="38"/>
      <c r="BE61" s="38"/>
      <c r="BF61" s="38"/>
      <c r="BG61" s="38"/>
      <c r="BH61" s="38"/>
      <c r="BI61" s="38"/>
      <c r="BJ61" s="38"/>
      <c r="BK61" s="38"/>
      <c r="BL61" s="38"/>
    </row>
    <row r="62">
      <c r="A62" s="38"/>
      <c r="B62" s="38"/>
      <c r="D62" s="41" t="s">
        <v>136</v>
      </c>
      <c r="E62" s="44">
        <v>4.0</v>
      </c>
      <c r="F62" s="44">
        <v>4.0</v>
      </c>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c r="BC62" s="38"/>
      <c r="BD62" s="38"/>
      <c r="BE62" s="38"/>
      <c r="BF62" s="38"/>
      <c r="BG62" s="38"/>
      <c r="BH62" s="38"/>
      <c r="BI62" s="38"/>
      <c r="BJ62" s="38"/>
      <c r="BK62" s="38"/>
      <c r="BL62" s="38"/>
    </row>
    <row r="63">
      <c r="A63" s="38"/>
      <c r="B63" s="38"/>
      <c r="D63" s="41" t="s">
        <v>181</v>
      </c>
      <c r="E63" s="44">
        <v>3.0</v>
      </c>
      <c r="F63" s="44">
        <v>2.0</v>
      </c>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c r="BC63" s="38"/>
      <c r="BD63" s="38"/>
      <c r="BE63" s="38"/>
      <c r="BF63" s="38"/>
      <c r="BG63" s="38"/>
      <c r="BH63" s="38"/>
      <c r="BI63" s="38"/>
      <c r="BJ63" s="38"/>
      <c r="BK63" s="38"/>
      <c r="BL63" s="38"/>
    </row>
    <row r="64">
      <c r="A64" s="38"/>
      <c r="B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c r="BC64" s="38"/>
      <c r="BD64" s="38"/>
      <c r="BE64" s="38"/>
      <c r="BF64" s="38"/>
      <c r="BG64" s="38"/>
      <c r="BH64" s="38"/>
      <c r="BI64" s="38"/>
      <c r="BJ64" s="38"/>
      <c r="BK64" s="38"/>
      <c r="BL64" s="38"/>
    </row>
    <row r="65">
      <c r="A65" s="38"/>
      <c r="B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c r="BC65" s="38"/>
      <c r="BD65" s="38"/>
      <c r="BE65" s="38"/>
      <c r="BF65" s="38"/>
      <c r="BG65" s="38"/>
      <c r="BH65" s="38"/>
      <c r="BI65" s="38"/>
      <c r="BJ65" s="38"/>
      <c r="BK65" s="38"/>
      <c r="BL65" s="38"/>
    </row>
    <row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c r="BC66" s="38"/>
      <c r="BD66" s="38"/>
      <c r="BE66" s="38"/>
      <c r="BF66" s="38"/>
      <c r="BG66" s="38"/>
      <c r="BH66" s="38"/>
      <c r="BI66" s="38"/>
      <c r="BJ66" s="38"/>
      <c r="BK66" s="38"/>
      <c r="BL66" s="38"/>
    </row>
    <row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c r="BC67" s="38"/>
      <c r="BD67" s="38"/>
      <c r="BE67" s="38"/>
      <c r="BF67" s="38"/>
      <c r="BG67" s="38"/>
      <c r="BH67" s="38"/>
      <c r="BI67" s="38"/>
      <c r="BJ67" s="38"/>
      <c r="BK67" s="38"/>
      <c r="BL67" s="38"/>
    </row>
    <row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c r="BC68" s="38"/>
      <c r="BD68" s="38"/>
      <c r="BE68" s="38"/>
      <c r="BF68" s="38"/>
      <c r="BG68" s="38"/>
      <c r="BH68" s="38"/>
      <c r="BI68" s="38"/>
      <c r="BJ68" s="38"/>
      <c r="BK68" s="38"/>
      <c r="BL68" s="38"/>
    </row>
    <row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c r="BC69" s="38"/>
      <c r="BD69" s="38"/>
      <c r="BE69" s="38"/>
      <c r="BF69" s="38"/>
      <c r="BG69" s="38"/>
      <c r="BH69" s="38"/>
      <c r="BI69" s="38"/>
      <c r="BJ69" s="38"/>
      <c r="BK69" s="38"/>
      <c r="BL69" s="38"/>
    </row>
    <row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8"/>
      <c r="BB70" s="38"/>
      <c r="BC70" s="38"/>
      <c r="BD70" s="38"/>
      <c r="BE70" s="38"/>
      <c r="BF70" s="38"/>
      <c r="BG70" s="38"/>
      <c r="BH70" s="38"/>
      <c r="BI70" s="38"/>
      <c r="BJ70" s="38"/>
      <c r="BK70" s="38"/>
      <c r="BL70" s="38"/>
    </row>
    <row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c r="BC71" s="38"/>
      <c r="BD71" s="38"/>
      <c r="BE71" s="38"/>
      <c r="BF71" s="38"/>
      <c r="BG71" s="38"/>
      <c r="BH71" s="38"/>
      <c r="BI71" s="38"/>
      <c r="BJ71" s="38"/>
      <c r="BK71" s="38"/>
      <c r="BL71" s="38"/>
    </row>
    <row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c r="BC72" s="38"/>
      <c r="BD72" s="38"/>
      <c r="BE72" s="38"/>
      <c r="BF72" s="38"/>
      <c r="BG72" s="38"/>
      <c r="BH72" s="38"/>
      <c r="BI72" s="38"/>
      <c r="BJ72" s="38"/>
      <c r="BK72" s="38"/>
      <c r="BL72" s="38"/>
    </row>
    <row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c r="BC73" s="38"/>
      <c r="BD73" s="38"/>
      <c r="BE73" s="38"/>
      <c r="BF73" s="38"/>
      <c r="BG73" s="38"/>
      <c r="BH73" s="38"/>
      <c r="BI73" s="38"/>
      <c r="BJ73" s="38"/>
      <c r="BK73" s="38"/>
      <c r="BL73" s="38"/>
    </row>
    <row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c r="BC74" s="38"/>
      <c r="BD74" s="38"/>
      <c r="BE74" s="38"/>
      <c r="BF74" s="38"/>
      <c r="BG74" s="38"/>
      <c r="BH74" s="38"/>
      <c r="BI74" s="38"/>
      <c r="BJ74" s="38"/>
      <c r="BK74" s="38"/>
      <c r="BL74" s="38"/>
    </row>
    <row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c r="BC75" s="38"/>
      <c r="BD75" s="38"/>
      <c r="BE75" s="38"/>
      <c r="BF75" s="38"/>
      <c r="BG75" s="38"/>
      <c r="BH75" s="38"/>
      <c r="BI75" s="38"/>
      <c r="BJ75" s="38"/>
      <c r="BK75" s="38"/>
      <c r="BL75" s="38"/>
    </row>
    <row r="76">
      <c r="A76" s="38"/>
      <c r="B76" s="42" t="s">
        <v>189</v>
      </c>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c r="BC76" s="38"/>
      <c r="BD76" s="38"/>
      <c r="BE76" s="38"/>
      <c r="BF76" s="38"/>
      <c r="BG76" s="38"/>
      <c r="BH76" s="38"/>
      <c r="BI76" s="38"/>
      <c r="BJ76" s="38"/>
      <c r="BK76" s="38"/>
      <c r="BL76" s="38"/>
    </row>
    <row r="77">
      <c r="A77" s="38"/>
      <c r="B77" s="42" t="s">
        <v>190</v>
      </c>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c r="BC77" s="38"/>
      <c r="BD77" s="38"/>
      <c r="BE77" s="38"/>
      <c r="BF77" s="38"/>
      <c r="BG77" s="38"/>
      <c r="BH77" s="38"/>
      <c r="BI77" s="38"/>
      <c r="BJ77" s="38"/>
      <c r="BK77" s="38"/>
      <c r="BL77" s="38"/>
    </row>
    <row r="78">
      <c r="A78" s="38"/>
      <c r="B78" s="42" t="s">
        <v>192</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c r="BC78" s="38"/>
      <c r="BD78" s="38"/>
      <c r="BE78" s="38"/>
      <c r="BF78" s="38"/>
      <c r="BG78" s="38"/>
      <c r="BH78" s="38"/>
      <c r="BI78" s="38"/>
      <c r="BJ78" s="38"/>
      <c r="BK78" s="38"/>
      <c r="BL78" s="38"/>
    </row>
    <row r="79">
      <c r="A79" s="38"/>
      <c r="B79" s="83" t="s">
        <v>193</v>
      </c>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c r="BC79" s="38"/>
      <c r="BD79" s="38"/>
      <c r="BE79" s="38"/>
      <c r="BF79" s="38"/>
      <c r="BG79" s="38"/>
      <c r="BH79" s="38"/>
      <c r="BI79" s="38"/>
      <c r="BJ79" s="38"/>
      <c r="BK79" s="38"/>
      <c r="BL79" s="38"/>
    </row>
    <row r="80">
      <c r="A80" s="38"/>
      <c r="B80" s="83" t="s">
        <v>195</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c r="BC80" s="38"/>
      <c r="BD80" s="38"/>
      <c r="BE80" s="38"/>
      <c r="BF80" s="38"/>
      <c r="BG80" s="38"/>
      <c r="BH80" s="38"/>
      <c r="BI80" s="38"/>
      <c r="BJ80" s="38"/>
      <c r="BK80" s="38"/>
      <c r="BL80" s="38"/>
    </row>
    <row r="81">
      <c r="A81" s="38"/>
      <c r="B81" s="41" t="s">
        <v>196</v>
      </c>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c r="BC81" s="38"/>
      <c r="BD81" s="38"/>
      <c r="BE81" s="38"/>
      <c r="BF81" s="38"/>
      <c r="BG81" s="38"/>
      <c r="BH81" s="38"/>
      <c r="BI81" s="38"/>
      <c r="BJ81" s="38"/>
      <c r="BK81" s="38"/>
      <c r="BL81" s="38"/>
    </row>
    <row r="82">
      <c r="A82" s="38"/>
      <c r="B82" s="41" t="s">
        <v>198</v>
      </c>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c r="BC82" s="38"/>
      <c r="BD82" s="38"/>
      <c r="BE82" s="38"/>
      <c r="BF82" s="38"/>
      <c r="BG82" s="38"/>
      <c r="BH82" s="38"/>
      <c r="BI82" s="38"/>
      <c r="BJ82" s="38"/>
      <c r="BK82" s="38"/>
      <c r="BL82" s="38"/>
    </row>
    <row r="83">
      <c r="A83" s="38"/>
      <c r="B83" s="41" t="s">
        <v>199</v>
      </c>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c r="BC83" s="38"/>
      <c r="BD83" s="38"/>
      <c r="BE83" s="38"/>
      <c r="BF83" s="38"/>
      <c r="BG83" s="38"/>
      <c r="BH83" s="38"/>
      <c r="BI83" s="38"/>
      <c r="BJ83" s="38"/>
      <c r="BK83" s="38"/>
      <c r="BL83" s="38"/>
    </row>
    <row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c r="BC84" s="38"/>
      <c r="BD84" s="38"/>
      <c r="BE84" s="38"/>
      <c r="BF84" s="38"/>
      <c r="BG84" s="38"/>
      <c r="BH84" s="38"/>
      <c r="BI84" s="38"/>
      <c r="BJ84" s="38"/>
      <c r="BK84" s="38"/>
      <c r="BL84" s="38"/>
    </row>
    <row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c r="BC85" s="38"/>
      <c r="BD85" s="38"/>
      <c r="BE85" s="38"/>
      <c r="BF85" s="38"/>
      <c r="BG85" s="38"/>
      <c r="BH85" s="38"/>
      <c r="BI85" s="38"/>
      <c r="BJ85" s="38"/>
      <c r="BK85" s="38"/>
      <c r="BL85" s="38"/>
    </row>
    <row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c r="BC86" s="38"/>
      <c r="BD86" s="38"/>
      <c r="BE86" s="38"/>
      <c r="BF86" s="38"/>
      <c r="BG86" s="38"/>
      <c r="BH86" s="38"/>
      <c r="BI86" s="38"/>
      <c r="BJ86" s="38"/>
      <c r="BK86" s="38"/>
      <c r="BL86" s="38"/>
    </row>
    <row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c r="BC87" s="38"/>
      <c r="BD87" s="38"/>
      <c r="BE87" s="38"/>
      <c r="BF87" s="38"/>
      <c r="BG87" s="38"/>
      <c r="BH87" s="38"/>
      <c r="BI87" s="38"/>
      <c r="BJ87" s="38"/>
      <c r="BK87" s="38"/>
      <c r="BL87" s="38"/>
    </row>
    <row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38"/>
      <c r="BB88" s="38"/>
      <c r="BC88" s="38"/>
      <c r="BD88" s="38"/>
      <c r="BE88" s="38"/>
      <c r="BF88" s="38"/>
      <c r="BG88" s="38"/>
      <c r="BH88" s="38"/>
      <c r="BI88" s="38"/>
      <c r="BJ88" s="38"/>
      <c r="BK88" s="38"/>
      <c r="BL88" s="38"/>
    </row>
    <row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c r="BC89" s="38"/>
      <c r="BD89" s="38"/>
      <c r="BE89" s="38"/>
      <c r="BF89" s="38"/>
      <c r="BG89" s="38"/>
      <c r="BH89" s="38"/>
      <c r="BI89" s="38"/>
      <c r="BJ89" s="38"/>
      <c r="BK89" s="38"/>
      <c r="BL89" s="38"/>
    </row>
    <row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c r="BC90" s="38"/>
      <c r="BD90" s="38"/>
      <c r="BE90" s="38"/>
      <c r="BF90" s="38"/>
      <c r="BG90" s="38"/>
      <c r="BH90" s="38"/>
      <c r="BI90" s="38"/>
      <c r="BJ90" s="38"/>
      <c r="BK90" s="38"/>
      <c r="BL90" s="38"/>
    </row>
    <row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c r="BK91" s="38"/>
      <c r="BL91" s="38"/>
    </row>
    <row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38"/>
      <c r="AY92" s="38"/>
      <c r="AZ92" s="38"/>
      <c r="BA92" s="38"/>
      <c r="BB92" s="38"/>
      <c r="BC92" s="38"/>
      <c r="BD92" s="38"/>
      <c r="BE92" s="38"/>
      <c r="BF92" s="38"/>
      <c r="BG92" s="38"/>
      <c r="BH92" s="38"/>
      <c r="BI92" s="38"/>
      <c r="BJ92" s="38"/>
      <c r="BK92" s="38"/>
      <c r="BL92" s="38"/>
    </row>
    <row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c r="BC93" s="38"/>
      <c r="BD93" s="38"/>
      <c r="BE93" s="38"/>
      <c r="BF93" s="38"/>
      <c r="BG93" s="38"/>
      <c r="BH93" s="38"/>
      <c r="BI93" s="38"/>
      <c r="BJ93" s="38"/>
      <c r="BK93" s="38"/>
      <c r="BL93" s="38"/>
    </row>
    <row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c r="BC94" s="38"/>
      <c r="BD94" s="38"/>
      <c r="BE94" s="38"/>
      <c r="BF94" s="38"/>
      <c r="BG94" s="38"/>
      <c r="BH94" s="38"/>
      <c r="BI94" s="38"/>
      <c r="BJ94" s="38"/>
      <c r="BK94" s="38"/>
      <c r="BL94" s="38"/>
    </row>
    <row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c r="BC95" s="38"/>
      <c r="BD95" s="38"/>
      <c r="BE95" s="38"/>
      <c r="BF95" s="38"/>
      <c r="BG95" s="38"/>
      <c r="BH95" s="38"/>
      <c r="BI95" s="38"/>
      <c r="BJ95" s="38"/>
      <c r="BK95" s="38"/>
      <c r="BL95" s="38"/>
    </row>
    <row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c r="BJ96" s="38"/>
      <c r="BK96" s="38"/>
      <c r="BL96" s="38"/>
    </row>
    <row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c r="BC97" s="38"/>
      <c r="BD97" s="38"/>
      <c r="BE97" s="38"/>
      <c r="BF97" s="38"/>
      <c r="BG97" s="38"/>
      <c r="BH97" s="38"/>
      <c r="BI97" s="38"/>
      <c r="BJ97" s="38"/>
      <c r="BK97" s="38"/>
      <c r="BL97" s="38"/>
    </row>
    <row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c r="BK98" s="38"/>
      <c r="BL98" s="38"/>
    </row>
    <row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c r="BC99" s="38"/>
      <c r="BD99" s="38"/>
      <c r="BE99" s="38"/>
      <c r="BF99" s="38"/>
      <c r="BG99" s="38"/>
      <c r="BH99" s="38"/>
      <c r="BI99" s="38"/>
      <c r="BJ99" s="38"/>
      <c r="BK99" s="38"/>
      <c r="BL99" s="38"/>
    </row>
    <row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c r="BC100" s="38"/>
      <c r="BD100" s="38"/>
      <c r="BE100" s="38"/>
      <c r="BF100" s="38"/>
      <c r="BG100" s="38"/>
      <c r="BH100" s="38"/>
      <c r="BI100" s="38"/>
      <c r="BJ100" s="38"/>
      <c r="BK100" s="38"/>
      <c r="BL100" s="38"/>
    </row>
    <row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c r="BC101" s="38"/>
      <c r="BD101" s="38"/>
      <c r="BE101" s="38"/>
      <c r="BF101" s="38"/>
      <c r="BG101" s="38"/>
      <c r="BH101" s="38"/>
      <c r="BI101" s="38"/>
      <c r="BJ101" s="38"/>
      <c r="BK101" s="38"/>
      <c r="BL101" s="38"/>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c r="BC102" s="38"/>
      <c r="BD102" s="38"/>
      <c r="BE102" s="38"/>
      <c r="BF102" s="38"/>
      <c r="BG102" s="38"/>
      <c r="BH102" s="38"/>
      <c r="BI102" s="38"/>
      <c r="BJ102" s="38"/>
      <c r="BK102" s="38"/>
      <c r="BL102" s="38"/>
    </row>
    <row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c r="BC103" s="38"/>
      <c r="BD103" s="38"/>
      <c r="BE103" s="38"/>
      <c r="BF103" s="38"/>
      <c r="BG103" s="38"/>
      <c r="BH103" s="38"/>
      <c r="BI103" s="38"/>
      <c r="BJ103" s="38"/>
      <c r="BK103" s="38"/>
      <c r="BL103" s="38"/>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c r="BC104" s="38"/>
      <c r="BD104" s="38"/>
      <c r="BE104" s="38"/>
      <c r="BF104" s="38"/>
      <c r="BG104" s="38"/>
      <c r="BH104" s="38"/>
      <c r="BI104" s="38"/>
      <c r="BJ104" s="38"/>
      <c r="BK104" s="38"/>
      <c r="BL104" s="38"/>
    </row>
    <row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c r="BC105" s="38"/>
      <c r="BD105" s="38"/>
      <c r="BE105" s="38"/>
      <c r="BF105" s="38"/>
      <c r="BG105" s="38"/>
      <c r="BH105" s="38"/>
      <c r="BI105" s="38"/>
      <c r="BJ105" s="38"/>
      <c r="BK105" s="38"/>
      <c r="BL105" s="38"/>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c r="BC106" s="38"/>
      <c r="BD106" s="38"/>
      <c r="BE106" s="38"/>
      <c r="BF106" s="38"/>
      <c r="BG106" s="38"/>
      <c r="BH106" s="38"/>
      <c r="BI106" s="38"/>
      <c r="BJ106" s="38"/>
      <c r="BK106" s="38"/>
      <c r="BL106" s="38"/>
    </row>
    <row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c r="BC107" s="38"/>
      <c r="BD107" s="38"/>
      <c r="BE107" s="38"/>
      <c r="BF107" s="38"/>
      <c r="BG107" s="38"/>
      <c r="BH107" s="38"/>
      <c r="BI107" s="38"/>
      <c r="BJ107" s="38"/>
      <c r="BK107" s="38"/>
      <c r="BL107" s="38"/>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c r="BC108" s="38"/>
      <c r="BD108" s="38"/>
      <c r="BE108" s="38"/>
      <c r="BF108" s="38"/>
      <c r="BG108" s="38"/>
      <c r="BH108" s="38"/>
      <c r="BI108" s="38"/>
      <c r="BJ108" s="38"/>
      <c r="BK108" s="38"/>
      <c r="BL108" s="38"/>
    </row>
    <row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c r="BC109" s="38"/>
      <c r="BD109" s="38"/>
      <c r="BE109" s="38"/>
      <c r="BF109" s="38"/>
      <c r="BG109" s="38"/>
      <c r="BH109" s="38"/>
      <c r="BI109" s="38"/>
      <c r="BJ109" s="38"/>
      <c r="BK109" s="38"/>
      <c r="BL109" s="38"/>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c r="BC110" s="38"/>
      <c r="BD110" s="38"/>
      <c r="BE110" s="38"/>
      <c r="BF110" s="38"/>
      <c r="BG110" s="38"/>
      <c r="BH110" s="38"/>
      <c r="BI110" s="38"/>
      <c r="BJ110" s="38"/>
      <c r="BK110" s="38"/>
      <c r="BL110" s="38"/>
    </row>
    <row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c r="BC111" s="38"/>
      <c r="BD111" s="38"/>
      <c r="BE111" s="38"/>
      <c r="BF111" s="38"/>
      <c r="BG111" s="38"/>
      <c r="BH111" s="38"/>
      <c r="BI111" s="38"/>
      <c r="BJ111" s="38"/>
      <c r="BK111" s="38"/>
      <c r="BL111" s="38"/>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c r="BC112" s="38"/>
      <c r="BD112" s="38"/>
      <c r="BE112" s="38"/>
      <c r="BF112" s="38"/>
      <c r="BG112" s="38"/>
      <c r="BH112" s="38"/>
      <c r="BI112" s="38"/>
      <c r="BJ112" s="38"/>
      <c r="BK112" s="38"/>
      <c r="BL112" s="38"/>
    </row>
    <row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c r="BC113" s="38"/>
      <c r="BD113" s="38"/>
      <c r="BE113" s="38"/>
      <c r="BF113" s="38"/>
      <c r="BG113" s="38"/>
      <c r="BH113" s="38"/>
      <c r="BI113" s="38"/>
      <c r="BJ113" s="38"/>
      <c r="BK113" s="38"/>
      <c r="BL113" s="38"/>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c r="BC114" s="38"/>
      <c r="BD114" s="38"/>
      <c r="BE114" s="38"/>
      <c r="BF114" s="38"/>
      <c r="BG114" s="38"/>
      <c r="BH114" s="38"/>
      <c r="BI114" s="38"/>
      <c r="BJ114" s="38"/>
      <c r="BK114" s="38"/>
      <c r="BL114" s="38"/>
    </row>
    <row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c r="BC115" s="38"/>
      <c r="BD115" s="38"/>
      <c r="BE115" s="38"/>
      <c r="BF115" s="38"/>
      <c r="BG115" s="38"/>
      <c r="BH115" s="38"/>
      <c r="BI115" s="38"/>
      <c r="BJ115" s="38"/>
      <c r="BK115" s="38"/>
      <c r="BL115" s="38"/>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c r="BC116" s="38"/>
      <c r="BD116" s="38"/>
      <c r="BE116" s="38"/>
      <c r="BF116" s="38"/>
      <c r="BG116" s="38"/>
      <c r="BH116" s="38"/>
      <c r="BI116" s="38"/>
      <c r="BJ116" s="38"/>
      <c r="BK116" s="38"/>
      <c r="BL116" s="38"/>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c r="BC117" s="38"/>
      <c r="BD117" s="38"/>
      <c r="BE117" s="38"/>
      <c r="BF117" s="38"/>
      <c r="BG117" s="38"/>
      <c r="BH117" s="38"/>
      <c r="BI117" s="38"/>
      <c r="BJ117" s="38"/>
      <c r="BK117" s="38"/>
      <c r="BL117" s="38"/>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c r="BC118" s="38"/>
      <c r="BD118" s="38"/>
      <c r="BE118" s="38"/>
      <c r="BF118" s="38"/>
      <c r="BG118" s="38"/>
      <c r="BH118" s="38"/>
      <c r="BI118" s="38"/>
      <c r="BJ118" s="38"/>
      <c r="BK118" s="38"/>
      <c r="BL118" s="38"/>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c r="BC119" s="38"/>
      <c r="BD119" s="38"/>
      <c r="BE119" s="38"/>
      <c r="BF119" s="38"/>
      <c r="BG119" s="38"/>
      <c r="BH119" s="38"/>
      <c r="BI119" s="38"/>
      <c r="BJ119" s="38"/>
      <c r="BK119" s="38"/>
      <c r="BL119" s="38"/>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c r="BC120" s="38"/>
      <c r="BD120" s="38"/>
      <c r="BE120" s="38"/>
      <c r="BF120" s="38"/>
      <c r="BG120" s="38"/>
      <c r="BH120" s="38"/>
      <c r="BI120" s="38"/>
      <c r="BJ120" s="38"/>
      <c r="BK120" s="38"/>
      <c r="BL120" s="38"/>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c r="BC121" s="38"/>
      <c r="BD121" s="38"/>
      <c r="BE121" s="38"/>
      <c r="BF121" s="38"/>
      <c r="BG121" s="38"/>
      <c r="BH121" s="38"/>
      <c r="BI121" s="38"/>
      <c r="BJ121" s="38"/>
      <c r="BK121" s="38"/>
      <c r="BL121" s="38"/>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c r="BC122" s="38"/>
      <c r="BD122" s="38"/>
      <c r="BE122" s="38"/>
      <c r="BF122" s="38"/>
      <c r="BG122" s="38"/>
      <c r="BH122" s="38"/>
      <c r="BI122" s="38"/>
      <c r="BJ122" s="38"/>
      <c r="BK122" s="38"/>
      <c r="BL122" s="38"/>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c r="BC123" s="38"/>
      <c r="BD123" s="38"/>
      <c r="BE123" s="38"/>
      <c r="BF123" s="38"/>
      <c r="BG123" s="38"/>
      <c r="BH123" s="38"/>
      <c r="BI123" s="38"/>
      <c r="BJ123" s="38"/>
      <c r="BK123" s="38"/>
      <c r="BL123" s="38"/>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c r="BC124" s="38"/>
      <c r="BD124" s="38"/>
      <c r="BE124" s="38"/>
      <c r="BF124" s="38"/>
      <c r="BG124" s="38"/>
      <c r="BH124" s="38"/>
      <c r="BI124" s="38"/>
      <c r="BJ124" s="38"/>
      <c r="BK124" s="38"/>
      <c r="BL124" s="38"/>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c r="BC125" s="38"/>
      <c r="BD125" s="38"/>
      <c r="BE125" s="38"/>
      <c r="BF125" s="38"/>
      <c r="BG125" s="38"/>
      <c r="BH125" s="38"/>
      <c r="BI125" s="38"/>
      <c r="BJ125" s="38"/>
      <c r="BK125" s="38"/>
      <c r="BL125" s="38"/>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c r="BC126" s="38"/>
      <c r="BD126" s="38"/>
      <c r="BE126" s="38"/>
      <c r="BF126" s="38"/>
      <c r="BG126" s="38"/>
      <c r="BH126" s="38"/>
      <c r="BI126" s="38"/>
      <c r="BJ126" s="38"/>
      <c r="BK126" s="38"/>
      <c r="BL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c r="BC127" s="38"/>
      <c r="BD127" s="38"/>
      <c r="BE127" s="38"/>
      <c r="BF127" s="38"/>
      <c r="BG127" s="38"/>
      <c r="BH127" s="38"/>
      <c r="BI127" s="38"/>
      <c r="BJ127" s="38"/>
      <c r="BK127" s="38"/>
      <c r="BL127" s="38"/>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c r="BC128" s="38"/>
      <c r="BD128" s="38"/>
      <c r="BE128" s="38"/>
      <c r="BF128" s="38"/>
      <c r="BG128" s="38"/>
      <c r="BH128" s="38"/>
      <c r="BI128" s="38"/>
      <c r="BJ128" s="38"/>
      <c r="BK128" s="38"/>
      <c r="BL128" s="38"/>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c r="BC129" s="38"/>
      <c r="BD129" s="38"/>
      <c r="BE129" s="38"/>
      <c r="BF129" s="38"/>
      <c r="BG129" s="38"/>
      <c r="BH129" s="38"/>
      <c r="BI129" s="38"/>
      <c r="BJ129" s="38"/>
      <c r="BK129" s="38"/>
      <c r="BL129" s="38"/>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c r="BC130" s="38"/>
      <c r="BD130" s="38"/>
      <c r="BE130" s="38"/>
      <c r="BF130" s="38"/>
      <c r="BG130" s="38"/>
      <c r="BH130" s="38"/>
      <c r="BI130" s="38"/>
      <c r="BJ130" s="38"/>
      <c r="BK130" s="38"/>
      <c r="BL130" s="38"/>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c r="BC131" s="38"/>
      <c r="BD131" s="38"/>
      <c r="BE131" s="38"/>
      <c r="BF131" s="38"/>
      <c r="BG131" s="38"/>
      <c r="BH131" s="38"/>
      <c r="BI131" s="38"/>
      <c r="BJ131" s="38"/>
      <c r="BK131" s="38"/>
      <c r="BL131" s="38"/>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c r="BC132" s="38"/>
      <c r="BD132" s="38"/>
      <c r="BE132" s="38"/>
      <c r="BF132" s="38"/>
      <c r="BG132" s="38"/>
      <c r="BH132" s="38"/>
      <c r="BI132" s="38"/>
      <c r="BJ132" s="38"/>
      <c r="BK132" s="38"/>
      <c r="BL132" s="38"/>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c r="BC133" s="38"/>
      <c r="BD133" s="38"/>
      <c r="BE133" s="38"/>
      <c r="BF133" s="38"/>
      <c r="BG133" s="38"/>
      <c r="BH133" s="38"/>
      <c r="BI133" s="38"/>
      <c r="BJ133" s="38"/>
      <c r="BK133" s="38"/>
      <c r="BL133" s="38"/>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c r="BC134" s="38"/>
      <c r="BD134" s="38"/>
      <c r="BE134" s="38"/>
      <c r="BF134" s="38"/>
      <c r="BG134" s="38"/>
      <c r="BH134" s="38"/>
      <c r="BI134" s="38"/>
      <c r="BJ134" s="38"/>
      <c r="BK134" s="38"/>
      <c r="BL134" s="38"/>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c r="BC135" s="38"/>
      <c r="BD135" s="38"/>
      <c r="BE135" s="38"/>
      <c r="BF135" s="38"/>
      <c r="BG135" s="38"/>
      <c r="BH135" s="38"/>
      <c r="BI135" s="38"/>
      <c r="BJ135" s="38"/>
      <c r="BK135" s="38"/>
      <c r="BL135" s="38"/>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c r="BC136" s="38"/>
      <c r="BD136" s="38"/>
      <c r="BE136" s="38"/>
      <c r="BF136" s="38"/>
      <c r="BG136" s="38"/>
      <c r="BH136" s="38"/>
      <c r="BI136" s="38"/>
      <c r="BJ136" s="38"/>
      <c r="BK136" s="38"/>
      <c r="BL136" s="38"/>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c r="BC137" s="38"/>
      <c r="BD137" s="38"/>
      <c r="BE137" s="38"/>
      <c r="BF137" s="38"/>
      <c r="BG137" s="38"/>
      <c r="BH137" s="38"/>
      <c r="BI137" s="38"/>
      <c r="BJ137" s="38"/>
      <c r="BK137" s="38"/>
      <c r="BL137" s="38"/>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c r="BC138" s="38"/>
      <c r="BD138" s="38"/>
      <c r="BE138" s="38"/>
      <c r="BF138" s="38"/>
      <c r="BG138" s="38"/>
      <c r="BH138" s="38"/>
      <c r="BI138" s="38"/>
      <c r="BJ138" s="38"/>
      <c r="BK138" s="38"/>
      <c r="BL138" s="38"/>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c r="BC139" s="38"/>
      <c r="BD139" s="38"/>
      <c r="BE139" s="38"/>
      <c r="BF139" s="38"/>
      <c r="BG139" s="38"/>
      <c r="BH139" s="38"/>
      <c r="BI139" s="38"/>
      <c r="BJ139" s="38"/>
      <c r="BK139" s="38"/>
      <c r="BL139" s="38"/>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c r="BC140" s="38"/>
      <c r="BD140" s="38"/>
      <c r="BE140" s="38"/>
      <c r="BF140" s="38"/>
      <c r="BG140" s="38"/>
      <c r="BH140" s="38"/>
      <c r="BI140" s="38"/>
      <c r="BJ140" s="38"/>
      <c r="BK140" s="38"/>
      <c r="BL140" s="38"/>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c r="BC141" s="38"/>
      <c r="BD141" s="38"/>
      <c r="BE141" s="38"/>
      <c r="BF141" s="38"/>
      <c r="BG141" s="38"/>
      <c r="BH141" s="38"/>
      <c r="BI141" s="38"/>
      <c r="BJ141" s="38"/>
      <c r="BK141" s="38"/>
      <c r="BL141" s="38"/>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c r="BC142" s="38"/>
      <c r="BD142" s="38"/>
      <c r="BE142" s="38"/>
      <c r="BF142" s="38"/>
      <c r="BG142" s="38"/>
      <c r="BH142" s="38"/>
      <c r="BI142" s="38"/>
      <c r="BJ142" s="38"/>
      <c r="BK142" s="38"/>
      <c r="BL142" s="38"/>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c r="BC143" s="38"/>
      <c r="BD143" s="38"/>
      <c r="BE143" s="38"/>
      <c r="BF143" s="38"/>
      <c r="BG143" s="38"/>
      <c r="BH143" s="38"/>
      <c r="BI143" s="38"/>
      <c r="BJ143" s="38"/>
      <c r="BK143" s="38"/>
      <c r="BL143" s="38"/>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c r="BC144" s="38"/>
      <c r="BD144" s="38"/>
      <c r="BE144" s="38"/>
      <c r="BF144" s="38"/>
      <c r="BG144" s="38"/>
      <c r="BH144" s="38"/>
      <c r="BI144" s="38"/>
      <c r="BJ144" s="38"/>
      <c r="BK144" s="38"/>
      <c r="BL144" s="38"/>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c r="AY145" s="38"/>
      <c r="AZ145" s="38"/>
      <c r="BA145" s="38"/>
      <c r="BB145" s="38"/>
      <c r="BC145" s="38"/>
      <c r="BD145" s="38"/>
      <c r="BE145" s="38"/>
      <c r="BF145" s="38"/>
      <c r="BG145" s="38"/>
      <c r="BH145" s="38"/>
      <c r="BI145" s="38"/>
      <c r="BJ145" s="38"/>
      <c r="BK145" s="38"/>
      <c r="BL145" s="38"/>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c r="BC146" s="38"/>
      <c r="BD146" s="38"/>
      <c r="BE146" s="38"/>
      <c r="BF146" s="38"/>
      <c r="BG146" s="38"/>
      <c r="BH146" s="38"/>
      <c r="BI146" s="38"/>
      <c r="BJ146" s="38"/>
      <c r="BK146" s="38"/>
      <c r="BL146" s="38"/>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c r="BC147" s="38"/>
      <c r="BD147" s="38"/>
      <c r="BE147" s="38"/>
      <c r="BF147" s="38"/>
      <c r="BG147" s="38"/>
      <c r="BH147" s="38"/>
      <c r="BI147" s="38"/>
      <c r="BJ147" s="38"/>
      <c r="BK147" s="38"/>
      <c r="BL147" s="38"/>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c r="BC148" s="38"/>
      <c r="BD148" s="38"/>
      <c r="BE148" s="38"/>
      <c r="BF148" s="38"/>
      <c r="BG148" s="38"/>
      <c r="BH148" s="38"/>
      <c r="BI148" s="38"/>
      <c r="BJ148" s="38"/>
      <c r="BK148" s="38"/>
      <c r="BL148" s="38"/>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c r="BC149" s="38"/>
      <c r="BD149" s="38"/>
      <c r="BE149" s="38"/>
      <c r="BF149" s="38"/>
      <c r="BG149" s="38"/>
      <c r="BH149" s="38"/>
      <c r="BI149" s="38"/>
      <c r="BJ149" s="38"/>
      <c r="BK149" s="38"/>
      <c r="BL149" s="38"/>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c r="AY150" s="38"/>
      <c r="AZ150" s="38"/>
      <c r="BA150" s="38"/>
      <c r="BB150" s="38"/>
      <c r="BC150" s="38"/>
      <c r="BD150" s="38"/>
      <c r="BE150" s="38"/>
      <c r="BF150" s="38"/>
      <c r="BG150" s="38"/>
      <c r="BH150" s="38"/>
      <c r="BI150" s="38"/>
      <c r="BJ150" s="38"/>
      <c r="BK150" s="38"/>
      <c r="BL150" s="38"/>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c r="BC151" s="38"/>
      <c r="BD151" s="38"/>
      <c r="BE151" s="38"/>
      <c r="BF151" s="38"/>
      <c r="BG151" s="38"/>
      <c r="BH151" s="38"/>
      <c r="BI151" s="38"/>
      <c r="BJ151" s="38"/>
      <c r="BK151" s="38"/>
      <c r="BL151" s="38"/>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c r="BC152" s="38"/>
      <c r="BD152" s="38"/>
      <c r="BE152" s="38"/>
      <c r="BF152" s="38"/>
      <c r="BG152" s="38"/>
      <c r="BH152" s="38"/>
      <c r="BI152" s="38"/>
      <c r="BJ152" s="38"/>
      <c r="BK152" s="38"/>
      <c r="BL152" s="38"/>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c r="BC153" s="38"/>
      <c r="BD153" s="38"/>
      <c r="BE153" s="38"/>
      <c r="BF153" s="38"/>
      <c r="BG153" s="38"/>
      <c r="BH153" s="38"/>
      <c r="BI153" s="38"/>
      <c r="BJ153" s="38"/>
      <c r="BK153" s="38"/>
      <c r="BL153" s="38"/>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c r="BC154" s="38"/>
      <c r="BD154" s="38"/>
      <c r="BE154" s="38"/>
      <c r="BF154" s="38"/>
      <c r="BG154" s="38"/>
      <c r="BH154" s="38"/>
      <c r="BI154" s="38"/>
      <c r="BJ154" s="38"/>
      <c r="BK154" s="38"/>
      <c r="BL154" s="38"/>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c r="BC155" s="38"/>
      <c r="BD155" s="38"/>
      <c r="BE155" s="38"/>
      <c r="BF155" s="38"/>
      <c r="BG155" s="38"/>
      <c r="BH155" s="38"/>
      <c r="BI155" s="38"/>
      <c r="BJ155" s="38"/>
      <c r="BK155" s="38"/>
      <c r="BL155" s="38"/>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c r="BC156" s="38"/>
      <c r="BD156" s="38"/>
      <c r="BE156" s="38"/>
      <c r="BF156" s="38"/>
      <c r="BG156" s="38"/>
      <c r="BH156" s="38"/>
      <c r="BI156" s="38"/>
      <c r="BJ156" s="38"/>
      <c r="BK156" s="38"/>
      <c r="BL156" s="38"/>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c r="BC157" s="38"/>
      <c r="BD157" s="38"/>
      <c r="BE157" s="38"/>
      <c r="BF157" s="38"/>
      <c r="BG157" s="38"/>
      <c r="BH157" s="38"/>
      <c r="BI157" s="38"/>
      <c r="BJ157" s="38"/>
      <c r="BK157" s="38"/>
      <c r="BL157" s="38"/>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c r="BC158" s="38"/>
      <c r="BD158" s="38"/>
      <c r="BE158" s="38"/>
      <c r="BF158" s="38"/>
      <c r="BG158" s="38"/>
      <c r="BH158" s="38"/>
      <c r="BI158" s="38"/>
      <c r="BJ158" s="38"/>
      <c r="BK158" s="38"/>
      <c r="BL158" s="38"/>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c r="BC159" s="38"/>
      <c r="BD159" s="38"/>
      <c r="BE159" s="38"/>
      <c r="BF159" s="38"/>
      <c r="BG159" s="38"/>
      <c r="BH159" s="38"/>
      <c r="BI159" s="38"/>
      <c r="BJ159" s="38"/>
      <c r="BK159" s="38"/>
      <c r="BL159" s="38"/>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c r="BC160" s="38"/>
      <c r="BD160" s="38"/>
      <c r="BE160" s="38"/>
      <c r="BF160" s="38"/>
      <c r="BG160" s="38"/>
      <c r="BH160" s="38"/>
      <c r="BI160" s="38"/>
      <c r="BJ160" s="38"/>
      <c r="BK160" s="38"/>
      <c r="BL160" s="38"/>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c r="BC161" s="38"/>
      <c r="BD161" s="38"/>
      <c r="BE161" s="38"/>
      <c r="BF161" s="38"/>
      <c r="BG161" s="38"/>
      <c r="BH161" s="38"/>
      <c r="BI161" s="38"/>
      <c r="BJ161" s="38"/>
      <c r="BK161" s="38"/>
      <c r="BL161" s="38"/>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c r="BC162" s="38"/>
      <c r="BD162" s="38"/>
      <c r="BE162" s="38"/>
      <c r="BF162" s="38"/>
      <c r="BG162" s="38"/>
      <c r="BH162" s="38"/>
      <c r="BI162" s="38"/>
      <c r="BJ162" s="38"/>
      <c r="BK162" s="38"/>
      <c r="BL162" s="38"/>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c r="BC163" s="38"/>
      <c r="BD163" s="38"/>
      <c r="BE163" s="38"/>
      <c r="BF163" s="38"/>
      <c r="BG163" s="38"/>
      <c r="BH163" s="38"/>
      <c r="BI163" s="38"/>
      <c r="BJ163" s="38"/>
      <c r="BK163" s="38"/>
      <c r="BL163" s="38"/>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c r="BC164" s="38"/>
      <c r="BD164" s="38"/>
      <c r="BE164" s="38"/>
      <c r="BF164" s="38"/>
      <c r="BG164" s="38"/>
      <c r="BH164" s="38"/>
      <c r="BI164" s="38"/>
      <c r="BJ164" s="38"/>
      <c r="BK164" s="38"/>
      <c r="BL164" s="38"/>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c r="BC165" s="38"/>
      <c r="BD165" s="38"/>
      <c r="BE165" s="38"/>
      <c r="BF165" s="38"/>
      <c r="BG165" s="38"/>
      <c r="BH165" s="38"/>
      <c r="BI165" s="38"/>
      <c r="BJ165" s="38"/>
      <c r="BK165" s="38"/>
      <c r="BL165" s="38"/>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c r="BC166" s="38"/>
      <c r="BD166" s="38"/>
      <c r="BE166" s="38"/>
      <c r="BF166" s="38"/>
      <c r="BG166" s="38"/>
      <c r="BH166" s="38"/>
      <c r="BI166" s="38"/>
      <c r="BJ166" s="38"/>
      <c r="BK166" s="38"/>
      <c r="BL166" s="38"/>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c r="BC167" s="38"/>
      <c r="BD167" s="38"/>
      <c r="BE167" s="38"/>
      <c r="BF167" s="38"/>
      <c r="BG167" s="38"/>
      <c r="BH167" s="38"/>
      <c r="BI167" s="38"/>
      <c r="BJ167" s="38"/>
      <c r="BK167" s="38"/>
      <c r="BL167" s="38"/>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c r="BC168" s="38"/>
      <c r="BD168" s="38"/>
      <c r="BE168" s="38"/>
      <c r="BF168" s="38"/>
      <c r="BG168" s="38"/>
      <c r="BH168" s="38"/>
      <c r="BI168" s="38"/>
      <c r="BJ168" s="38"/>
      <c r="BK168" s="38"/>
      <c r="BL168" s="38"/>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c r="BC169" s="38"/>
      <c r="BD169" s="38"/>
      <c r="BE169" s="38"/>
      <c r="BF169" s="38"/>
      <c r="BG169" s="38"/>
      <c r="BH169" s="38"/>
      <c r="BI169" s="38"/>
      <c r="BJ169" s="38"/>
      <c r="BK169" s="38"/>
      <c r="BL169" s="38"/>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c r="AY170" s="38"/>
      <c r="AZ170" s="38"/>
      <c r="BA170" s="38"/>
      <c r="BB170" s="38"/>
      <c r="BC170" s="38"/>
      <c r="BD170" s="38"/>
      <c r="BE170" s="38"/>
      <c r="BF170" s="38"/>
      <c r="BG170" s="38"/>
      <c r="BH170" s="38"/>
      <c r="BI170" s="38"/>
      <c r="BJ170" s="38"/>
      <c r="BK170" s="38"/>
      <c r="BL170" s="38"/>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c r="AY171" s="38"/>
      <c r="AZ171" s="38"/>
      <c r="BA171" s="38"/>
      <c r="BB171" s="38"/>
      <c r="BC171" s="38"/>
      <c r="BD171" s="38"/>
      <c r="BE171" s="38"/>
      <c r="BF171" s="38"/>
      <c r="BG171" s="38"/>
      <c r="BH171" s="38"/>
      <c r="BI171" s="38"/>
      <c r="BJ171" s="38"/>
      <c r="BK171" s="38"/>
      <c r="BL171" s="38"/>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c r="BC172" s="38"/>
      <c r="BD172" s="38"/>
      <c r="BE172" s="38"/>
      <c r="BF172" s="38"/>
      <c r="BG172" s="38"/>
      <c r="BH172" s="38"/>
      <c r="BI172" s="38"/>
      <c r="BJ172" s="38"/>
      <c r="BK172" s="38"/>
      <c r="BL172" s="38"/>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c r="AY173" s="38"/>
      <c r="AZ173" s="38"/>
      <c r="BA173" s="38"/>
      <c r="BB173" s="38"/>
      <c r="BC173" s="38"/>
      <c r="BD173" s="38"/>
      <c r="BE173" s="38"/>
      <c r="BF173" s="38"/>
      <c r="BG173" s="38"/>
      <c r="BH173" s="38"/>
      <c r="BI173" s="38"/>
      <c r="BJ173" s="38"/>
      <c r="BK173" s="38"/>
      <c r="BL173" s="38"/>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c r="AY174" s="38"/>
      <c r="AZ174" s="38"/>
      <c r="BA174" s="38"/>
      <c r="BB174" s="38"/>
      <c r="BC174" s="38"/>
      <c r="BD174" s="38"/>
      <c r="BE174" s="38"/>
      <c r="BF174" s="38"/>
      <c r="BG174" s="38"/>
      <c r="BH174" s="38"/>
      <c r="BI174" s="38"/>
      <c r="BJ174" s="38"/>
      <c r="BK174" s="38"/>
      <c r="BL174" s="38"/>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c r="BC175" s="38"/>
      <c r="BD175" s="38"/>
      <c r="BE175" s="38"/>
      <c r="BF175" s="38"/>
      <c r="BG175" s="38"/>
      <c r="BH175" s="38"/>
      <c r="BI175" s="38"/>
      <c r="BJ175" s="38"/>
      <c r="BK175" s="38"/>
      <c r="BL175" s="38"/>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c r="BC176" s="38"/>
      <c r="BD176" s="38"/>
      <c r="BE176" s="38"/>
      <c r="BF176" s="38"/>
      <c r="BG176" s="38"/>
      <c r="BH176" s="38"/>
      <c r="BI176" s="38"/>
      <c r="BJ176" s="38"/>
      <c r="BK176" s="38"/>
      <c r="BL176" s="38"/>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c r="AY177" s="38"/>
      <c r="AZ177" s="38"/>
      <c r="BA177" s="38"/>
      <c r="BB177" s="38"/>
      <c r="BC177" s="38"/>
      <c r="BD177" s="38"/>
      <c r="BE177" s="38"/>
      <c r="BF177" s="38"/>
      <c r="BG177" s="38"/>
      <c r="BH177" s="38"/>
      <c r="BI177" s="38"/>
      <c r="BJ177" s="38"/>
      <c r="BK177" s="38"/>
      <c r="BL177" s="38"/>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c r="BC178" s="38"/>
      <c r="BD178" s="38"/>
      <c r="BE178" s="38"/>
      <c r="BF178" s="38"/>
      <c r="BG178" s="38"/>
      <c r="BH178" s="38"/>
      <c r="BI178" s="38"/>
      <c r="BJ178" s="38"/>
      <c r="BK178" s="38"/>
      <c r="BL178" s="38"/>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c r="BC179" s="38"/>
      <c r="BD179" s="38"/>
      <c r="BE179" s="38"/>
      <c r="BF179" s="38"/>
      <c r="BG179" s="38"/>
      <c r="BH179" s="38"/>
      <c r="BI179" s="38"/>
      <c r="BJ179" s="38"/>
      <c r="BK179" s="38"/>
      <c r="BL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c r="BC180" s="38"/>
      <c r="BD180" s="38"/>
      <c r="BE180" s="38"/>
      <c r="BF180" s="38"/>
      <c r="BG180" s="38"/>
      <c r="BH180" s="38"/>
      <c r="BI180" s="38"/>
      <c r="BJ180" s="38"/>
      <c r="BK180" s="38"/>
      <c r="BL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c r="BC181" s="38"/>
      <c r="BD181" s="38"/>
      <c r="BE181" s="38"/>
      <c r="BF181" s="38"/>
      <c r="BG181" s="38"/>
      <c r="BH181" s="38"/>
      <c r="BI181" s="38"/>
      <c r="BJ181" s="38"/>
      <c r="BK181" s="38"/>
      <c r="BL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c r="AY182" s="38"/>
      <c r="AZ182" s="38"/>
      <c r="BA182" s="38"/>
      <c r="BB182" s="38"/>
      <c r="BC182" s="38"/>
      <c r="BD182" s="38"/>
      <c r="BE182" s="38"/>
      <c r="BF182" s="38"/>
      <c r="BG182" s="38"/>
      <c r="BH182" s="38"/>
      <c r="BI182" s="38"/>
      <c r="BJ182" s="38"/>
      <c r="BK182" s="38"/>
      <c r="BL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c r="BC183" s="38"/>
      <c r="BD183" s="38"/>
      <c r="BE183" s="38"/>
      <c r="BF183" s="38"/>
      <c r="BG183" s="38"/>
      <c r="BH183" s="38"/>
      <c r="BI183" s="38"/>
      <c r="BJ183" s="38"/>
      <c r="BK183" s="38"/>
      <c r="BL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c r="AY184" s="38"/>
      <c r="AZ184" s="38"/>
      <c r="BA184" s="38"/>
      <c r="BB184" s="38"/>
      <c r="BC184" s="38"/>
      <c r="BD184" s="38"/>
      <c r="BE184" s="38"/>
      <c r="BF184" s="38"/>
      <c r="BG184" s="38"/>
      <c r="BH184" s="38"/>
      <c r="BI184" s="38"/>
      <c r="BJ184" s="38"/>
      <c r="BK184" s="38"/>
      <c r="BL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c r="AY185" s="38"/>
      <c r="AZ185" s="38"/>
      <c r="BA185" s="38"/>
      <c r="BB185" s="38"/>
      <c r="BC185" s="38"/>
      <c r="BD185" s="38"/>
      <c r="BE185" s="38"/>
      <c r="BF185" s="38"/>
      <c r="BG185" s="38"/>
      <c r="BH185" s="38"/>
      <c r="BI185" s="38"/>
      <c r="BJ185" s="38"/>
      <c r="BK185" s="38"/>
      <c r="BL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c r="AY186" s="38"/>
      <c r="AZ186" s="38"/>
      <c r="BA186" s="38"/>
      <c r="BB186" s="38"/>
      <c r="BC186" s="38"/>
      <c r="BD186" s="38"/>
      <c r="BE186" s="38"/>
      <c r="BF186" s="38"/>
      <c r="BG186" s="38"/>
      <c r="BH186" s="38"/>
      <c r="BI186" s="38"/>
      <c r="BJ186" s="38"/>
      <c r="BK186" s="38"/>
      <c r="BL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c r="AY187" s="38"/>
      <c r="AZ187" s="38"/>
      <c r="BA187" s="38"/>
      <c r="BB187" s="38"/>
      <c r="BC187" s="38"/>
      <c r="BD187" s="38"/>
      <c r="BE187" s="38"/>
      <c r="BF187" s="38"/>
      <c r="BG187" s="38"/>
      <c r="BH187" s="38"/>
      <c r="BI187" s="38"/>
      <c r="BJ187" s="38"/>
      <c r="BK187" s="38"/>
      <c r="BL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c r="BC188" s="38"/>
      <c r="BD188" s="38"/>
      <c r="BE188" s="38"/>
      <c r="BF188" s="38"/>
      <c r="BG188" s="38"/>
      <c r="BH188" s="38"/>
      <c r="BI188" s="38"/>
      <c r="BJ188" s="38"/>
      <c r="BK188" s="38"/>
      <c r="BL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c r="AY189" s="38"/>
      <c r="AZ189" s="38"/>
      <c r="BA189" s="38"/>
      <c r="BB189" s="38"/>
      <c r="BC189" s="38"/>
      <c r="BD189" s="38"/>
      <c r="BE189" s="38"/>
      <c r="BF189" s="38"/>
      <c r="BG189" s="38"/>
      <c r="BH189" s="38"/>
      <c r="BI189" s="38"/>
      <c r="BJ189" s="38"/>
      <c r="BK189" s="38"/>
      <c r="BL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c r="AY190" s="38"/>
      <c r="AZ190" s="38"/>
      <c r="BA190" s="38"/>
      <c r="BB190" s="38"/>
      <c r="BC190" s="38"/>
      <c r="BD190" s="38"/>
      <c r="BE190" s="38"/>
      <c r="BF190" s="38"/>
      <c r="BG190" s="38"/>
      <c r="BH190" s="38"/>
      <c r="BI190" s="38"/>
      <c r="BJ190" s="38"/>
      <c r="BK190" s="38"/>
      <c r="BL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c r="AY191" s="38"/>
      <c r="AZ191" s="38"/>
      <c r="BA191" s="38"/>
      <c r="BB191" s="38"/>
      <c r="BC191" s="38"/>
      <c r="BD191" s="38"/>
      <c r="BE191" s="38"/>
      <c r="BF191" s="38"/>
      <c r="BG191" s="38"/>
      <c r="BH191" s="38"/>
      <c r="BI191" s="38"/>
      <c r="BJ191" s="38"/>
      <c r="BK191" s="38"/>
      <c r="BL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c r="AY192" s="38"/>
      <c r="AZ192" s="38"/>
      <c r="BA192" s="38"/>
      <c r="BB192" s="38"/>
      <c r="BC192" s="38"/>
      <c r="BD192" s="38"/>
      <c r="BE192" s="38"/>
      <c r="BF192" s="38"/>
      <c r="BG192" s="38"/>
      <c r="BH192" s="38"/>
      <c r="BI192" s="38"/>
      <c r="BJ192" s="38"/>
      <c r="BK192" s="38"/>
      <c r="BL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c r="AY193" s="38"/>
      <c r="AZ193" s="38"/>
      <c r="BA193" s="38"/>
      <c r="BB193" s="38"/>
      <c r="BC193" s="38"/>
      <c r="BD193" s="38"/>
      <c r="BE193" s="38"/>
      <c r="BF193" s="38"/>
      <c r="BG193" s="38"/>
      <c r="BH193" s="38"/>
      <c r="BI193" s="38"/>
      <c r="BJ193" s="38"/>
      <c r="BK193" s="38"/>
      <c r="BL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c r="AY194" s="38"/>
      <c r="AZ194" s="38"/>
      <c r="BA194" s="38"/>
      <c r="BB194" s="38"/>
      <c r="BC194" s="38"/>
      <c r="BD194" s="38"/>
      <c r="BE194" s="38"/>
      <c r="BF194" s="38"/>
      <c r="BG194" s="38"/>
      <c r="BH194" s="38"/>
      <c r="BI194" s="38"/>
      <c r="BJ194" s="38"/>
      <c r="BK194" s="38"/>
      <c r="BL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c r="AY195" s="38"/>
      <c r="AZ195" s="38"/>
      <c r="BA195" s="38"/>
      <c r="BB195" s="38"/>
      <c r="BC195" s="38"/>
      <c r="BD195" s="38"/>
      <c r="BE195" s="38"/>
      <c r="BF195" s="38"/>
      <c r="BG195" s="38"/>
      <c r="BH195" s="38"/>
      <c r="BI195" s="38"/>
      <c r="BJ195" s="38"/>
      <c r="BK195" s="38"/>
      <c r="BL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c r="AY196" s="38"/>
      <c r="AZ196" s="38"/>
      <c r="BA196" s="38"/>
      <c r="BB196" s="38"/>
      <c r="BC196" s="38"/>
      <c r="BD196" s="38"/>
      <c r="BE196" s="38"/>
      <c r="BF196" s="38"/>
      <c r="BG196" s="38"/>
      <c r="BH196" s="38"/>
      <c r="BI196" s="38"/>
      <c r="BJ196" s="38"/>
      <c r="BK196" s="38"/>
      <c r="BL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c r="BC197" s="38"/>
      <c r="BD197" s="38"/>
      <c r="BE197" s="38"/>
      <c r="BF197" s="38"/>
      <c r="BG197" s="38"/>
      <c r="BH197" s="38"/>
      <c r="BI197" s="38"/>
      <c r="BJ197" s="38"/>
      <c r="BK197" s="38"/>
      <c r="BL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c r="AY198" s="38"/>
      <c r="AZ198" s="38"/>
      <c r="BA198" s="38"/>
      <c r="BB198" s="38"/>
      <c r="BC198" s="38"/>
      <c r="BD198" s="38"/>
      <c r="BE198" s="38"/>
      <c r="BF198" s="38"/>
      <c r="BG198" s="38"/>
      <c r="BH198" s="38"/>
      <c r="BI198" s="38"/>
      <c r="BJ198" s="38"/>
      <c r="BK198" s="38"/>
      <c r="BL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c r="AY199" s="38"/>
      <c r="AZ199" s="38"/>
      <c r="BA199" s="38"/>
      <c r="BB199" s="38"/>
      <c r="BC199" s="38"/>
      <c r="BD199" s="38"/>
      <c r="BE199" s="38"/>
      <c r="BF199" s="38"/>
      <c r="BG199" s="38"/>
      <c r="BH199" s="38"/>
      <c r="BI199" s="38"/>
      <c r="BJ199" s="38"/>
      <c r="BK199" s="38"/>
      <c r="BL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c r="BB200" s="38"/>
      <c r="BC200" s="38"/>
      <c r="BD200" s="38"/>
      <c r="BE200" s="38"/>
      <c r="BF200" s="38"/>
      <c r="BG200" s="38"/>
      <c r="BH200" s="38"/>
      <c r="BI200" s="38"/>
      <c r="BJ200" s="38"/>
      <c r="BK200" s="38"/>
      <c r="BL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38"/>
      <c r="AY201" s="38"/>
      <c r="AZ201" s="38"/>
      <c r="BA201" s="38"/>
      <c r="BB201" s="38"/>
      <c r="BC201" s="38"/>
      <c r="BD201" s="38"/>
      <c r="BE201" s="38"/>
      <c r="BF201" s="38"/>
      <c r="BG201" s="38"/>
      <c r="BH201" s="38"/>
      <c r="BI201" s="38"/>
      <c r="BJ201" s="38"/>
      <c r="BK201" s="38"/>
      <c r="BL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c r="BC202" s="38"/>
      <c r="BD202" s="38"/>
      <c r="BE202" s="38"/>
      <c r="BF202" s="38"/>
      <c r="BG202" s="38"/>
      <c r="BH202" s="38"/>
      <c r="BI202" s="38"/>
      <c r="BJ202" s="38"/>
      <c r="BK202" s="38"/>
      <c r="BL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c r="BC203" s="38"/>
      <c r="BD203" s="38"/>
      <c r="BE203" s="38"/>
      <c r="BF203" s="38"/>
      <c r="BG203" s="38"/>
      <c r="BH203" s="38"/>
      <c r="BI203" s="38"/>
      <c r="BJ203" s="38"/>
      <c r="BK203" s="38"/>
      <c r="BL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38"/>
      <c r="AY204" s="38"/>
      <c r="AZ204" s="38"/>
      <c r="BA204" s="38"/>
      <c r="BB204" s="38"/>
      <c r="BC204" s="38"/>
      <c r="BD204" s="38"/>
      <c r="BE204" s="38"/>
      <c r="BF204" s="38"/>
      <c r="BG204" s="38"/>
      <c r="BH204" s="38"/>
      <c r="BI204" s="38"/>
      <c r="BJ204" s="38"/>
      <c r="BK204" s="38"/>
      <c r="BL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c r="BC205" s="38"/>
      <c r="BD205" s="38"/>
      <c r="BE205" s="38"/>
      <c r="BF205" s="38"/>
      <c r="BG205" s="38"/>
      <c r="BH205" s="38"/>
      <c r="BI205" s="38"/>
      <c r="BJ205" s="38"/>
      <c r="BK205" s="38"/>
      <c r="BL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38"/>
      <c r="AY206" s="38"/>
      <c r="AZ206" s="38"/>
      <c r="BA206" s="38"/>
      <c r="BB206" s="38"/>
      <c r="BC206" s="38"/>
      <c r="BD206" s="38"/>
      <c r="BE206" s="38"/>
      <c r="BF206" s="38"/>
      <c r="BG206" s="38"/>
      <c r="BH206" s="38"/>
      <c r="BI206" s="38"/>
      <c r="BJ206" s="38"/>
      <c r="BK206" s="38"/>
      <c r="BL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38"/>
      <c r="AY207" s="38"/>
      <c r="AZ207" s="38"/>
      <c r="BA207" s="38"/>
      <c r="BB207" s="38"/>
      <c r="BC207" s="38"/>
      <c r="BD207" s="38"/>
      <c r="BE207" s="38"/>
      <c r="BF207" s="38"/>
      <c r="BG207" s="38"/>
      <c r="BH207" s="38"/>
      <c r="BI207" s="38"/>
      <c r="BJ207" s="38"/>
      <c r="BK207" s="38"/>
      <c r="BL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38"/>
      <c r="AY208" s="38"/>
      <c r="AZ208" s="38"/>
      <c r="BA208" s="38"/>
      <c r="BB208" s="38"/>
      <c r="BC208" s="38"/>
      <c r="BD208" s="38"/>
      <c r="BE208" s="38"/>
      <c r="BF208" s="38"/>
      <c r="BG208" s="38"/>
      <c r="BH208" s="38"/>
      <c r="BI208" s="38"/>
      <c r="BJ208" s="38"/>
      <c r="BK208" s="38"/>
      <c r="BL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38"/>
      <c r="AY209" s="38"/>
      <c r="AZ209" s="38"/>
      <c r="BA209" s="38"/>
      <c r="BB209" s="38"/>
      <c r="BC209" s="38"/>
      <c r="BD209" s="38"/>
      <c r="BE209" s="38"/>
      <c r="BF209" s="38"/>
      <c r="BG209" s="38"/>
      <c r="BH209" s="38"/>
      <c r="BI209" s="38"/>
      <c r="BJ209" s="38"/>
      <c r="BK209" s="38"/>
      <c r="BL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38"/>
      <c r="AY210" s="38"/>
      <c r="AZ210" s="38"/>
      <c r="BA210" s="38"/>
      <c r="BB210" s="38"/>
      <c r="BC210" s="38"/>
      <c r="BD210" s="38"/>
      <c r="BE210" s="38"/>
      <c r="BF210" s="38"/>
      <c r="BG210" s="38"/>
      <c r="BH210" s="38"/>
      <c r="BI210" s="38"/>
      <c r="BJ210" s="38"/>
      <c r="BK210" s="38"/>
      <c r="BL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c r="BC211" s="38"/>
      <c r="BD211" s="38"/>
      <c r="BE211" s="38"/>
      <c r="BF211" s="38"/>
      <c r="BG211" s="38"/>
      <c r="BH211" s="38"/>
      <c r="BI211" s="38"/>
      <c r="BJ211" s="38"/>
      <c r="BK211" s="38"/>
      <c r="BL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38"/>
      <c r="AY212" s="38"/>
      <c r="AZ212" s="38"/>
      <c r="BA212" s="38"/>
      <c r="BB212" s="38"/>
      <c r="BC212" s="38"/>
      <c r="BD212" s="38"/>
      <c r="BE212" s="38"/>
      <c r="BF212" s="38"/>
      <c r="BG212" s="38"/>
      <c r="BH212" s="38"/>
      <c r="BI212" s="38"/>
      <c r="BJ212" s="38"/>
      <c r="BK212" s="38"/>
      <c r="BL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38"/>
      <c r="AY213" s="38"/>
      <c r="AZ213" s="38"/>
      <c r="BA213" s="38"/>
      <c r="BB213" s="38"/>
      <c r="BC213" s="38"/>
      <c r="BD213" s="38"/>
      <c r="BE213" s="38"/>
      <c r="BF213" s="38"/>
      <c r="BG213" s="38"/>
      <c r="BH213" s="38"/>
      <c r="BI213" s="38"/>
      <c r="BJ213" s="38"/>
      <c r="BK213" s="38"/>
      <c r="BL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38"/>
      <c r="AY214" s="38"/>
      <c r="AZ214" s="38"/>
      <c r="BA214" s="38"/>
      <c r="BB214" s="38"/>
      <c r="BC214" s="38"/>
      <c r="BD214" s="38"/>
      <c r="BE214" s="38"/>
      <c r="BF214" s="38"/>
      <c r="BG214" s="38"/>
      <c r="BH214" s="38"/>
      <c r="BI214" s="38"/>
      <c r="BJ214" s="38"/>
      <c r="BK214" s="38"/>
      <c r="BL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38"/>
      <c r="AY215" s="38"/>
      <c r="AZ215" s="38"/>
      <c r="BA215" s="38"/>
      <c r="BB215" s="38"/>
      <c r="BC215" s="38"/>
      <c r="BD215" s="38"/>
      <c r="BE215" s="38"/>
      <c r="BF215" s="38"/>
      <c r="BG215" s="38"/>
      <c r="BH215" s="38"/>
      <c r="BI215" s="38"/>
      <c r="BJ215" s="38"/>
      <c r="BK215" s="38"/>
      <c r="BL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38"/>
      <c r="AY216" s="38"/>
      <c r="AZ216" s="38"/>
      <c r="BA216" s="38"/>
      <c r="BB216" s="38"/>
      <c r="BC216" s="38"/>
      <c r="BD216" s="38"/>
      <c r="BE216" s="38"/>
      <c r="BF216" s="38"/>
      <c r="BG216" s="38"/>
      <c r="BH216" s="38"/>
      <c r="BI216" s="38"/>
      <c r="BJ216" s="38"/>
      <c r="BK216" s="38"/>
      <c r="BL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38"/>
      <c r="AY217" s="38"/>
      <c r="AZ217" s="38"/>
      <c r="BA217" s="38"/>
      <c r="BB217" s="38"/>
      <c r="BC217" s="38"/>
      <c r="BD217" s="38"/>
      <c r="BE217" s="38"/>
      <c r="BF217" s="38"/>
      <c r="BG217" s="38"/>
      <c r="BH217" s="38"/>
      <c r="BI217" s="38"/>
      <c r="BJ217" s="38"/>
      <c r="BK217" s="38"/>
      <c r="BL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38"/>
      <c r="AY218" s="38"/>
      <c r="AZ218" s="38"/>
      <c r="BA218" s="38"/>
      <c r="BB218" s="38"/>
      <c r="BC218" s="38"/>
      <c r="BD218" s="38"/>
      <c r="BE218" s="38"/>
      <c r="BF218" s="38"/>
      <c r="BG218" s="38"/>
      <c r="BH218" s="38"/>
      <c r="BI218" s="38"/>
      <c r="BJ218" s="38"/>
      <c r="BK218" s="38"/>
      <c r="BL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38"/>
      <c r="AY219" s="38"/>
      <c r="AZ219" s="38"/>
      <c r="BA219" s="38"/>
      <c r="BB219" s="38"/>
      <c r="BC219" s="38"/>
      <c r="BD219" s="38"/>
      <c r="BE219" s="38"/>
      <c r="BF219" s="38"/>
      <c r="BG219" s="38"/>
      <c r="BH219" s="38"/>
      <c r="BI219" s="38"/>
      <c r="BJ219" s="38"/>
      <c r="BK219" s="38"/>
      <c r="BL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38"/>
      <c r="AY220" s="38"/>
      <c r="AZ220" s="38"/>
      <c r="BA220" s="38"/>
      <c r="BB220" s="38"/>
      <c r="BC220" s="38"/>
      <c r="BD220" s="38"/>
      <c r="BE220" s="38"/>
      <c r="BF220" s="38"/>
      <c r="BG220" s="38"/>
      <c r="BH220" s="38"/>
      <c r="BI220" s="38"/>
      <c r="BJ220" s="38"/>
      <c r="BK220" s="38"/>
      <c r="BL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38"/>
      <c r="AY221" s="38"/>
      <c r="AZ221" s="38"/>
      <c r="BA221" s="38"/>
      <c r="BB221" s="38"/>
      <c r="BC221" s="38"/>
      <c r="BD221" s="38"/>
      <c r="BE221" s="38"/>
      <c r="BF221" s="38"/>
      <c r="BG221" s="38"/>
      <c r="BH221" s="38"/>
      <c r="BI221" s="38"/>
      <c r="BJ221" s="38"/>
      <c r="BK221" s="38"/>
      <c r="BL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38"/>
      <c r="AY222" s="38"/>
      <c r="AZ222" s="38"/>
      <c r="BA222" s="38"/>
      <c r="BB222" s="38"/>
      <c r="BC222" s="38"/>
      <c r="BD222" s="38"/>
      <c r="BE222" s="38"/>
      <c r="BF222" s="38"/>
      <c r="BG222" s="38"/>
      <c r="BH222" s="38"/>
      <c r="BI222" s="38"/>
      <c r="BJ222" s="38"/>
      <c r="BK222" s="38"/>
      <c r="BL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38"/>
      <c r="AY223" s="38"/>
      <c r="AZ223" s="38"/>
      <c r="BA223" s="38"/>
      <c r="BB223" s="38"/>
      <c r="BC223" s="38"/>
      <c r="BD223" s="38"/>
      <c r="BE223" s="38"/>
      <c r="BF223" s="38"/>
      <c r="BG223" s="38"/>
      <c r="BH223" s="38"/>
      <c r="BI223" s="38"/>
      <c r="BJ223" s="38"/>
      <c r="BK223" s="38"/>
      <c r="BL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38"/>
      <c r="AY224" s="38"/>
      <c r="AZ224" s="38"/>
      <c r="BA224" s="38"/>
      <c r="BB224" s="38"/>
      <c r="BC224" s="38"/>
      <c r="BD224" s="38"/>
      <c r="BE224" s="38"/>
      <c r="BF224" s="38"/>
      <c r="BG224" s="38"/>
      <c r="BH224" s="38"/>
      <c r="BI224" s="38"/>
      <c r="BJ224" s="38"/>
      <c r="BK224" s="38"/>
      <c r="BL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38"/>
      <c r="AY225" s="38"/>
      <c r="AZ225" s="38"/>
      <c r="BA225" s="38"/>
      <c r="BB225" s="38"/>
      <c r="BC225" s="38"/>
      <c r="BD225" s="38"/>
      <c r="BE225" s="38"/>
      <c r="BF225" s="38"/>
      <c r="BG225" s="38"/>
      <c r="BH225" s="38"/>
      <c r="BI225" s="38"/>
      <c r="BJ225" s="38"/>
      <c r="BK225" s="38"/>
      <c r="BL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38"/>
      <c r="AY226" s="38"/>
      <c r="AZ226" s="38"/>
      <c r="BA226" s="38"/>
      <c r="BB226" s="38"/>
      <c r="BC226" s="38"/>
      <c r="BD226" s="38"/>
      <c r="BE226" s="38"/>
      <c r="BF226" s="38"/>
      <c r="BG226" s="38"/>
      <c r="BH226" s="38"/>
      <c r="BI226" s="38"/>
      <c r="BJ226" s="38"/>
      <c r="BK226" s="38"/>
      <c r="BL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38"/>
      <c r="AY227" s="38"/>
      <c r="AZ227" s="38"/>
      <c r="BA227" s="38"/>
      <c r="BB227" s="38"/>
      <c r="BC227" s="38"/>
      <c r="BD227" s="38"/>
      <c r="BE227" s="38"/>
      <c r="BF227" s="38"/>
      <c r="BG227" s="38"/>
      <c r="BH227" s="38"/>
      <c r="BI227" s="38"/>
      <c r="BJ227" s="38"/>
      <c r="BK227" s="38"/>
      <c r="BL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38"/>
      <c r="AY228" s="38"/>
      <c r="AZ228" s="38"/>
      <c r="BA228" s="38"/>
      <c r="BB228" s="38"/>
      <c r="BC228" s="38"/>
      <c r="BD228" s="38"/>
      <c r="BE228" s="38"/>
      <c r="BF228" s="38"/>
      <c r="BG228" s="38"/>
      <c r="BH228" s="38"/>
      <c r="BI228" s="38"/>
      <c r="BJ228" s="38"/>
      <c r="BK228" s="38"/>
      <c r="BL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38"/>
      <c r="AY229" s="38"/>
      <c r="AZ229" s="38"/>
      <c r="BA229" s="38"/>
      <c r="BB229" s="38"/>
      <c r="BC229" s="38"/>
      <c r="BD229" s="38"/>
      <c r="BE229" s="38"/>
      <c r="BF229" s="38"/>
      <c r="BG229" s="38"/>
      <c r="BH229" s="38"/>
      <c r="BI229" s="38"/>
      <c r="BJ229" s="38"/>
      <c r="BK229" s="38"/>
      <c r="BL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38"/>
      <c r="AY230" s="38"/>
      <c r="AZ230" s="38"/>
      <c r="BA230" s="38"/>
      <c r="BB230" s="38"/>
      <c r="BC230" s="38"/>
      <c r="BD230" s="38"/>
      <c r="BE230" s="38"/>
      <c r="BF230" s="38"/>
      <c r="BG230" s="38"/>
      <c r="BH230" s="38"/>
      <c r="BI230" s="38"/>
      <c r="BJ230" s="38"/>
      <c r="BK230" s="38"/>
      <c r="BL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38"/>
      <c r="AY231" s="38"/>
      <c r="AZ231" s="38"/>
      <c r="BA231" s="38"/>
      <c r="BB231" s="38"/>
      <c r="BC231" s="38"/>
      <c r="BD231" s="38"/>
      <c r="BE231" s="38"/>
      <c r="BF231" s="38"/>
      <c r="BG231" s="38"/>
      <c r="BH231" s="38"/>
      <c r="BI231" s="38"/>
      <c r="BJ231" s="38"/>
      <c r="BK231" s="38"/>
      <c r="BL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38"/>
      <c r="AY232" s="38"/>
      <c r="AZ232" s="38"/>
      <c r="BA232" s="38"/>
      <c r="BB232" s="38"/>
      <c r="BC232" s="38"/>
      <c r="BD232" s="38"/>
      <c r="BE232" s="38"/>
      <c r="BF232" s="38"/>
      <c r="BG232" s="38"/>
      <c r="BH232" s="38"/>
      <c r="BI232" s="38"/>
      <c r="BJ232" s="38"/>
      <c r="BK232" s="38"/>
      <c r="BL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38"/>
      <c r="AY233" s="38"/>
      <c r="AZ233" s="38"/>
      <c r="BA233" s="38"/>
      <c r="BB233" s="38"/>
      <c r="BC233" s="38"/>
      <c r="BD233" s="38"/>
      <c r="BE233" s="38"/>
      <c r="BF233" s="38"/>
      <c r="BG233" s="38"/>
      <c r="BH233" s="38"/>
      <c r="BI233" s="38"/>
      <c r="BJ233" s="38"/>
      <c r="BK233" s="38"/>
      <c r="BL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38"/>
      <c r="AY234" s="38"/>
      <c r="AZ234" s="38"/>
      <c r="BA234" s="38"/>
      <c r="BB234" s="38"/>
      <c r="BC234" s="38"/>
      <c r="BD234" s="38"/>
      <c r="BE234" s="38"/>
      <c r="BF234" s="38"/>
      <c r="BG234" s="38"/>
      <c r="BH234" s="38"/>
      <c r="BI234" s="38"/>
      <c r="BJ234" s="38"/>
      <c r="BK234" s="38"/>
      <c r="BL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38"/>
      <c r="AY235" s="38"/>
      <c r="AZ235" s="38"/>
      <c r="BA235" s="38"/>
      <c r="BB235" s="38"/>
      <c r="BC235" s="38"/>
      <c r="BD235" s="38"/>
      <c r="BE235" s="38"/>
      <c r="BF235" s="38"/>
      <c r="BG235" s="38"/>
      <c r="BH235" s="38"/>
      <c r="BI235" s="38"/>
      <c r="BJ235" s="38"/>
      <c r="BK235" s="38"/>
      <c r="BL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38"/>
      <c r="AY236" s="38"/>
      <c r="AZ236" s="38"/>
      <c r="BA236" s="38"/>
      <c r="BB236" s="38"/>
      <c r="BC236" s="38"/>
      <c r="BD236" s="38"/>
      <c r="BE236" s="38"/>
      <c r="BF236" s="38"/>
      <c r="BG236" s="38"/>
      <c r="BH236" s="38"/>
      <c r="BI236" s="38"/>
      <c r="BJ236" s="38"/>
      <c r="BK236" s="38"/>
      <c r="BL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38"/>
      <c r="AY237" s="38"/>
      <c r="AZ237" s="38"/>
      <c r="BA237" s="38"/>
      <c r="BB237" s="38"/>
      <c r="BC237" s="38"/>
      <c r="BD237" s="38"/>
      <c r="BE237" s="38"/>
      <c r="BF237" s="38"/>
      <c r="BG237" s="38"/>
      <c r="BH237" s="38"/>
      <c r="BI237" s="38"/>
      <c r="BJ237" s="38"/>
      <c r="BK237" s="38"/>
      <c r="BL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38"/>
      <c r="AY238" s="38"/>
      <c r="AZ238" s="38"/>
      <c r="BA238" s="38"/>
      <c r="BB238" s="38"/>
      <c r="BC238" s="38"/>
      <c r="BD238" s="38"/>
      <c r="BE238" s="38"/>
      <c r="BF238" s="38"/>
      <c r="BG238" s="38"/>
      <c r="BH238" s="38"/>
      <c r="BI238" s="38"/>
      <c r="BJ238" s="38"/>
      <c r="BK238" s="38"/>
      <c r="BL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38"/>
      <c r="AY239" s="38"/>
      <c r="AZ239" s="38"/>
      <c r="BA239" s="38"/>
      <c r="BB239" s="38"/>
      <c r="BC239" s="38"/>
      <c r="BD239" s="38"/>
      <c r="BE239" s="38"/>
      <c r="BF239" s="38"/>
      <c r="BG239" s="38"/>
      <c r="BH239" s="38"/>
      <c r="BI239" s="38"/>
      <c r="BJ239" s="38"/>
      <c r="BK239" s="38"/>
      <c r="BL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38"/>
      <c r="AY240" s="38"/>
      <c r="AZ240" s="38"/>
      <c r="BA240" s="38"/>
      <c r="BB240" s="38"/>
      <c r="BC240" s="38"/>
      <c r="BD240" s="38"/>
      <c r="BE240" s="38"/>
      <c r="BF240" s="38"/>
      <c r="BG240" s="38"/>
      <c r="BH240" s="38"/>
      <c r="BI240" s="38"/>
      <c r="BJ240" s="38"/>
      <c r="BK240" s="38"/>
      <c r="BL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38"/>
      <c r="AY241" s="38"/>
      <c r="AZ241" s="38"/>
      <c r="BA241" s="38"/>
      <c r="BB241" s="38"/>
      <c r="BC241" s="38"/>
      <c r="BD241" s="38"/>
      <c r="BE241" s="38"/>
      <c r="BF241" s="38"/>
      <c r="BG241" s="38"/>
      <c r="BH241" s="38"/>
      <c r="BI241" s="38"/>
      <c r="BJ241" s="38"/>
      <c r="BK241" s="38"/>
      <c r="BL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38"/>
      <c r="AY242" s="38"/>
      <c r="AZ242" s="38"/>
      <c r="BA242" s="38"/>
      <c r="BB242" s="38"/>
      <c r="BC242" s="38"/>
      <c r="BD242" s="38"/>
      <c r="BE242" s="38"/>
      <c r="BF242" s="38"/>
      <c r="BG242" s="38"/>
      <c r="BH242" s="38"/>
      <c r="BI242" s="38"/>
      <c r="BJ242" s="38"/>
      <c r="BK242" s="38"/>
      <c r="BL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38"/>
      <c r="AY243" s="38"/>
      <c r="AZ243" s="38"/>
      <c r="BA243" s="38"/>
      <c r="BB243" s="38"/>
      <c r="BC243" s="38"/>
      <c r="BD243" s="38"/>
      <c r="BE243" s="38"/>
      <c r="BF243" s="38"/>
      <c r="BG243" s="38"/>
      <c r="BH243" s="38"/>
      <c r="BI243" s="38"/>
      <c r="BJ243" s="38"/>
      <c r="BK243" s="38"/>
      <c r="BL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38"/>
      <c r="AY244" s="38"/>
      <c r="AZ244" s="38"/>
      <c r="BA244" s="38"/>
      <c r="BB244" s="38"/>
      <c r="BC244" s="38"/>
      <c r="BD244" s="38"/>
      <c r="BE244" s="38"/>
      <c r="BF244" s="38"/>
      <c r="BG244" s="38"/>
      <c r="BH244" s="38"/>
      <c r="BI244" s="38"/>
      <c r="BJ244" s="38"/>
      <c r="BK244" s="38"/>
      <c r="BL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38"/>
      <c r="AY245" s="38"/>
      <c r="AZ245" s="38"/>
      <c r="BA245" s="38"/>
      <c r="BB245" s="38"/>
      <c r="BC245" s="38"/>
      <c r="BD245" s="38"/>
      <c r="BE245" s="38"/>
      <c r="BF245" s="38"/>
      <c r="BG245" s="38"/>
      <c r="BH245" s="38"/>
      <c r="BI245" s="38"/>
      <c r="BJ245" s="38"/>
      <c r="BK245" s="38"/>
      <c r="BL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38"/>
      <c r="AY246" s="38"/>
      <c r="AZ246" s="38"/>
      <c r="BA246" s="38"/>
      <c r="BB246" s="38"/>
      <c r="BC246" s="38"/>
      <c r="BD246" s="38"/>
      <c r="BE246" s="38"/>
      <c r="BF246" s="38"/>
      <c r="BG246" s="38"/>
      <c r="BH246" s="38"/>
      <c r="BI246" s="38"/>
      <c r="BJ246" s="38"/>
      <c r="BK246" s="38"/>
      <c r="BL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38"/>
      <c r="AY247" s="38"/>
      <c r="AZ247" s="38"/>
      <c r="BA247" s="38"/>
      <c r="BB247" s="38"/>
      <c r="BC247" s="38"/>
      <c r="BD247" s="38"/>
      <c r="BE247" s="38"/>
      <c r="BF247" s="38"/>
      <c r="BG247" s="38"/>
      <c r="BH247" s="38"/>
      <c r="BI247" s="38"/>
      <c r="BJ247" s="38"/>
      <c r="BK247" s="38"/>
      <c r="BL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38"/>
      <c r="AY248" s="38"/>
      <c r="AZ248" s="38"/>
      <c r="BA248" s="38"/>
      <c r="BB248" s="38"/>
      <c r="BC248" s="38"/>
      <c r="BD248" s="38"/>
      <c r="BE248" s="38"/>
      <c r="BF248" s="38"/>
      <c r="BG248" s="38"/>
      <c r="BH248" s="38"/>
      <c r="BI248" s="38"/>
      <c r="BJ248" s="38"/>
      <c r="BK248" s="38"/>
      <c r="BL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38"/>
      <c r="AY249" s="38"/>
      <c r="AZ249" s="38"/>
      <c r="BA249" s="38"/>
      <c r="BB249" s="38"/>
      <c r="BC249" s="38"/>
      <c r="BD249" s="38"/>
      <c r="BE249" s="38"/>
      <c r="BF249" s="38"/>
      <c r="BG249" s="38"/>
      <c r="BH249" s="38"/>
      <c r="BI249" s="38"/>
      <c r="BJ249" s="38"/>
      <c r="BK249" s="38"/>
      <c r="BL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38"/>
      <c r="AY250" s="38"/>
      <c r="AZ250" s="38"/>
      <c r="BA250" s="38"/>
      <c r="BB250" s="38"/>
      <c r="BC250" s="38"/>
      <c r="BD250" s="38"/>
      <c r="BE250" s="38"/>
      <c r="BF250" s="38"/>
      <c r="BG250" s="38"/>
      <c r="BH250" s="38"/>
      <c r="BI250" s="38"/>
      <c r="BJ250" s="38"/>
      <c r="BK250" s="38"/>
      <c r="BL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38"/>
      <c r="AY251" s="38"/>
      <c r="AZ251" s="38"/>
      <c r="BA251" s="38"/>
      <c r="BB251" s="38"/>
      <c r="BC251" s="38"/>
      <c r="BD251" s="38"/>
      <c r="BE251" s="38"/>
      <c r="BF251" s="38"/>
      <c r="BG251" s="38"/>
      <c r="BH251" s="38"/>
      <c r="BI251" s="38"/>
      <c r="BJ251" s="38"/>
      <c r="BK251" s="38"/>
      <c r="BL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38"/>
      <c r="AY252" s="38"/>
      <c r="AZ252" s="38"/>
      <c r="BA252" s="38"/>
      <c r="BB252" s="38"/>
      <c r="BC252" s="38"/>
      <c r="BD252" s="38"/>
      <c r="BE252" s="38"/>
      <c r="BF252" s="38"/>
      <c r="BG252" s="38"/>
      <c r="BH252" s="38"/>
      <c r="BI252" s="38"/>
      <c r="BJ252" s="38"/>
      <c r="BK252" s="38"/>
      <c r="BL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38"/>
      <c r="AY253" s="38"/>
      <c r="AZ253" s="38"/>
      <c r="BA253" s="38"/>
      <c r="BB253" s="38"/>
      <c r="BC253" s="38"/>
      <c r="BD253" s="38"/>
      <c r="BE253" s="38"/>
      <c r="BF253" s="38"/>
      <c r="BG253" s="38"/>
      <c r="BH253" s="38"/>
      <c r="BI253" s="38"/>
      <c r="BJ253" s="38"/>
      <c r="BK253" s="38"/>
      <c r="BL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38"/>
      <c r="AY254" s="38"/>
      <c r="AZ254" s="38"/>
      <c r="BA254" s="38"/>
      <c r="BB254" s="38"/>
      <c r="BC254" s="38"/>
      <c r="BD254" s="38"/>
      <c r="BE254" s="38"/>
      <c r="BF254" s="38"/>
      <c r="BG254" s="38"/>
      <c r="BH254" s="38"/>
      <c r="BI254" s="38"/>
      <c r="BJ254" s="38"/>
      <c r="BK254" s="38"/>
      <c r="BL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38"/>
      <c r="AY255" s="38"/>
      <c r="AZ255" s="38"/>
      <c r="BA255" s="38"/>
      <c r="BB255" s="38"/>
      <c r="BC255" s="38"/>
      <c r="BD255" s="38"/>
      <c r="BE255" s="38"/>
      <c r="BF255" s="38"/>
      <c r="BG255" s="38"/>
      <c r="BH255" s="38"/>
      <c r="BI255" s="38"/>
      <c r="BJ255" s="38"/>
      <c r="BK255" s="38"/>
      <c r="BL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38"/>
      <c r="AY256" s="38"/>
      <c r="AZ256" s="38"/>
      <c r="BA256" s="38"/>
      <c r="BB256" s="38"/>
      <c r="BC256" s="38"/>
      <c r="BD256" s="38"/>
      <c r="BE256" s="38"/>
      <c r="BF256" s="38"/>
      <c r="BG256" s="38"/>
      <c r="BH256" s="38"/>
      <c r="BI256" s="38"/>
      <c r="BJ256" s="38"/>
      <c r="BK256" s="38"/>
      <c r="BL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38"/>
      <c r="AY257" s="38"/>
      <c r="AZ257" s="38"/>
      <c r="BA257" s="38"/>
      <c r="BB257" s="38"/>
      <c r="BC257" s="38"/>
      <c r="BD257" s="38"/>
      <c r="BE257" s="38"/>
      <c r="BF257" s="38"/>
      <c r="BG257" s="38"/>
      <c r="BH257" s="38"/>
      <c r="BI257" s="38"/>
      <c r="BJ257" s="38"/>
      <c r="BK257" s="38"/>
      <c r="BL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38"/>
      <c r="AY258" s="38"/>
      <c r="AZ258" s="38"/>
      <c r="BA258" s="38"/>
      <c r="BB258" s="38"/>
      <c r="BC258" s="38"/>
      <c r="BD258" s="38"/>
      <c r="BE258" s="38"/>
      <c r="BF258" s="38"/>
      <c r="BG258" s="38"/>
      <c r="BH258" s="38"/>
      <c r="BI258" s="38"/>
      <c r="BJ258" s="38"/>
      <c r="BK258" s="38"/>
      <c r="BL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38"/>
      <c r="AY259" s="38"/>
      <c r="AZ259" s="38"/>
      <c r="BA259" s="38"/>
      <c r="BB259" s="38"/>
      <c r="BC259" s="38"/>
      <c r="BD259" s="38"/>
      <c r="BE259" s="38"/>
      <c r="BF259" s="38"/>
      <c r="BG259" s="38"/>
      <c r="BH259" s="38"/>
      <c r="BI259" s="38"/>
      <c r="BJ259" s="38"/>
      <c r="BK259" s="38"/>
      <c r="BL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38"/>
      <c r="AY260" s="38"/>
      <c r="AZ260" s="38"/>
      <c r="BA260" s="38"/>
      <c r="BB260" s="38"/>
      <c r="BC260" s="38"/>
      <c r="BD260" s="38"/>
      <c r="BE260" s="38"/>
      <c r="BF260" s="38"/>
      <c r="BG260" s="38"/>
      <c r="BH260" s="38"/>
      <c r="BI260" s="38"/>
      <c r="BJ260" s="38"/>
      <c r="BK260" s="38"/>
      <c r="BL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38"/>
      <c r="AY261" s="38"/>
      <c r="AZ261" s="38"/>
      <c r="BA261" s="38"/>
      <c r="BB261" s="38"/>
      <c r="BC261" s="38"/>
      <c r="BD261" s="38"/>
      <c r="BE261" s="38"/>
      <c r="BF261" s="38"/>
      <c r="BG261" s="38"/>
      <c r="BH261" s="38"/>
      <c r="BI261" s="38"/>
      <c r="BJ261" s="38"/>
      <c r="BK261" s="38"/>
      <c r="BL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38"/>
      <c r="AY262" s="38"/>
      <c r="AZ262" s="38"/>
      <c r="BA262" s="38"/>
      <c r="BB262" s="38"/>
      <c r="BC262" s="38"/>
      <c r="BD262" s="38"/>
      <c r="BE262" s="38"/>
      <c r="BF262" s="38"/>
      <c r="BG262" s="38"/>
      <c r="BH262" s="38"/>
      <c r="BI262" s="38"/>
      <c r="BJ262" s="38"/>
      <c r="BK262" s="38"/>
      <c r="BL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38"/>
      <c r="AY263" s="38"/>
      <c r="AZ263" s="38"/>
      <c r="BA263" s="38"/>
      <c r="BB263" s="38"/>
      <c r="BC263" s="38"/>
      <c r="BD263" s="38"/>
      <c r="BE263" s="38"/>
      <c r="BF263" s="38"/>
      <c r="BG263" s="38"/>
      <c r="BH263" s="38"/>
      <c r="BI263" s="38"/>
      <c r="BJ263" s="38"/>
      <c r="BK263" s="38"/>
      <c r="BL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38"/>
      <c r="AY264" s="38"/>
      <c r="AZ264" s="38"/>
      <c r="BA264" s="38"/>
      <c r="BB264" s="38"/>
      <c r="BC264" s="38"/>
      <c r="BD264" s="38"/>
      <c r="BE264" s="38"/>
      <c r="BF264" s="38"/>
      <c r="BG264" s="38"/>
      <c r="BH264" s="38"/>
      <c r="BI264" s="38"/>
      <c r="BJ264" s="38"/>
      <c r="BK264" s="38"/>
      <c r="BL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38"/>
      <c r="AY265" s="38"/>
      <c r="AZ265" s="38"/>
      <c r="BA265" s="38"/>
      <c r="BB265" s="38"/>
      <c r="BC265" s="38"/>
      <c r="BD265" s="38"/>
      <c r="BE265" s="38"/>
      <c r="BF265" s="38"/>
      <c r="BG265" s="38"/>
      <c r="BH265" s="38"/>
      <c r="BI265" s="38"/>
      <c r="BJ265" s="38"/>
      <c r="BK265" s="38"/>
      <c r="BL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38"/>
      <c r="AY266" s="38"/>
      <c r="AZ266" s="38"/>
      <c r="BA266" s="38"/>
      <c r="BB266" s="38"/>
      <c r="BC266" s="38"/>
      <c r="BD266" s="38"/>
      <c r="BE266" s="38"/>
      <c r="BF266" s="38"/>
      <c r="BG266" s="38"/>
      <c r="BH266" s="38"/>
      <c r="BI266" s="38"/>
      <c r="BJ266" s="38"/>
      <c r="BK266" s="38"/>
      <c r="BL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38"/>
      <c r="AY267" s="38"/>
      <c r="AZ267" s="38"/>
      <c r="BA267" s="38"/>
      <c r="BB267" s="38"/>
      <c r="BC267" s="38"/>
      <c r="BD267" s="38"/>
      <c r="BE267" s="38"/>
      <c r="BF267" s="38"/>
      <c r="BG267" s="38"/>
      <c r="BH267" s="38"/>
      <c r="BI267" s="38"/>
      <c r="BJ267" s="38"/>
      <c r="BK267" s="38"/>
      <c r="BL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38"/>
      <c r="AY268" s="38"/>
      <c r="AZ268" s="38"/>
      <c r="BA268" s="38"/>
      <c r="BB268" s="38"/>
      <c r="BC268" s="38"/>
      <c r="BD268" s="38"/>
      <c r="BE268" s="38"/>
      <c r="BF268" s="38"/>
      <c r="BG268" s="38"/>
      <c r="BH268" s="38"/>
      <c r="BI268" s="38"/>
      <c r="BJ268" s="38"/>
      <c r="BK268" s="38"/>
      <c r="BL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38"/>
      <c r="AY269" s="38"/>
      <c r="AZ269" s="38"/>
      <c r="BA269" s="38"/>
      <c r="BB269" s="38"/>
      <c r="BC269" s="38"/>
      <c r="BD269" s="38"/>
      <c r="BE269" s="38"/>
      <c r="BF269" s="38"/>
      <c r="BG269" s="38"/>
      <c r="BH269" s="38"/>
      <c r="BI269" s="38"/>
      <c r="BJ269" s="38"/>
      <c r="BK269" s="38"/>
      <c r="BL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38"/>
      <c r="AY270" s="38"/>
      <c r="AZ270" s="38"/>
      <c r="BA270" s="38"/>
      <c r="BB270" s="38"/>
      <c r="BC270" s="38"/>
      <c r="BD270" s="38"/>
      <c r="BE270" s="38"/>
      <c r="BF270" s="38"/>
      <c r="BG270" s="38"/>
      <c r="BH270" s="38"/>
      <c r="BI270" s="38"/>
      <c r="BJ270" s="38"/>
      <c r="BK270" s="38"/>
      <c r="BL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38"/>
      <c r="AY271" s="38"/>
      <c r="AZ271" s="38"/>
      <c r="BA271" s="38"/>
      <c r="BB271" s="38"/>
      <c r="BC271" s="38"/>
      <c r="BD271" s="38"/>
      <c r="BE271" s="38"/>
      <c r="BF271" s="38"/>
      <c r="BG271" s="38"/>
      <c r="BH271" s="38"/>
      <c r="BI271" s="38"/>
      <c r="BJ271" s="38"/>
      <c r="BK271" s="38"/>
      <c r="BL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38"/>
      <c r="AY272" s="38"/>
      <c r="AZ272" s="38"/>
      <c r="BA272" s="38"/>
      <c r="BB272" s="38"/>
      <c r="BC272" s="38"/>
      <c r="BD272" s="38"/>
      <c r="BE272" s="38"/>
      <c r="BF272" s="38"/>
      <c r="BG272" s="38"/>
      <c r="BH272" s="38"/>
      <c r="BI272" s="38"/>
      <c r="BJ272" s="38"/>
      <c r="BK272" s="38"/>
      <c r="BL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38"/>
      <c r="AY273" s="38"/>
      <c r="AZ273" s="38"/>
      <c r="BA273" s="38"/>
      <c r="BB273" s="38"/>
      <c r="BC273" s="38"/>
      <c r="BD273" s="38"/>
      <c r="BE273" s="38"/>
      <c r="BF273" s="38"/>
      <c r="BG273" s="38"/>
      <c r="BH273" s="38"/>
      <c r="BI273" s="38"/>
      <c r="BJ273" s="38"/>
      <c r="BK273" s="38"/>
      <c r="BL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38"/>
      <c r="AY274" s="38"/>
      <c r="AZ274" s="38"/>
      <c r="BA274" s="38"/>
      <c r="BB274" s="38"/>
      <c r="BC274" s="38"/>
      <c r="BD274" s="38"/>
      <c r="BE274" s="38"/>
      <c r="BF274" s="38"/>
      <c r="BG274" s="38"/>
      <c r="BH274" s="38"/>
      <c r="BI274" s="38"/>
      <c r="BJ274" s="38"/>
      <c r="BK274" s="38"/>
      <c r="BL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38"/>
      <c r="AY275" s="38"/>
      <c r="AZ275" s="38"/>
      <c r="BA275" s="38"/>
      <c r="BB275" s="38"/>
      <c r="BC275" s="38"/>
      <c r="BD275" s="38"/>
      <c r="BE275" s="38"/>
      <c r="BF275" s="38"/>
      <c r="BG275" s="38"/>
      <c r="BH275" s="38"/>
      <c r="BI275" s="38"/>
      <c r="BJ275" s="38"/>
      <c r="BK275" s="38"/>
      <c r="BL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38"/>
      <c r="AY276" s="38"/>
      <c r="AZ276" s="38"/>
      <c r="BA276" s="38"/>
      <c r="BB276" s="38"/>
      <c r="BC276" s="38"/>
      <c r="BD276" s="38"/>
      <c r="BE276" s="38"/>
      <c r="BF276" s="38"/>
      <c r="BG276" s="38"/>
      <c r="BH276" s="38"/>
      <c r="BI276" s="38"/>
      <c r="BJ276" s="38"/>
      <c r="BK276" s="38"/>
      <c r="BL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38"/>
      <c r="AY277" s="38"/>
      <c r="AZ277" s="38"/>
      <c r="BA277" s="38"/>
      <c r="BB277" s="38"/>
      <c r="BC277" s="38"/>
      <c r="BD277" s="38"/>
      <c r="BE277" s="38"/>
      <c r="BF277" s="38"/>
      <c r="BG277" s="38"/>
      <c r="BH277" s="38"/>
      <c r="BI277" s="38"/>
      <c r="BJ277" s="38"/>
      <c r="BK277" s="38"/>
      <c r="BL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38"/>
      <c r="AY278" s="38"/>
      <c r="AZ278" s="38"/>
      <c r="BA278" s="38"/>
      <c r="BB278" s="38"/>
      <c r="BC278" s="38"/>
      <c r="BD278" s="38"/>
      <c r="BE278" s="38"/>
      <c r="BF278" s="38"/>
      <c r="BG278" s="38"/>
      <c r="BH278" s="38"/>
      <c r="BI278" s="38"/>
      <c r="BJ278" s="38"/>
      <c r="BK278" s="38"/>
      <c r="BL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38"/>
      <c r="AY279" s="38"/>
      <c r="AZ279" s="38"/>
      <c r="BA279" s="38"/>
      <c r="BB279" s="38"/>
      <c r="BC279" s="38"/>
      <c r="BD279" s="38"/>
      <c r="BE279" s="38"/>
      <c r="BF279" s="38"/>
      <c r="BG279" s="38"/>
      <c r="BH279" s="38"/>
      <c r="BI279" s="38"/>
      <c r="BJ279" s="38"/>
      <c r="BK279" s="38"/>
      <c r="BL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38"/>
      <c r="AY280" s="38"/>
      <c r="AZ280" s="38"/>
      <c r="BA280" s="38"/>
      <c r="BB280" s="38"/>
      <c r="BC280" s="38"/>
      <c r="BD280" s="38"/>
      <c r="BE280" s="38"/>
      <c r="BF280" s="38"/>
      <c r="BG280" s="38"/>
      <c r="BH280" s="38"/>
      <c r="BI280" s="38"/>
      <c r="BJ280" s="38"/>
      <c r="BK280" s="38"/>
      <c r="BL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38"/>
      <c r="AY281" s="38"/>
      <c r="AZ281" s="38"/>
      <c r="BA281" s="38"/>
      <c r="BB281" s="38"/>
      <c r="BC281" s="38"/>
      <c r="BD281" s="38"/>
      <c r="BE281" s="38"/>
      <c r="BF281" s="38"/>
      <c r="BG281" s="38"/>
      <c r="BH281" s="38"/>
      <c r="BI281" s="38"/>
      <c r="BJ281" s="38"/>
      <c r="BK281" s="38"/>
      <c r="BL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38"/>
      <c r="AY282" s="38"/>
      <c r="AZ282" s="38"/>
      <c r="BA282" s="38"/>
      <c r="BB282" s="38"/>
      <c r="BC282" s="38"/>
      <c r="BD282" s="38"/>
      <c r="BE282" s="38"/>
      <c r="BF282" s="38"/>
      <c r="BG282" s="38"/>
      <c r="BH282" s="38"/>
      <c r="BI282" s="38"/>
      <c r="BJ282" s="38"/>
      <c r="BK282" s="38"/>
      <c r="BL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38"/>
      <c r="AY283" s="38"/>
      <c r="AZ283" s="38"/>
      <c r="BA283" s="38"/>
      <c r="BB283" s="38"/>
      <c r="BC283" s="38"/>
      <c r="BD283" s="38"/>
      <c r="BE283" s="38"/>
      <c r="BF283" s="38"/>
      <c r="BG283" s="38"/>
      <c r="BH283" s="38"/>
      <c r="BI283" s="38"/>
      <c r="BJ283" s="38"/>
      <c r="BK283" s="38"/>
      <c r="BL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38"/>
      <c r="AY284" s="38"/>
      <c r="AZ284" s="38"/>
      <c r="BA284" s="38"/>
      <c r="BB284" s="38"/>
      <c r="BC284" s="38"/>
      <c r="BD284" s="38"/>
      <c r="BE284" s="38"/>
      <c r="BF284" s="38"/>
      <c r="BG284" s="38"/>
      <c r="BH284" s="38"/>
      <c r="BI284" s="38"/>
      <c r="BJ284" s="38"/>
      <c r="BK284" s="38"/>
      <c r="BL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38"/>
      <c r="AY285" s="38"/>
      <c r="AZ285" s="38"/>
      <c r="BA285" s="38"/>
      <c r="BB285" s="38"/>
      <c r="BC285" s="38"/>
      <c r="BD285" s="38"/>
      <c r="BE285" s="38"/>
      <c r="BF285" s="38"/>
      <c r="BG285" s="38"/>
      <c r="BH285" s="38"/>
      <c r="BI285" s="38"/>
      <c r="BJ285" s="38"/>
      <c r="BK285" s="38"/>
      <c r="BL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38"/>
      <c r="AY286" s="38"/>
      <c r="AZ286" s="38"/>
      <c r="BA286" s="38"/>
      <c r="BB286" s="38"/>
      <c r="BC286" s="38"/>
      <c r="BD286" s="38"/>
      <c r="BE286" s="38"/>
      <c r="BF286" s="38"/>
      <c r="BG286" s="38"/>
      <c r="BH286" s="38"/>
      <c r="BI286" s="38"/>
      <c r="BJ286" s="38"/>
      <c r="BK286" s="38"/>
      <c r="BL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38"/>
      <c r="AY287" s="38"/>
      <c r="AZ287" s="38"/>
      <c r="BA287" s="38"/>
      <c r="BB287" s="38"/>
      <c r="BC287" s="38"/>
      <c r="BD287" s="38"/>
      <c r="BE287" s="38"/>
      <c r="BF287" s="38"/>
      <c r="BG287" s="38"/>
      <c r="BH287" s="38"/>
      <c r="BI287" s="38"/>
      <c r="BJ287" s="38"/>
      <c r="BK287" s="38"/>
      <c r="BL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38"/>
      <c r="AY288" s="38"/>
      <c r="AZ288" s="38"/>
      <c r="BA288" s="38"/>
      <c r="BB288" s="38"/>
      <c r="BC288" s="38"/>
      <c r="BD288" s="38"/>
      <c r="BE288" s="38"/>
      <c r="BF288" s="38"/>
      <c r="BG288" s="38"/>
      <c r="BH288" s="38"/>
      <c r="BI288" s="38"/>
      <c r="BJ288" s="38"/>
      <c r="BK288" s="38"/>
      <c r="BL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38"/>
      <c r="AY289" s="38"/>
      <c r="AZ289" s="38"/>
      <c r="BA289" s="38"/>
      <c r="BB289" s="38"/>
      <c r="BC289" s="38"/>
      <c r="BD289" s="38"/>
      <c r="BE289" s="38"/>
      <c r="BF289" s="38"/>
      <c r="BG289" s="38"/>
      <c r="BH289" s="38"/>
      <c r="BI289" s="38"/>
      <c r="BJ289" s="38"/>
      <c r="BK289" s="38"/>
      <c r="BL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38"/>
      <c r="AY290" s="38"/>
      <c r="AZ290" s="38"/>
      <c r="BA290" s="38"/>
      <c r="BB290" s="38"/>
      <c r="BC290" s="38"/>
      <c r="BD290" s="38"/>
      <c r="BE290" s="38"/>
      <c r="BF290" s="38"/>
      <c r="BG290" s="38"/>
      <c r="BH290" s="38"/>
      <c r="BI290" s="38"/>
      <c r="BJ290" s="38"/>
      <c r="BK290" s="38"/>
      <c r="BL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38"/>
      <c r="AY291" s="38"/>
      <c r="AZ291" s="38"/>
      <c r="BA291" s="38"/>
      <c r="BB291" s="38"/>
      <c r="BC291" s="38"/>
      <c r="BD291" s="38"/>
      <c r="BE291" s="38"/>
      <c r="BF291" s="38"/>
      <c r="BG291" s="38"/>
      <c r="BH291" s="38"/>
      <c r="BI291" s="38"/>
      <c r="BJ291" s="38"/>
      <c r="BK291" s="38"/>
      <c r="BL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38"/>
      <c r="AY292" s="38"/>
      <c r="AZ292" s="38"/>
      <c r="BA292" s="38"/>
      <c r="BB292" s="38"/>
      <c r="BC292" s="38"/>
      <c r="BD292" s="38"/>
      <c r="BE292" s="38"/>
      <c r="BF292" s="38"/>
      <c r="BG292" s="38"/>
      <c r="BH292" s="38"/>
      <c r="BI292" s="38"/>
      <c r="BJ292" s="38"/>
      <c r="BK292" s="38"/>
      <c r="BL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38"/>
      <c r="AY293" s="38"/>
      <c r="AZ293" s="38"/>
      <c r="BA293" s="38"/>
      <c r="BB293" s="38"/>
      <c r="BC293" s="38"/>
      <c r="BD293" s="38"/>
      <c r="BE293" s="38"/>
      <c r="BF293" s="38"/>
      <c r="BG293" s="38"/>
      <c r="BH293" s="38"/>
      <c r="BI293" s="38"/>
      <c r="BJ293" s="38"/>
      <c r="BK293" s="38"/>
      <c r="BL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38"/>
      <c r="AY294" s="38"/>
      <c r="AZ294" s="38"/>
      <c r="BA294" s="38"/>
      <c r="BB294" s="38"/>
      <c r="BC294" s="38"/>
      <c r="BD294" s="38"/>
      <c r="BE294" s="38"/>
      <c r="BF294" s="38"/>
      <c r="BG294" s="38"/>
      <c r="BH294" s="38"/>
      <c r="BI294" s="38"/>
      <c r="BJ294" s="38"/>
      <c r="BK294" s="38"/>
      <c r="BL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38"/>
      <c r="AY295" s="38"/>
      <c r="AZ295" s="38"/>
      <c r="BA295" s="38"/>
      <c r="BB295" s="38"/>
      <c r="BC295" s="38"/>
      <c r="BD295" s="38"/>
      <c r="BE295" s="38"/>
      <c r="BF295" s="38"/>
      <c r="BG295" s="38"/>
      <c r="BH295" s="38"/>
      <c r="BI295" s="38"/>
      <c r="BJ295" s="38"/>
      <c r="BK295" s="38"/>
      <c r="BL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38"/>
      <c r="AY296" s="38"/>
      <c r="AZ296" s="38"/>
      <c r="BA296" s="38"/>
      <c r="BB296" s="38"/>
      <c r="BC296" s="38"/>
      <c r="BD296" s="38"/>
      <c r="BE296" s="38"/>
      <c r="BF296" s="38"/>
      <c r="BG296" s="38"/>
      <c r="BH296" s="38"/>
      <c r="BI296" s="38"/>
      <c r="BJ296" s="38"/>
      <c r="BK296" s="38"/>
      <c r="BL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38"/>
      <c r="AY297" s="38"/>
      <c r="AZ297" s="38"/>
      <c r="BA297" s="38"/>
      <c r="BB297" s="38"/>
      <c r="BC297" s="38"/>
      <c r="BD297" s="38"/>
      <c r="BE297" s="38"/>
      <c r="BF297" s="38"/>
      <c r="BG297" s="38"/>
      <c r="BH297" s="38"/>
      <c r="BI297" s="38"/>
      <c r="BJ297" s="38"/>
      <c r="BK297" s="38"/>
      <c r="BL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38"/>
      <c r="AY298" s="38"/>
      <c r="AZ298" s="38"/>
      <c r="BA298" s="38"/>
      <c r="BB298" s="38"/>
      <c r="BC298" s="38"/>
      <c r="BD298" s="38"/>
      <c r="BE298" s="38"/>
      <c r="BF298" s="38"/>
      <c r="BG298" s="38"/>
      <c r="BH298" s="38"/>
      <c r="BI298" s="38"/>
      <c r="BJ298" s="38"/>
      <c r="BK298" s="38"/>
      <c r="BL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38"/>
      <c r="AY299" s="38"/>
      <c r="AZ299" s="38"/>
      <c r="BA299" s="38"/>
      <c r="BB299" s="38"/>
      <c r="BC299" s="38"/>
      <c r="BD299" s="38"/>
      <c r="BE299" s="38"/>
      <c r="BF299" s="38"/>
      <c r="BG299" s="38"/>
      <c r="BH299" s="38"/>
      <c r="BI299" s="38"/>
      <c r="BJ299" s="38"/>
      <c r="BK299" s="38"/>
      <c r="BL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38"/>
      <c r="AY300" s="38"/>
      <c r="AZ300" s="38"/>
      <c r="BA300" s="38"/>
      <c r="BB300" s="38"/>
      <c r="BC300" s="38"/>
      <c r="BD300" s="38"/>
      <c r="BE300" s="38"/>
      <c r="BF300" s="38"/>
      <c r="BG300" s="38"/>
      <c r="BH300" s="38"/>
      <c r="BI300" s="38"/>
      <c r="BJ300" s="38"/>
      <c r="BK300" s="38"/>
      <c r="BL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38"/>
      <c r="AY301" s="38"/>
      <c r="AZ301" s="38"/>
      <c r="BA301" s="38"/>
      <c r="BB301" s="38"/>
      <c r="BC301" s="38"/>
      <c r="BD301" s="38"/>
      <c r="BE301" s="38"/>
      <c r="BF301" s="38"/>
      <c r="BG301" s="38"/>
      <c r="BH301" s="38"/>
      <c r="BI301" s="38"/>
      <c r="BJ301" s="38"/>
      <c r="BK301" s="38"/>
      <c r="BL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38"/>
      <c r="AY302" s="38"/>
      <c r="AZ302" s="38"/>
      <c r="BA302" s="38"/>
      <c r="BB302" s="38"/>
      <c r="BC302" s="38"/>
      <c r="BD302" s="38"/>
      <c r="BE302" s="38"/>
      <c r="BF302" s="38"/>
      <c r="BG302" s="38"/>
      <c r="BH302" s="38"/>
      <c r="BI302" s="38"/>
      <c r="BJ302" s="38"/>
      <c r="BK302" s="38"/>
      <c r="BL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38"/>
      <c r="AY303" s="38"/>
      <c r="AZ303" s="38"/>
      <c r="BA303" s="38"/>
      <c r="BB303" s="38"/>
      <c r="BC303" s="38"/>
      <c r="BD303" s="38"/>
      <c r="BE303" s="38"/>
      <c r="BF303" s="38"/>
      <c r="BG303" s="38"/>
      <c r="BH303" s="38"/>
      <c r="BI303" s="38"/>
      <c r="BJ303" s="38"/>
      <c r="BK303" s="38"/>
      <c r="BL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38"/>
      <c r="AY304" s="38"/>
      <c r="AZ304" s="38"/>
      <c r="BA304" s="38"/>
      <c r="BB304" s="38"/>
      <c r="BC304" s="38"/>
      <c r="BD304" s="38"/>
      <c r="BE304" s="38"/>
      <c r="BF304" s="38"/>
      <c r="BG304" s="38"/>
      <c r="BH304" s="38"/>
      <c r="BI304" s="38"/>
      <c r="BJ304" s="38"/>
      <c r="BK304" s="38"/>
      <c r="BL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38"/>
      <c r="AY305" s="38"/>
      <c r="AZ305" s="38"/>
      <c r="BA305" s="38"/>
      <c r="BB305" s="38"/>
      <c r="BC305" s="38"/>
      <c r="BD305" s="38"/>
      <c r="BE305" s="38"/>
      <c r="BF305" s="38"/>
      <c r="BG305" s="38"/>
      <c r="BH305" s="38"/>
      <c r="BI305" s="38"/>
      <c r="BJ305" s="38"/>
      <c r="BK305" s="38"/>
      <c r="BL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38"/>
      <c r="AY306" s="38"/>
      <c r="AZ306" s="38"/>
      <c r="BA306" s="38"/>
      <c r="BB306" s="38"/>
      <c r="BC306" s="38"/>
      <c r="BD306" s="38"/>
      <c r="BE306" s="38"/>
      <c r="BF306" s="38"/>
      <c r="BG306" s="38"/>
      <c r="BH306" s="38"/>
      <c r="BI306" s="38"/>
      <c r="BJ306" s="38"/>
      <c r="BK306" s="38"/>
      <c r="BL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38"/>
      <c r="AY307" s="38"/>
      <c r="AZ307" s="38"/>
      <c r="BA307" s="38"/>
      <c r="BB307" s="38"/>
      <c r="BC307" s="38"/>
      <c r="BD307" s="38"/>
      <c r="BE307" s="38"/>
      <c r="BF307" s="38"/>
      <c r="BG307" s="38"/>
      <c r="BH307" s="38"/>
      <c r="BI307" s="38"/>
      <c r="BJ307" s="38"/>
      <c r="BK307" s="38"/>
      <c r="BL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38"/>
      <c r="AY308" s="38"/>
      <c r="AZ308" s="38"/>
      <c r="BA308" s="38"/>
      <c r="BB308" s="38"/>
      <c r="BC308" s="38"/>
      <c r="BD308" s="38"/>
      <c r="BE308" s="38"/>
      <c r="BF308" s="38"/>
      <c r="BG308" s="38"/>
      <c r="BH308" s="38"/>
      <c r="BI308" s="38"/>
      <c r="BJ308" s="38"/>
      <c r="BK308" s="38"/>
      <c r="BL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38"/>
      <c r="AY309" s="38"/>
      <c r="AZ309" s="38"/>
      <c r="BA309" s="38"/>
      <c r="BB309" s="38"/>
      <c r="BC309" s="38"/>
      <c r="BD309" s="38"/>
      <c r="BE309" s="38"/>
      <c r="BF309" s="38"/>
      <c r="BG309" s="38"/>
      <c r="BH309" s="38"/>
      <c r="BI309" s="38"/>
      <c r="BJ309" s="38"/>
      <c r="BK309" s="38"/>
      <c r="BL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38"/>
      <c r="AY310" s="38"/>
      <c r="AZ310" s="38"/>
      <c r="BA310" s="38"/>
      <c r="BB310" s="38"/>
      <c r="BC310" s="38"/>
      <c r="BD310" s="38"/>
      <c r="BE310" s="38"/>
      <c r="BF310" s="38"/>
      <c r="BG310" s="38"/>
      <c r="BH310" s="38"/>
      <c r="BI310" s="38"/>
      <c r="BJ310" s="38"/>
      <c r="BK310" s="38"/>
      <c r="BL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38"/>
      <c r="AY311" s="38"/>
      <c r="AZ311" s="38"/>
      <c r="BA311" s="38"/>
      <c r="BB311" s="38"/>
      <c r="BC311" s="38"/>
      <c r="BD311" s="38"/>
      <c r="BE311" s="38"/>
      <c r="BF311" s="38"/>
      <c r="BG311" s="38"/>
      <c r="BH311" s="38"/>
      <c r="BI311" s="38"/>
      <c r="BJ311" s="38"/>
      <c r="BK311" s="38"/>
      <c r="BL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38"/>
      <c r="AY312" s="38"/>
      <c r="AZ312" s="38"/>
      <c r="BA312" s="38"/>
      <c r="BB312" s="38"/>
      <c r="BC312" s="38"/>
      <c r="BD312" s="38"/>
      <c r="BE312" s="38"/>
      <c r="BF312" s="38"/>
      <c r="BG312" s="38"/>
      <c r="BH312" s="38"/>
      <c r="BI312" s="38"/>
      <c r="BJ312" s="38"/>
      <c r="BK312" s="38"/>
      <c r="BL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38"/>
      <c r="AY313" s="38"/>
      <c r="AZ313" s="38"/>
      <c r="BA313" s="38"/>
      <c r="BB313" s="38"/>
      <c r="BC313" s="38"/>
      <c r="BD313" s="38"/>
      <c r="BE313" s="38"/>
      <c r="BF313" s="38"/>
      <c r="BG313" s="38"/>
      <c r="BH313" s="38"/>
      <c r="BI313" s="38"/>
      <c r="BJ313" s="38"/>
      <c r="BK313" s="38"/>
      <c r="BL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38"/>
      <c r="AY314" s="38"/>
      <c r="AZ314" s="38"/>
      <c r="BA314" s="38"/>
      <c r="BB314" s="38"/>
      <c r="BC314" s="38"/>
      <c r="BD314" s="38"/>
      <c r="BE314" s="38"/>
      <c r="BF314" s="38"/>
      <c r="BG314" s="38"/>
      <c r="BH314" s="38"/>
      <c r="BI314" s="38"/>
      <c r="BJ314" s="38"/>
      <c r="BK314" s="38"/>
      <c r="BL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38"/>
      <c r="AY315" s="38"/>
      <c r="AZ315" s="38"/>
      <c r="BA315" s="38"/>
      <c r="BB315" s="38"/>
      <c r="BC315" s="38"/>
      <c r="BD315" s="38"/>
      <c r="BE315" s="38"/>
      <c r="BF315" s="38"/>
      <c r="BG315" s="38"/>
      <c r="BH315" s="38"/>
      <c r="BI315" s="38"/>
      <c r="BJ315" s="38"/>
      <c r="BK315" s="38"/>
      <c r="BL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38"/>
      <c r="AY316" s="38"/>
      <c r="AZ316" s="38"/>
      <c r="BA316" s="38"/>
      <c r="BB316" s="38"/>
      <c r="BC316" s="38"/>
      <c r="BD316" s="38"/>
      <c r="BE316" s="38"/>
      <c r="BF316" s="38"/>
      <c r="BG316" s="38"/>
      <c r="BH316" s="38"/>
      <c r="BI316" s="38"/>
      <c r="BJ316" s="38"/>
      <c r="BK316" s="38"/>
      <c r="BL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38"/>
      <c r="AY317" s="38"/>
      <c r="AZ317" s="38"/>
      <c r="BA317" s="38"/>
      <c r="BB317" s="38"/>
      <c r="BC317" s="38"/>
      <c r="BD317" s="38"/>
      <c r="BE317" s="38"/>
      <c r="BF317" s="38"/>
      <c r="BG317" s="38"/>
      <c r="BH317" s="38"/>
      <c r="BI317" s="38"/>
      <c r="BJ317" s="38"/>
      <c r="BK317" s="38"/>
      <c r="BL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38"/>
      <c r="AY318" s="38"/>
      <c r="AZ318" s="38"/>
      <c r="BA318" s="38"/>
      <c r="BB318" s="38"/>
      <c r="BC318" s="38"/>
      <c r="BD318" s="38"/>
      <c r="BE318" s="38"/>
      <c r="BF318" s="38"/>
      <c r="BG318" s="38"/>
      <c r="BH318" s="38"/>
      <c r="BI318" s="38"/>
      <c r="BJ318" s="38"/>
      <c r="BK318" s="38"/>
      <c r="BL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38"/>
      <c r="AY319" s="38"/>
      <c r="AZ319" s="38"/>
      <c r="BA319" s="38"/>
      <c r="BB319" s="38"/>
      <c r="BC319" s="38"/>
      <c r="BD319" s="38"/>
      <c r="BE319" s="38"/>
      <c r="BF319" s="38"/>
      <c r="BG319" s="38"/>
      <c r="BH319" s="38"/>
      <c r="BI319" s="38"/>
      <c r="BJ319" s="38"/>
      <c r="BK319" s="38"/>
      <c r="BL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38"/>
      <c r="AY320" s="38"/>
      <c r="AZ320" s="38"/>
      <c r="BA320" s="38"/>
      <c r="BB320" s="38"/>
      <c r="BC320" s="38"/>
      <c r="BD320" s="38"/>
      <c r="BE320" s="38"/>
      <c r="BF320" s="38"/>
      <c r="BG320" s="38"/>
      <c r="BH320" s="38"/>
      <c r="BI320" s="38"/>
      <c r="BJ320" s="38"/>
      <c r="BK320" s="38"/>
      <c r="BL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38"/>
      <c r="AY321" s="38"/>
      <c r="AZ321" s="38"/>
      <c r="BA321" s="38"/>
      <c r="BB321" s="38"/>
      <c r="BC321" s="38"/>
      <c r="BD321" s="38"/>
      <c r="BE321" s="38"/>
      <c r="BF321" s="38"/>
      <c r="BG321" s="38"/>
      <c r="BH321" s="38"/>
      <c r="BI321" s="38"/>
      <c r="BJ321" s="38"/>
      <c r="BK321" s="38"/>
      <c r="BL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38"/>
      <c r="AY322" s="38"/>
      <c r="AZ322" s="38"/>
      <c r="BA322" s="38"/>
      <c r="BB322" s="38"/>
      <c r="BC322" s="38"/>
      <c r="BD322" s="38"/>
      <c r="BE322" s="38"/>
      <c r="BF322" s="38"/>
      <c r="BG322" s="38"/>
      <c r="BH322" s="38"/>
      <c r="BI322" s="38"/>
      <c r="BJ322" s="38"/>
      <c r="BK322" s="38"/>
      <c r="BL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38"/>
      <c r="AY323" s="38"/>
      <c r="AZ323" s="38"/>
      <c r="BA323" s="38"/>
      <c r="BB323" s="38"/>
      <c r="BC323" s="38"/>
      <c r="BD323" s="38"/>
      <c r="BE323" s="38"/>
      <c r="BF323" s="38"/>
      <c r="BG323" s="38"/>
      <c r="BH323" s="38"/>
      <c r="BI323" s="38"/>
      <c r="BJ323" s="38"/>
      <c r="BK323" s="38"/>
      <c r="BL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38"/>
      <c r="AY324" s="38"/>
      <c r="AZ324" s="38"/>
      <c r="BA324" s="38"/>
      <c r="BB324" s="38"/>
      <c r="BC324" s="38"/>
      <c r="BD324" s="38"/>
      <c r="BE324" s="38"/>
      <c r="BF324" s="38"/>
      <c r="BG324" s="38"/>
      <c r="BH324" s="38"/>
      <c r="BI324" s="38"/>
      <c r="BJ324" s="38"/>
      <c r="BK324" s="38"/>
      <c r="BL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38"/>
      <c r="AY325" s="38"/>
      <c r="AZ325" s="38"/>
      <c r="BA325" s="38"/>
      <c r="BB325" s="38"/>
      <c r="BC325" s="38"/>
      <c r="BD325" s="38"/>
      <c r="BE325" s="38"/>
      <c r="BF325" s="38"/>
      <c r="BG325" s="38"/>
      <c r="BH325" s="38"/>
      <c r="BI325" s="38"/>
      <c r="BJ325" s="38"/>
      <c r="BK325" s="38"/>
      <c r="BL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38"/>
      <c r="AY326" s="38"/>
      <c r="AZ326" s="38"/>
      <c r="BA326" s="38"/>
      <c r="BB326" s="38"/>
      <c r="BC326" s="38"/>
      <c r="BD326" s="38"/>
      <c r="BE326" s="38"/>
      <c r="BF326" s="38"/>
      <c r="BG326" s="38"/>
      <c r="BH326" s="38"/>
      <c r="BI326" s="38"/>
      <c r="BJ326" s="38"/>
      <c r="BK326" s="38"/>
      <c r="BL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38"/>
      <c r="AY327" s="38"/>
      <c r="AZ327" s="38"/>
      <c r="BA327" s="38"/>
      <c r="BB327" s="38"/>
      <c r="BC327" s="38"/>
      <c r="BD327" s="38"/>
      <c r="BE327" s="38"/>
      <c r="BF327" s="38"/>
      <c r="BG327" s="38"/>
      <c r="BH327" s="38"/>
      <c r="BI327" s="38"/>
      <c r="BJ327" s="38"/>
      <c r="BK327" s="38"/>
      <c r="BL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38"/>
      <c r="AY328" s="38"/>
      <c r="AZ328" s="38"/>
      <c r="BA328" s="38"/>
      <c r="BB328" s="38"/>
      <c r="BC328" s="38"/>
      <c r="BD328" s="38"/>
      <c r="BE328" s="38"/>
      <c r="BF328" s="38"/>
      <c r="BG328" s="38"/>
      <c r="BH328" s="38"/>
      <c r="BI328" s="38"/>
      <c r="BJ328" s="38"/>
      <c r="BK328" s="38"/>
      <c r="BL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38"/>
      <c r="AY329" s="38"/>
      <c r="AZ329" s="38"/>
      <c r="BA329" s="38"/>
      <c r="BB329" s="38"/>
      <c r="BC329" s="38"/>
      <c r="BD329" s="38"/>
      <c r="BE329" s="38"/>
      <c r="BF329" s="38"/>
      <c r="BG329" s="38"/>
      <c r="BH329" s="38"/>
      <c r="BI329" s="38"/>
      <c r="BJ329" s="38"/>
      <c r="BK329" s="38"/>
      <c r="BL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38"/>
      <c r="AY330" s="38"/>
      <c r="AZ330" s="38"/>
      <c r="BA330" s="38"/>
      <c r="BB330" s="38"/>
      <c r="BC330" s="38"/>
      <c r="BD330" s="38"/>
      <c r="BE330" s="38"/>
      <c r="BF330" s="38"/>
      <c r="BG330" s="38"/>
      <c r="BH330" s="38"/>
      <c r="BI330" s="38"/>
      <c r="BJ330" s="38"/>
      <c r="BK330" s="38"/>
      <c r="BL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38"/>
      <c r="AY331" s="38"/>
      <c r="AZ331" s="38"/>
      <c r="BA331" s="38"/>
      <c r="BB331" s="38"/>
      <c r="BC331" s="38"/>
      <c r="BD331" s="38"/>
      <c r="BE331" s="38"/>
      <c r="BF331" s="38"/>
      <c r="BG331" s="38"/>
      <c r="BH331" s="38"/>
      <c r="BI331" s="38"/>
      <c r="BJ331" s="38"/>
      <c r="BK331" s="38"/>
      <c r="BL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38"/>
      <c r="AY332" s="38"/>
      <c r="AZ332" s="38"/>
      <c r="BA332" s="38"/>
      <c r="BB332" s="38"/>
      <c r="BC332" s="38"/>
      <c r="BD332" s="38"/>
      <c r="BE332" s="38"/>
      <c r="BF332" s="38"/>
      <c r="BG332" s="38"/>
      <c r="BH332" s="38"/>
      <c r="BI332" s="38"/>
      <c r="BJ332" s="38"/>
      <c r="BK332" s="38"/>
      <c r="BL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38"/>
      <c r="AY333" s="38"/>
      <c r="AZ333" s="38"/>
      <c r="BA333" s="38"/>
      <c r="BB333" s="38"/>
      <c r="BC333" s="38"/>
      <c r="BD333" s="38"/>
      <c r="BE333" s="38"/>
      <c r="BF333" s="38"/>
      <c r="BG333" s="38"/>
      <c r="BH333" s="38"/>
      <c r="BI333" s="38"/>
      <c r="BJ333" s="38"/>
      <c r="BK333" s="38"/>
      <c r="BL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38"/>
      <c r="AY334" s="38"/>
      <c r="AZ334" s="38"/>
      <c r="BA334" s="38"/>
      <c r="BB334" s="38"/>
      <c r="BC334" s="38"/>
      <c r="BD334" s="38"/>
      <c r="BE334" s="38"/>
      <c r="BF334" s="38"/>
      <c r="BG334" s="38"/>
      <c r="BH334" s="38"/>
      <c r="BI334" s="38"/>
      <c r="BJ334" s="38"/>
      <c r="BK334" s="38"/>
      <c r="BL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38"/>
      <c r="AY335" s="38"/>
      <c r="AZ335" s="38"/>
      <c r="BA335" s="38"/>
      <c r="BB335" s="38"/>
      <c r="BC335" s="38"/>
      <c r="BD335" s="38"/>
      <c r="BE335" s="38"/>
      <c r="BF335" s="38"/>
      <c r="BG335" s="38"/>
      <c r="BH335" s="38"/>
      <c r="BI335" s="38"/>
      <c r="BJ335" s="38"/>
      <c r="BK335" s="38"/>
      <c r="BL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38"/>
      <c r="AY336" s="38"/>
      <c r="AZ336" s="38"/>
      <c r="BA336" s="38"/>
      <c r="BB336" s="38"/>
      <c r="BC336" s="38"/>
      <c r="BD336" s="38"/>
      <c r="BE336" s="38"/>
      <c r="BF336" s="38"/>
      <c r="BG336" s="38"/>
      <c r="BH336" s="38"/>
      <c r="BI336" s="38"/>
      <c r="BJ336" s="38"/>
      <c r="BK336" s="38"/>
      <c r="BL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38"/>
      <c r="AY337" s="38"/>
      <c r="AZ337" s="38"/>
      <c r="BA337" s="38"/>
      <c r="BB337" s="38"/>
      <c r="BC337" s="38"/>
      <c r="BD337" s="38"/>
      <c r="BE337" s="38"/>
      <c r="BF337" s="38"/>
      <c r="BG337" s="38"/>
      <c r="BH337" s="38"/>
      <c r="BI337" s="38"/>
      <c r="BJ337" s="38"/>
      <c r="BK337" s="38"/>
      <c r="BL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38"/>
      <c r="AY338" s="38"/>
      <c r="AZ338" s="38"/>
      <c r="BA338" s="38"/>
      <c r="BB338" s="38"/>
      <c r="BC338" s="38"/>
      <c r="BD338" s="38"/>
      <c r="BE338" s="38"/>
      <c r="BF338" s="38"/>
      <c r="BG338" s="38"/>
      <c r="BH338" s="38"/>
      <c r="BI338" s="38"/>
      <c r="BJ338" s="38"/>
      <c r="BK338" s="38"/>
      <c r="BL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38"/>
      <c r="AY339" s="38"/>
      <c r="AZ339" s="38"/>
      <c r="BA339" s="38"/>
      <c r="BB339" s="38"/>
      <c r="BC339" s="38"/>
      <c r="BD339" s="38"/>
      <c r="BE339" s="38"/>
      <c r="BF339" s="38"/>
      <c r="BG339" s="38"/>
      <c r="BH339" s="38"/>
      <c r="BI339" s="38"/>
      <c r="BJ339" s="38"/>
      <c r="BK339" s="38"/>
      <c r="BL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38"/>
      <c r="AY340" s="38"/>
      <c r="AZ340" s="38"/>
      <c r="BA340" s="38"/>
      <c r="BB340" s="38"/>
      <c r="BC340" s="38"/>
      <c r="BD340" s="38"/>
      <c r="BE340" s="38"/>
      <c r="BF340" s="38"/>
      <c r="BG340" s="38"/>
      <c r="BH340" s="38"/>
      <c r="BI340" s="38"/>
      <c r="BJ340" s="38"/>
      <c r="BK340" s="38"/>
      <c r="BL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38"/>
      <c r="AY341" s="38"/>
      <c r="AZ341" s="38"/>
      <c r="BA341" s="38"/>
      <c r="BB341" s="38"/>
      <c r="BC341" s="38"/>
      <c r="BD341" s="38"/>
      <c r="BE341" s="38"/>
      <c r="BF341" s="38"/>
      <c r="BG341" s="38"/>
      <c r="BH341" s="38"/>
      <c r="BI341" s="38"/>
      <c r="BJ341" s="38"/>
      <c r="BK341" s="38"/>
      <c r="BL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38"/>
      <c r="AY342" s="38"/>
      <c r="AZ342" s="38"/>
      <c r="BA342" s="38"/>
      <c r="BB342" s="38"/>
      <c r="BC342" s="38"/>
      <c r="BD342" s="38"/>
      <c r="BE342" s="38"/>
      <c r="BF342" s="38"/>
      <c r="BG342" s="38"/>
      <c r="BH342" s="38"/>
      <c r="BI342" s="38"/>
      <c r="BJ342" s="38"/>
      <c r="BK342" s="38"/>
      <c r="BL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38"/>
      <c r="AY343" s="38"/>
      <c r="AZ343" s="38"/>
      <c r="BA343" s="38"/>
      <c r="BB343" s="38"/>
      <c r="BC343" s="38"/>
      <c r="BD343" s="38"/>
      <c r="BE343" s="38"/>
      <c r="BF343" s="38"/>
      <c r="BG343" s="38"/>
      <c r="BH343" s="38"/>
      <c r="BI343" s="38"/>
      <c r="BJ343" s="38"/>
      <c r="BK343" s="38"/>
      <c r="BL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38"/>
      <c r="AY344" s="38"/>
      <c r="AZ344" s="38"/>
      <c r="BA344" s="38"/>
      <c r="BB344" s="38"/>
      <c r="BC344" s="38"/>
      <c r="BD344" s="38"/>
      <c r="BE344" s="38"/>
      <c r="BF344" s="38"/>
      <c r="BG344" s="38"/>
      <c r="BH344" s="38"/>
      <c r="BI344" s="38"/>
      <c r="BJ344" s="38"/>
      <c r="BK344" s="38"/>
      <c r="BL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38"/>
      <c r="AY345" s="38"/>
      <c r="AZ345" s="38"/>
      <c r="BA345" s="38"/>
      <c r="BB345" s="38"/>
      <c r="BC345" s="38"/>
      <c r="BD345" s="38"/>
      <c r="BE345" s="38"/>
      <c r="BF345" s="38"/>
      <c r="BG345" s="38"/>
      <c r="BH345" s="38"/>
      <c r="BI345" s="38"/>
      <c r="BJ345" s="38"/>
      <c r="BK345" s="38"/>
      <c r="BL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38"/>
      <c r="AY346" s="38"/>
      <c r="AZ346" s="38"/>
      <c r="BA346" s="38"/>
      <c r="BB346" s="38"/>
      <c r="BC346" s="38"/>
      <c r="BD346" s="38"/>
      <c r="BE346" s="38"/>
      <c r="BF346" s="38"/>
      <c r="BG346" s="38"/>
      <c r="BH346" s="38"/>
      <c r="BI346" s="38"/>
      <c r="BJ346" s="38"/>
      <c r="BK346" s="38"/>
      <c r="BL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38"/>
      <c r="AY347" s="38"/>
      <c r="AZ347" s="38"/>
      <c r="BA347" s="38"/>
      <c r="BB347" s="38"/>
      <c r="BC347" s="38"/>
      <c r="BD347" s="38"/>
      <c r="BE347" s="38"/>
      <c r="BF347" s="38"/>
      <c r="BG347" s="38"/>
      <c r="BH347" s="38"/>
      <c r="BI347" s="38"/>
      <c r="BJ347" s="38"/>
      <c r="BK347" s="38"/>
      <c r="BL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38"/>
      <c r="AY348" s="38"/>
      <c r="AZ348" s="38"/>
      <c r="BA348" s="38"/>
      <c r="BB348" s="38"/>
      <c r="BC348" s="38"/>
      <c r="BD348" s="38"/>
      <c r="BE348" s="38"/>
      <c r="BF348" s="38"/>
      <c r="BG348" s="38"/>
      <c r="BH348" s="38"/>
      <c r="BI348" s="38"/>
      <c r="BJ348" s="38"/>
      <c r="BK348" s="38"/>
      <c r="BL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38"/>
      <c r="AY349" s="38"/>
      <c r="AZ349" s="38"/>
      <c r="BA349" s="38"/>
      <c r="BB349" s="38"/>
      <c r="BC349" s="38"/>
      <c r="BD349" s="38"/>
      <c r="BE349" s="38"/>
      <c r="BF349" s="38"/>
      <c r="BG349" s="38"/>
      <c r="BH349" s="38"/>
      <c r="BI349" s="38"/>
      <c r="BJ349" s="38"/>
      <c r="BK349" s="38"/>
      <c r="BL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38"/>
      <c r="AY350" s="38"/>
      <c r="AZ350" s="38"/>
      <c r="BA350" s="38"/>
      <c r="BB350" s="38"/>
      <c r="BC350" s="38"/>
      <c r="BD350" s="38"/>
      <c r="BE350" s="38"/>
      <c r="BF350" s="38"/>
      <c r="BG350" s="38"/>
      <c r="BH350" s="38"/>
      <c r="BI350" s="38"/>
      <c r="BJ350" s="38"/>
      <c r="BK350" s="38"/>
      <c r="BL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38"/>
      <c r="AY351" s="38"/>
      <c r="AZ351" s="38"/>
      <c r="BA351" s="38"/>
      <c r="BB351" s="38"/>
      <c r="BC351" s="38"/>
      <c r="BD351" s="38"/>
      <c r="BE351" s="38"/>
      <c r="BF351" s="38"/>
      <c r="BG351" s="38"/>
      <c r="BH351" s="38"/>
      <c r="BI351" s="38"/>
      <c r="BJ351" s="38"/>
      <c r="BK351" s="38"/>
      <c r="BL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38"/>
      <c r="AY352" s="38"/>
      <c r="AZ352" s="38"/>
      <c r="BA352" s="38"/>
      <c r="BB352" s="38"/>
      <c r="BC352" s="38"/>
      <c r="BD352" s="38"/>
      <c r="BE352" s="38"/>
      <c r="BF352" s="38"/>
      <c r="BG352" s="38"/>
      <c r="BH352" s="38"/>
      <c r="BI352" s="38"/>
      <c r="BJ352" s="38"/>
      <c r="BK352" s="38"/>
      <c r="BL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38"/>
      <c r="AY353" s="38"/>
      <c r="AZ353" s="38"/>
      <c r="BA353" s="38"/>
      <c r="BB353" s="38"/>
      <c r="BC353" s="38"/>
      <c r="BD353" s="38"/>
      <c r="BE353" s="38"/>
      <c r="BF353" s="38"/>
      <c r="BG353" s="38"/>
      <c r="BH353" s="38"/>
      <c r="BI353" s="38"/>
      <c r="BJ353" s="38"/>
      <c r="BK353" s="38"/>
      <c r="BL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38"/>
      <c r="AY354" s="38"/>
      <c r="AZ354" s="38"/>
      <c r="BA354" s="38"/>
      <c r="BB354" s="38"/>
      <c r="BC354" s="38"/>
      <c r="BD354" s="38"/>
      <c r="BE354" s="38"/>
      <c r="BF354" s="38"/>
      <c r="BG354" s="38"/>
      <c r="BH354" s="38"/>
      <c r="BI354" s="38"/>
      <c r="BJ354" s="38"/>
      <c r="BK354" s="38"/>
      <c r="BL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38"/>
      <c r="AY355" s="38"/>
      <c r="AZ355" s="38"/>
      <c r="BA355" s="38"/>
      <c r="BB355" s="38"/>
      <c r="BC355" s="38"/>
      <c r="BD355" s="38"/>
      <c r="BE355" s="38"/>
      <c r="BF355" s="38"/>
      <c r="BG355" s="38"/>
      <c r="BH355" s="38"/>
      <c r="BI355" s="38"/>
      <c r="BJ355" s="38"/>
      <c r="BK355" s="38"/>
      <c r="BL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38"/>
      <c r="AY356" s="38"/>
      <c r="AZ356" s="38"/>
      <c r="BA356" s="38"/>
      <c r="BB356" s="38"/>
      <c r="BC356" s="38"/>
      <c r="BD356" s="38"/>
      <c r="BE356" s="38"/>
      <c r="BF356" s="38"/>
      <c r="BG356" s="38"/>
      <c r="BH356" s="38"/>
      <c r="BI356" s="38"/>
      <c r="BJ356" s="38"/>
      <c r="BK356" s="38"/>
      <c r="BL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38"/>
      <c r="AY357" s="38"/>
      <c r="AZ357" s="38"/>
      <c r="BA357" s="38"/>
      <c r="BB357" s="38"/>
      <c r="BC357" s="38"/>
      <c r="BD357" s="38"/>
      <c r="BE357" s="38"/>
      <c r="BF357" s="38"/>
      <c r="BG357" s="38"/>
      <c r="BH357" s="38"/>
      <c r="BI357" s="38"/>
      <c r="BJ357" s="38"/>
      <c r="BK357" s="38"/>
      <c r="BL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38"/>
      <c r="AY358" s="38"/>
      <c r="AZ358" s="38"/>
      <c r="BA358" s="38"/>
      <c r="BB358" s="38"/>
      <c r="BC358" s="38"/>
      <c r="BD358" s="38"/>
      <c r="BE358" s="38"/>
      <c r="BF358" s="38"/>
      <c r="BG358" s="38"/>
      <c r="BH358" s="38"/>
      <c r="BI358" s="38"/>
      <c r="BJ358" s="38"/>
      <c r="BK358" s="38"/>
      <c r="BL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38"/>
      <c r="AY359" s="38"/>
      <c r="AZ359" s="38"/>
      <c r="BA359" s="38"/>
      <c r="BB359" s="38"/>
      <c r="BC359" s="38"/>
      <c r="BD359" s="38"/>
      <c r="BE359" s="38"/>
      <c r="BF359" s="38"/>
      <c r="BG359" s="38"/>
      <c r="BH359" s="38"/>
      <c r="BI359" s="38"/>
      <c r="BJ359" s="38"/>
      <c r="BK359" s="38"/>
      <c r="BL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38"/>
      <c r="AY360" s="38"/>
      <c r="AZ360" s="38"/>
      <c r="BA360" s="38"/>
      <c r="BB360" s="38"/>
      <c r="BC360" s="38"/>
      <c r="BD360" s="38"/>
      <c r="BE360" s="38"/>
      <c r="BF360" s="38"/>
      <c r="BG360" s="38"/>
      <c r="BH360" s="38"/>
      <c r="BI360" s="38"/>
      <c r="BJ360" s="38"/>
      <c r="BK360" s="38"/>
      <c r="BL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38"/>
      <c r="AY361" s="38"/>
      <c r="AZ361" s="38"/>
      <c r="BA361" s="38"/>
      <c r="BB361" s="38"/>
      <c r="BC361" s="38"/>
      <c r="BD361" s="38"/>
      <c r="BE361" s="38"/>
      <c r="BF361" s="38"/>
      <c r="BG361" s="38"/>
      <c r="BH361" s="38"/>
      <c r="BI361" s="38"/>
      <c r="BJ361" s="38"/>
      <c r="BK361" s="38"/>
      <c r="BL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38"/>
      <c r="AY362" s="38"/>
      <c r="AZ362" s="38"/>
      <c r="BA362" s="38"/>
      <c r="BB362" s="38"/>
      <c r="BC362" s="38"/>
      <c r="BD362" s="38"/>
      <c r="BE362" s="38"/>
      <c r="BF362" s="38"/>
      <c r="BG362" s="38"/>
      <c r="BH362" s="38"/>
      <c r="BI362" s="38"/>
      <c r="BJ362" s="38"/>
      <c r="BK362" s="38"/>
      <c r="BL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38"/>
      <c r="AY363" s="38"/>
      <c r="AZ363" s="38"/>
      <c r="BA363" s="38"/>
      <c r="BB363" s="38"/>
      <c r="BC363" s="38"/>
      <c r="BD363" s="38"/>
      <c r="BE363" s="38"/>
      <c r="BF363" s="38"/>
      <c r="BG363" s="38"/>
      <c r="BH363" s="38"/>
      <c r="BI363" s="38"/>
      <c r="BJ363" s="38"/>
      <c r="BK363" s="38"/>
      <c r="BL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38"/>
      <c r="AY364" s="38"/>
      <c r="AZ364" s="38"/>
      <c r="BA364" s="38"/>
      <c r="BB364" s="38"/>
      <c r="BC364" s="38"/>
      <c r="BD364" s="38"/>
      <c r="BE364" s="38"/>
      <c r="BF364" s="38"/>
      <c r="BG364" s="38"/>
      <c r="BH364" s="38"/>
      <c r="BI364" s="38"/>
      <c r="BJ364" s="38"/>
      <c r="BK364" s="38"/>
      <c r="BL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38"/>
      <c r="AY365" s="38"/>
      <c r="AZ365" s="38"/>
      <c r="BA365" s="38"/>
      <c r="BB365" s="38"/>
      <c r="BC365" s="38"/>
      <c r="BD365" s="38"/>
      <c r="BE365" s="38"/>
      <c r="BF365" s="38"/>
      <c r="BG365" s="38"/>
      <c r="BH365" s="38"/>
      <c r="BI365" s="38"/>
      <c r="BJ365" s="38"/>
      <c r="BK365" s="38"/>
      <c r="BL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38"/>
      <c r="AY366" s="38"/>
      <c r="AZ366" s="38"/>
      <c r="BA366" s="38"/>
      <c r="BB366" s="38"/>
      <c r="BC366" s="38"/>
      <c r="BD366" s="38"/>
      <c r="BE366" s="38"/>
      <c r="BF366" s="38"/>
      <c r="BG366" s="38"/>
      <c r="BH366" s="38"/>
      <c r="BI366" s="38"/>
      <c r="BJ366" s="38"/>
      <c r="BK366" s="38"/>
      <c r="BL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38"/>
      <c r="AY367" s="38"/>
      <c r="AZ367" s="38"/>
      <c r="BA367" s="38"/>
      <c r="BB367" s="38"/>
      <c r="BC367" s="38"/>
      <c r="BD367" s="38"/>
      <c r="BE367" s="38"/>
      <c r="BF367" s="38"/>
      <c r="BG367" s="38"/>
      <c r="BH367" s="38"/>
      <c r="BI367" s="38"/>
      <c r="BJ367" s="38"/>
      <c r="BK367" s="38"/>
      <c r="BL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38"/>
      <c r="AY368" s="38"/>
      <c r="AZ368" s="38"/>
      <c r="BA368" s="38"/>
      <c r="BB368" s="38"/>
      <c r="BC368" s="38"/>
      <c r="BD368" s="38"/>
      <c r="BE368" s="38"/>
      <c r="BF368" s="38"/>
      <c r="BG368" s="38"/>
      <c r="BH368" s="38"/>
      <c r="BI368" s="38"/>
      <c r="BJ368" s="38"/>
      <c r="BK368" s="38"/>
      <c r="BL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38"/>
      <c r="AY369" s="38"/>
      <c r="AZ369" s="38"/>
      <c r="BA369" s="38"/>
      <c r="BB369" s="38"/>
      <c r="BC369" s="38"/>
      <c r="BD369" s="38"/>
      <c r="BE369" s="38"/>
      <c r="BF369" s="38"/>
      <c r="BG369" s="38"/>
      <c r="BH369" s="38"/>
      <c r="BI369" s="38"/>
      <c r="BJ369" s="38"/>
      <c r="BK369" s="38"/>
      <c r="BL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38"/>
      <c r="AY370" s="38"/>
      <c r="AZ370" s="38"/>
      <c r="BA370" s="38"/>
      <c r="BB370" s="38"/>
      <c r="BC370" s="38"/>
      <c r="BD370" s="38"/>
      <c r="BE370" s="38"/>
      <c r="BF370" s="38"/>
      <c r="BG370" s="38"/>
      <c r="BH370" s="38"/>
      <c r="BI370" s="38"/>
      <c r="BJ370" s="38"/>
      <c r="BK370" s="38"/>
      <c r="BL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38"/>
      <c r="AY371" s="38"/>
      <c r="AZ371" s="38"/>
      <c r="BA371" s="38"/>
      <c r="BB371" s="38"/>
      <c r="BC371" s="38"/>
      <c r="BD371" s="38"/>
      <c r="BE371" s="38"/>
      <c r="BF371" s="38"/>
      <c r="BG371" s="38"/>
      <c r="BH371" s="38"/>
      <c r="BI371" s="38"/>
      <c r="BJ371" s="38"/>
      <c r="BK371" s="38"/>
      <c r="BL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38"/>
      <c r="AY372" s="38"/>
      <c r="AZ372" s="38"/>
      <c r="BA372" s="38"/>
      <c r="BB372" s="38"/>
      <c r="BC372" s="38"/>
      <c r="BD372" s="38"/>
      <c r="BE372" s="38"/>
      <c r="BF372" s="38"/>
      <c r="BG372" s="38"/>
      <c r="BH372" s="38"/>
      <c r="BI372" s="38"/>
      <c r="BJ372" s="38"/>
      <c r="BK372" s="38"/>
      <c r="BL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38"/>
      <c r="AY373" s="38"/>
      <c r="AZ373" s="38"/>
      <c r="BA373" s="38"/>
      <c r="BB373" s="38"/>
      <c r="BC373" s="38"/>
      <c r="BD373" s="38"/>
      <c r="BE373" s="38"/>
      <c r="BF373" s="38"/>
      <c r="BG373" s="38"/>
      <c r="BH373" s="38"/>
      <c r="BI373" s="38"/>
      <c r="BJ373" s="38"/>
      <c r="BK373" s="38"/>
      <c r="BL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38"/>
      <c r="AY374" s="38"/>
      <c r="AZ374" s="38"/>
      <c r="BA374" s="38"/>
      <c r="BB374" s="38"/>
      <c r="BC374" s="38"/>
      <c r="BD374" s="38"/>
      <c r="BE374" s="38"/>
      <c r="BF374" s="38"/>
      <c r="BG374" s="38"/>
      <c r="BH374" s="38"/>
      <c r="BI374" s="38"/>
      <c r="BJ374" s="38"/>
      <c r="BK374" s="38"/>
      <c r="BL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38"/>
      <c r="AY375" s="38"/>
      <c r="AZ375" s="38"/>
      <c r="BA375" s="38"/>
      <c r="BB375" s="38"/>
      <c r="BC375" s="38"/>
      <c r="BD375" s="38"/>
      <c r="BE375" s="38"/>
      <c r="BF375" s="38"/>
      <c r="BG375" s="38"/>
      <c r="BH375" s="38"/>
      <c r="BI375" s="38"/>
      <c r="BJ375" s="38"/>
      <c r="BK375" s="38"/>
      <c r="BL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38"/>
      <c r="AY376" s="38"/>
      <c r="AZ376" s="38"/>
      <c r="BA376" s="38"/>
      <c r="BB376" s="38"/>
      <c r="BC376" s="38"/>
      <c r="BD376" s="38"/>
      <c r="BE376" s="38"/>
      <c r="BF376" s="38"/>
      <c r="BG376" s="38"/>
      <c r="BH376" s="38"/>
      <c r="BI376" s="38"/>
      <c r="BJ376" s="38"/>
      <c r="BK376" s="38"/>
      <c r="BL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38"/>
      <c r="AY377" s="38"/>
      <c r="AZ377" s="38"/>
      <c r="BA377" s="38"/>
      <c r="BB377" s="38"/>
      <c r="BC377" s="38"/>
      <c r="BD377" s="38"/>
      <c r="BE377" s="38"/>
      <c r="BF377" s="38"/>
      <c r="BG377" s="38"/>
      <c r="BH377" s="38"/>
      <c r="BI377" s="38"/>
      <c r="BJ377" s="38"/>
      <c r="BK377" s="38"/>
      <c r="BL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38"/>
      <c r="AY378" s="38"/>
      <c r="AZ378" s="38"/>
      <c r="BA378" s="38"/>
      <c r="BB378" s="38"/>
      <c r="BC378" s="38"/>
      <c r="BD378" s="38"/>
      <c r="BE378" s="38"/>
      <c r="BF378" s="38"/>
      <c r="BG378" s="38"/>
      <c r="BH378" s="38"/>
      <c r="BI378" s="38"/>
      <c r="BJ378" s="38"/>
      <c r="BK378" s="38"/>
      <c r="BL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38"/>
      <c r="AY379" s="38"/>
      <c r="AZ379" s="38"/>
      <c r="BA379" s="38"/>
      <c r="BB379" s="38"/>
      <c r="BC379" s="38"/>
      <c r="BD379" s="38"/>
      <c r="BE379" s="38"/>
      <c r="BF379" s="38"/>
      <c r="BG379" s="38"/>
      <c r="BH379" s="38"/>
      <c r="BI379" s="38"/>
      <c r="BJ379" s="38"/>
      <c r="BK379" s="38"/>
      <c r="BL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38"/>
      <c r="AY380" s="38"/>
      <c r="AZ380" s="38"/>
      <c r="BA380" s="38"/>
      <c r="BB380" s="38"/>
      <c r="BC380" s="38"/>
      <c r="BD380" s="38"/>
      <c r="BE380" s="38"/>
      <c r="BF380" s="38"/>
      <c r="BG380" s="38"/>
      <c r="BH380" s="38"/>
      <c r="BI380" s="38"/>
      <c r="BJ380" s="38"/>
      <c r="BK380" s="38"/>
      <c r="BL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38"/>
      <c r="AY381" s="38"/>
      <c r="AZ381" s="38"/>
      <c r="BA381" s="38"/>
      <c r="BB381" s="38"/>
      <c r="BC381" s="38"/>
      <c r="BD381" s="38"/>
      <c r="BE381" s="38"/>
      <c r="BF381" s="38"/>
      <c r="BG381" s="38"/>
      <c r="BH381" s="38"/>
      <c r="BI381" s="38"/>
      <c r="BJ381" s="38"/>
      <c r="BK381" s="38"/>
      <c r="BL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38"/>
      <c r="AY382" s="38"/>
      <c r="AZ382" s="38"/>
      <c r="BA382" s="38"/>
      <c r="BB382" s="38"/>
      <c r="BC382" s="38"/>
      <c r="BD382" s="38"/>
      <c r="BE382" s="38"/>
      <c r="BF382" s="38"/>
      <c r="BG382" s="38"/>
      <c r="BH382" s="38"/>
      <c r="BI382" s="38"/>
      <c r="BJ382" s="38"/>
      <c r="BK382" s="38"/>
      <c r="BL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38"/>
      <c r="AY383" s="38"/>
      <c r="AZ383" s="38"/>
      <c r="BA383" s="38"/>
      <c r="BB383" s="38"/>
      <c r="BC383" s="38"/>
      <c r="BD383" s="38"/>
      <c r="BE383" s="38"/>
      <c r="BF383" s="38"/>
      <c r="BG383" s="38"/>
      <c r="BH383" s="38"/>
      <c r="BI383" s="38"/>
      <c r="BJ383" s="38"/>
      <c r="BK383" s="38"/>
      <c r="BL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38"/>
      <c r="AY384" s="38"/>
      <c r="AZ384" s="38"/>
      <c r="BA384" s="38"/>
      <c r="BB384" s="38"/>
      <c r="BC384" s="38"/>
      <c r="BD384" s="38"/>
      <c r="BE384" s="38"/>
      <c r="BF384" s="38"/>
      <c r="BG384" s="38"/>
      <c r="BH384" s="38"/>
      <c r="BI384" s="38"/>
      <c r="BJ384" s="38"/>
      <c r="BK384" s="38"/>
      <c r="BL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38"/>
      <c r="AY385" s="38"/>
      <c r="AZ385" s="38"/>
      <c r="BA385" s="38"/>
      <c r="BB385" s="38"/>
      <c r="BC385" s="38"/>
      <c r="BD385" s="38"/>
      <c r="BE385" s="38"/>
      <c r="BF385" s="38"/>
      <c r="BG385" s="38"/>
      <c r="BH385" s="38"/>
      <c r="BI385" s="38"/>
      <c r="BJ385" s="38"/>
      <c r="BK385" s="38"/>
      <c r="BL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38"/>
      <c r="AY386" s="38"/>
      <c r="AZ386" s="38"/>
      <c r="BA386" s="38"/>
      <c r="BB386" s="38"/>
      <c r="BC386" s="38"/>
      <c r="BD386" s="38"/>
      <c r="BE386" s="38"/>
      <c r="BF386" s="38"/>
      <c r="BG386" s="38"/>
      <c r="BH386" s="38"/>
      <c r="BI386" s="38"/>
      <c r="BJ386" s="38"/>
      <c r="BK386" s="38"/>
      <c r="BL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38"/>
      <c r="AY387" s="38"/>
      <c r="AZ387" s="38"/>
      <c r="BA387" s="38"/>
      <c r="BB387" s="38"/>
      <c r="BC387" s="38"/>
      <c r="BD387" s="38"/>
      <c r="BE387" s="38"/>
      <c r="BF387" s="38"/>
      <c r="BG387" s="38"/>
      <c r="BH387" s="38"/>
      <c r="BI387" s="38"/>
      <c r="BJ387" s="38"/>
      <c r="BK387" s="38"/>
      <c r="BL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38"/>
      <c r="AY388" s="38"/>
      <c r="AZ388" s="38"/>
      <c r="BA388" s="38"/>
      <c r="BB388" s="38"/>
      <c r="BC388" s="38"/>
      <c r="BD388" s="38"/>
      <c r="BE388" s="38"/>
      <c r="BF388" s="38"/>
      <c r="BG388" s="38"/>
      <c r="BH388" s="38"/>
      <c r="BI388" s="38"/>
      <c r="BJ388" s="38"/>
      <c r="BK388" s="38"/>
      <c r="BL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38"/>
      <c r="AY389" s="38"/>
      <c r="AZ389" s="38"/>
      <c r="BA389" s="38"/>
      <c r="BB389" s="38"/>
      <c r="BC389" s="38"/>
      <c r="BD389" s="38"/>
      <c r="BE389" s="38"/>
      <c r="BF389" s="38"/>
      <c r="BG389" s="38"/>
      <c r="BH389" s="38"/>
      <c r="BI389" s="38"/>
      <c r="BJ389" s="38"/>
      <c r="BK389" s="38"/>
      <c r="BL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38"/>
      <c r="AY390" s="38"/>
      <c r="AZ390" s="38"/>
      <c r="BA390" s="38"/>
      <c r="BB390" s="38"/>
      <c r="BC390" s="38"/>
      <c r="BD390" s="38"/>
      <c r="BE390" s="38"/>
      <c r="BF390" s="38"/>
      <c r="BG390" s="38"/>
      <c r="BH390" s="38"/>
      <c r="BI390" s="38"/>
      <c r="BJ390" s="38"/>
      <c r="BK390" s="38"/>
      <c r="BL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38"/>
      <c r="AY391" s="38"/>
      <c r="AZ391" s="38"/>
      <c r="BA391" s="38"/>
      <c r="BB391" s="38"/>
      <c r="BC391" s="38"/>
      <c r="BD391" s="38"/>
      <c r="BE391" s="38"/>
      <c r="BF391" s="38"/>
      <c r="BG391" s="38"/>
      <c r="BH391" s="38"/>
      <c r="BI391" s="38"/>
      <c r="BJ391" s="38"/>
      <c r="BK391" s="38"/>
      <c r="BL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38"/>
      <c r="AY392" s="38"/>
      <c r="AZ392" s="38"/>
      <c r="BA392" s="38"/>
      <c r="BB392" s="38"/>
      <c r="BC392" s="38"/>
      <c r="BD392" s="38"/>
      <c r="BE392" s="38"/>
      <c r="BF392" s="38"/>
      <c r="BG392" s="38"/>
      <c r="BH392" s="38"/>
      <c r="BI392" s="38"/>
      <c r="BJ392" s="38"/>
      <c r="BK392" s="38"/>
      <c r="BL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38"/>
      <c r="AY393" s="38"/>
      <c r="AZ393" s="38"/>
      <c r="BA393" s="38"/>
      <c r="BB393" s="38"/>
      <c r="BC393" s="38"/>
      <c r="BD393" s="38"/>
      <c r="BE393" s="38"/>
      <c r="BF393" s="38"/>
      <c r="BG393" s="38"/>
      <c r="BH393" s="38"/>
      <c r="BI393" s="38"/>
      <c r="BJ393" s="38"/>
      <c r="BK393" s="38"/>
      <c r="BL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38"/>
      <c r="AY394" s="38"/>
      <c r="AZ394" s="38"/>
      <c r="BA394" s="38"/>
      <c r="BB394" s="38"/>
      <c r="BC394" s="38"/>
      <c r="BD394" s="38"/>
      <c r="BE394" s="38"/>
      <c r="BF394" s="38"/>
      <c r="BG394" s="38"/>
      <c r="BH394" s="38"/>
      <c r="BI394" s="38"/>
      <c r="BJ394" s="38"/>
      <c r="BK394" s="38"/>
      <c r="BL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38"/>
      <c r="AY395" s="38"/>
      <c r="AZ395" s="38"/>
      <c r="BA395" s="38"/>
      <c r="BB395" s="38"/>
      <c r="BC395" s="38"/>
      <c r="BD395" s="38"/>
      <c r="BE395" s="38"/>
      <c r="BF395" s="38"/>
      <c r="BG395" s="38"/>
      <c r="BH395" s="38"/>
      <c r="BI395" s="38"/>
      <c r="BJ395" s="38"/>
      <c r="BK395" s="38"/>
      <c r="BL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38"/>
      <c r="AY396" s="38"/>
      <c r="AZ396" s="38"/>
      <c r="BA396" s="38"/>
      <c r="BB396" s="38"/>
      <c r="BC396" s="38"/>
      <c r="BD396" s="38"/>
      <c r="BE396" s="38"/>
      <c r="BF396" s="38"/>
      <c r="BG396" s="38"/>
      <c r="BH396" s="38"/>
      <c r="BI396" s="38"/>
      <c r="BJ396" s="38"/>
      <c r="BK396" s="38"/>
      <c r="BL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38"/>
      <c r="AY397" s="38"/>
      <c r="AZ397" s="38"/>
      <c r="BA397" s="38"/>
      <c r="BB397" s="38"/>
      <c r="BC397" s="38"/>
      <c r="BD397" s="38"/>
      <c r="BE397" s="38"/>
      <c r="BF397" s="38"/>
      <c r="BG397" s="38"/>
      <c r="BH397" s="38"/>
      <c r="BI397" s="38"/>
      <c r="BJ397" s="38"/>
      <c r="BK397" s="38"/>
      <c r="BL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38"/>
      <c r="AY398" s="38"/>
      <c r="AZ398" s="38"/>
      <c r="BA398" s="38"/>
      <c r="BB398" s="38"/>
      <c r="BC398" s="38"/>
      <c r="BD398" s="38"/>
      <c r="BE398" s="38"/>
      <c r="BF398" s="38"/>
      <c r="BG398" s="38"/>
      <c r="BH398" s="38"/>
      <c r="BI398" s="38"/>
      <c r="BJ398" s="38"/>
      <c r="BK398" s="38"/>
      <c r="BL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38"/>
      <c r="AY399" s="38"/>
      <c r="AZ399" s="38"/>
      <c r="BA399" s="38"/>
      <c r="BB399" s="38"/>
      <c r="BC399" s="38"/>
      <c r="BD399" s="38"/>
      <c r="BE399" s="38"/>
      <c r="BF399" s="38"/>
      <c r="BG399" s="38"/>
      <c r="BH399" s="38"/>
      <c r="BI399" s="38"/>
      <c r="BJ399" s="38"/>
      <c r="BK399" s="38"/>
      <c r="BL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38"/>
      <c r="AY400" s="38"/>
      <c r="AZ400" s="38"/>
      <c r="BA400" s="38"/>
      <c r="BB400" s="38"/>
      <c r="BC400" s="38"/>
      <c r="BD400" s="38"/>
      <c r="BE400" s="38"/>
      <c r="BF400" s="38"/>
      <c r="BG400" s="38"/>
      <c r="BH400" s="38"/>
      <c r="BI400" s="38"/>
      <c r="BJ400" s="38"/>
      <c r="BK400" s="38"/>
      <c r="BL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38"/>
      <c r="AY401" s="38"/>
      <c r="AZ401" s="38"/>
      <c r="BA401" s="38"/>
      <c r="BB401" s="38"/>
      <c r="BC401" s="38"/>
      <c r="BD401" s="38"/>
      <c r="BE401" s="38"/>
      <c r="BF401" s="38"/>
      <c r="BG401" s="38"/>
      <c r="BH401" s="38"/>
      <c r="BI401" s="38"/>
      <c r="BJ401" s="38"/>
      <c r="BK401" s="38"/>
      <c r="BL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c r="BJ402" s="38"/>
      <c r="BK402" s="38"/>
      <c r="BL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c r="BJ403" s="38"/>
      <c r="BK403" s="38"/>
      <c r="BL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c r="BJ404" s="38"/>
      <c r="BK404" s="38"/>
      <c r="BL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38"/>
      <c r="AY405" s="38"/>
      <c r="AZ405" s="38"/>
      <c r="BA405" s="38"/>
      <c r="BB405" s="38"/>
      <c r="BC405" s="38"/>
      <c r="BD405" s="38"/>
      <c r="BE405" s="38"/>
      <c r="BF405" s="38"/>
      <c r="BG405" s="38"/>
      <c r="BH405" s="38"/>
      <c r="BI405" s="38"/>
      <c r="BJ405" s="38"/>
      <c r="BK405" s="38"/>
      <c r="BL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38"/>
      <c r="AY406" s="38"/>
      <c r="AZ406" s="38"/>
      <c r="BA406" s="38"/>
      <c r="BB406" s="38"/>
      <c r="BC406" s="38"/>
      <c r="BD406" s="38"/>
      <c r="BE406" s="38"/>
      <c r="BF406" s="38"/>
      <c r="BG406" s="38"/>
      <c r="BH406" s="38"/>
      <c r="BI406" s="38"/>
      <c r="BJ406" s="38"/>
      <c r="BK406" s="38"/>
      <c r="BL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38"/>
      <c r="AY407" s="38"/>
      <c r="AZ407" s="38"/>
      <c r="BA407" s="38"/>
      <c r="BB407" s="38"/>
      <c r="BC407" s="38"/>
      <c r="BD407" s="38"/>
      <c r="BE407" s="38"/>
      <c r="BF407" s="38"/>
      <c r="BG407" s="38"/>
      <c r="BH407" s="38"/>
      <c r="BI407" s="38"/>
      <c r="BJ407" s="38"/>
      <c r="BK407" s="38"/>
      <c r="BL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38"/>
      <c r="AY408" s="38"/>
      <c r="AZ408" s="38"/>
      <c r="BA408" s="38"/>
      <c r="BB408" s="38"/>
      <c r="BC408" s="38"/>
      <c r="BD408" s="38"/>
      <c r="BE408" s="38"/>
      <c r="BF408" s="38"/>
      <c r="BG408" s="38"/>
      <c r="BH408" s="38"/>
      <c r="BI408" s="38"/>
      <c r="BJ408" s="38"/>
      <c r="BK408" s="38"/>
      <c r="BL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38"/>
      <c r="AY409" s="38"/>
      <c r="AZ409" s="38"/>
      <c r="BA409" s="38"/>
      <c r="BB409" s="38"/>
      <c r="BC409" s="38"/>
      <c r="BD409" s="38"/>
      <c r="BE409" s="38"/>
      <c r="BF409" s="38"/>
      <c r="BG409" s="38"/>
      <c r="BH409" s="38"/>
      <c r="BI409" s="38"/>
      <c r="BJ409" s="38"/>
      <c r="BK409" s="38"/>
      <c r="BL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38"/>
      <c r="AY410" s="38"/>
      <c r="AZ410" s="38"/>
      <c r="BA410" s="38"/>
      <c r="BB410" s="38"/>
      <c r="BC410" s="38"/>
      <c r="BD410" s="38"/>
      <c r="BE410" s="38"/>
      <c r="BF410" s="38"/>
      <c r="BG410" s="38"/>
      <c r="BH410" s="38"/>
      <c r="BI410" s="38"/>
      <c r="BJ410" s="38"/>
      <c r="BK410" s="38"/>
      <c r="BL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38"/>
      <c r="AY411" s="38"/>
      <c r="AZ411" s="38"/>
      <c r="BA411" s="38"/>
      <c r="BB411" s="38"/>
      <c r="BC411" s="38"/>
      <c r="BD411" s="38"/>
      <c r="BE411" s="38"/>
      <c r="BF411" s="38"/>
      <c r="BG411" s="38"/>
      <c r="BH411" s="38"/>
      <c r="BI411" s="38"/>
      <c r="BJ411" s="38"/>
      <c r="BK411" s="38"/>
      <c r="BL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38"/>
      <c r="AY412" s="38"/>
      <c r="AZ412" s="38"/>
      <c r="BA412" s="38"/>
      <c r="BB412" s="38"/>
      <c r="BC412" s="38"/>
      <c r="BD412" s="38"/>
      <c r="BE412" s="38"/>
      <c r="BF412" s="38"/>
      <c r="BG412" s="38"/>
      <c r="BH412" s="38"/>
      <c r="BI412" s="38"/>
      <c r="BJ412" s="38"/>
      <c r="BK412" s="38"/>
      <c r="BL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38"/>
      <c r="AY413" s="38"/>
      <c r="AZ413" s="38"/>
      <c r="BA413" s="38"/>
      <c r="BB413" s="38"/>
      <c r="BC413" s="38"/>
      <c r="BD413" s="38"/>
      <c r="BE413" s="38"/>
      <c r="BF413" s="38"/>
      <c r="BG413" s="38"/>
      <c r="BH413" s="38"/>
      <c r="BI413" s="38"/>
      <c r="BJ413" s="38"/>
      <c r="BK413" s="38"/>
      <c r="BL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38"/>
      <c r="AY414" s="38"/>
      <c r="AZ414" s="38"/>
      <c r="BA414" s="38"/>
      <c r="BB414" s="38"/>
      <c r="BC414" s="38"/>
      <c r="BD414" s="38"/>
      <c r="BE414" s="38"/>
      <c r="BF414" s="38"/>
      <c r="BG414" s="38"/>
      <c r="BH414" s="38"/>
      <c r="BI414" s="38"/>
      <c r="BJ414" s="38"/>
      <c r="BK414" s="38"/>
      <c r="BL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38"/>
      <c r="AY415" s="38"/>
      <c r="AZ415" s="38"/>
      <c r="BA415" s="38"/>
      <c r="BB415" s="38"/>
      <c r="BC415" s="38"/>
      <c r="BD415" s="38"/>
      <c r="BE415" s="38"/>
      <c r="BF415" s="38"/>
      <c r="BG415" s="38"/>
      <c r="BH415" s="38"/>
      <c r="BI415" s="38"/>
      <c r="BJ415" s="38"/>
      <c r="BK415" s="38"/>
      <c r="BL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38"/>
      <c r="AY416" s="38"/>
      <c r="AZ416" s="38"/>
      <c r="BA416" s="38"/>
      <c r="BB416" s="38"/>
      <c r="BC416" s="38"/>
      <c r="BD416" s="38"/>
      <c r="BE416" s="38"/>
      <c r="BF416" s="38"/>
      <c r="BG416" s="38"/>
      <c r="BH416" s="38"/>
      <c r="BI416" s="38"/>
      <c r="BJ416" s="38"/>
      <c r="BK416" s="38"/>
      <c r="BL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38"/>
      <c r="AY417" s="38"/>
      <c r="AZ417" s="38"/>
      <c r="BA417" s="38"/>
      <c r="BB417" s="38"/>
      <c r="BC417" s="38"/>
      <c r="BD417" s="38"/>
      <c r="BE417" s="38"/>
      <c r="BF417" s="38"/>
      <c r="BG417" s="38"/>
      <c r="BH417" s="38"/>
      <c r="BI417" s="38"/>
      <c r="BJ417" s="38"/>
      <c r="BK417" s="38"/>
      <c r="BL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38"/>
      <c r="AY418" s="38"/>
      <c r="AZ418" s="38"/>
      <c r="BA418" s="38"/>
      <c r="BB418" s="38"/>
      <c r="BC418" s="38"/>
      <c r="BD418" s="38"/>
      <c r="BE418" s="38"/>
      <c r="BF418" s="38"/>
      <c r="BG418" s="38"/>
      <c r="BH418" s="38"/>
      <c r="BI418" s="38"/>
      <c r="BJ418" s="38"/>
      <c r="BK418" s="38"/>
      <c r="BL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38"/>
      <c r="AY419" s="38"/>
      <c r="AZ419" s="38"/>
      <c r="BA419" s="38"/>
      <c r="BB419" s="38"/>
      <c r="BC419" s="38"/>
      <c r="BD419" s="38"/>
      <c r="BE419" s="38"/>
      <c r="BF419" s="38"/>
      <c r="BG419" s="38"/>
      <c r="BH419" s="38"/>
      <c r="BI419" s="38"/>
      <c r="BJ419" s="38"/>
      <c r="BK419" s="38"/>
      <c r="BL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38"/>
      <c r="AY420" s="38"/>
      <c r="AZ420" s="38"/>
      <c r="BA420" s="38"/>
      <c r="BB420" s="38"/>
      <c r="BC420" s="38"/>
      <c r="BD420" s="38"/>
      <c r="BE420" s="38"/>
      <c r="BF420" s="38"/>
      <c r="BG420" s="38"/>
      <c r="BH420" s="38"/>
      <c r="BI420" s="38"/>
      <c r="BJ420" s="38"/>
      <c r="BK420" s="38"/>
      <c r="BL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38"/>
      <c r="AY421" s="38"/>
      <c r="AZ421" s="38"/>
      <c r="BA421" s="38"/>
      <c r="BB421" s="38"/>
      <c r="BC421" s="38"/>
      <c r="BD421" s="38"/>
      <c r="BE421" s="38"/>
      <c r="BF421" s="38"/>
      <c r="BG421" s="38"/>
      <c r="BH421" s="38"/>
      <c r="BI421" s="38"/>
      <c r="BJ421" s="38"/>
      <c r="BK421" s="38"/>
      <c r="BL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38"/>
      <c r="AY422" s="38"/>
      <c r="AZ422" s="38"/>
      <c r="BA422" s="38"/>
      <c r="BB422" s="38"/>
      <c r="BC422" s="38"/>
      <c r="BD422" s="38"/>
      <c r="BE422" s="38"/>
      <c r="BF422" s="38"/>
      <c r="BG422" s="38"/>
      <c r="BH422" s="38"/>
      <c r="BI422" s="38"/>
      <c r="BJ422" s="38"/>
      <c r="BK422" s="38"/>
      <c r="BL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38"/>
      <c r="AY423" s="38"/>
      <c r="AZ423" s="38"/>
      <c r="BA423" s="38"/>
      <c r="BB423" s="38"/>
      <c r="BC423" s="38"/>
      <c r="BD423" s="38"/>
      <c r="BE423" s="38"/>
      <c r="BF423" s="38"/>
      <c r="BG423" s="38"/>
      <c r="BH423" s="38"/>
      <c r="BI423" s="38"/>
      <c r="BJ423" s="38"/>
      <c r="BK423" s="38"/>
      <c r="BL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38"/>
      <c r="AY424" s="38"/>
      <c r="AZ424" s="38"/>
      <c r="BA424" s="38"/>
      <c r="BB424" s="38"/>
      <c r="BC424" s="38"/>
      <c r="BD424" s="38"/>
      <c r="BE424" s="38"/>
      <c r="BF424" s="38"/>
      <c r="BG424" s="38"/>
      <c r="BH424" s="38"/>
      <c r="BI424" s="38"/>
      <c r="BJ424" s="38"/>
      <c r="BK424" s="38"/>
      <c r="BL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38"/>
      <c r="AY425" s="38"/>
      <c r="AZ425" s="38"/>
      <c r="BA425" s="38"/>
      <c r="BB425" s="38"/>
      <c r="BC425" s="38"/>
      <c r="BD425" s="38"/>
      <c r="BE425" s="38"/>
      <c r="BF425" s="38"/>
      <c r="BG425" s="38"/>
      <c r="BH425" s="38"/>
      <c r="BI425" s="38"/>
      <c r="BJ425" s="38"/>
      <c r="BK425" s="38"/>
      <c r="BL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38"/>
      <c r="AY426" s="38"/>
      <c r="AZ426" s="38"/>
      <c r="BA426" s="38"/>
      <c r="BB426" s="38"/>
      <c r="BC426" s="38"/>
      <c r="BD426" s="38"/>
      <c r="BE426" s="38"/>
      <c r="BF426" s="38"/>
      <c r="BG426" s="38"/>
      <c r="BH426" s="38"/>
      <c r="BI426" s="38"/>
      <c r="BJ426" s="38"/>
      <c r="BK426" s="38"/>
      <c r="BL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38"/>
      <c r="AY427" s="38"/>
      <c r="AZ427" s="38"/>
      <c r="BA427" s="38"/>
      <c r="BB427" s="38"/>
      <c r="BC427" s="38"/>
      <c r="BD427" s="38"/>
      <c r="BE427" s="38"/>
      <c r="BF427" s="38"/>
      <c r="BG427" s="38"/>
      <c r="BH427" s="38"/>
      <c r="BI427" s="38"/>
      <c r="BJ427" s="38"/>
      <c r="BK427" s="38"/>
      <c r="BL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38"/>
      <c r="AY428" s="38"/>
      <c r="AZ428" s="38"/>
      <c r="BA428" s="38"/>
      <c r="BB428" s="38"/>
      <c r="BC428" s="38"/>
      <c r="BD428" s="38"/>
      <c r="BE428" s="38"/>
      <c r="BF428" s="38"/>
      <c r="BG428" s="38"/>
      <c r="BH428" s="38"/>
      <c r="BI428" s="38"/>
      <c r="BJ428" s="38"/>
      <c r="BK428" s="38"/>
      <c r="BL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38"/>
      <c r="AY429" s="38"/>
      <c r="AZ429" s="38"/>
      <c r="BA429" s="38"/>
      <c r="BB429" s="38"/>
      <c r="BC429" s="38"/>
      <c r="BD429" s="38"/>
      <c r="BE429" s="38"/>
      <c r="BF429" s="38"/>
      <c r="BG429" s="38"/>
      <c r="BH429" s="38"/>
      <c r="BI429" s="38"/>
      <c r="BJ429" s="38"/>
      <c r="BK429" s="38"/>
      <c r="BL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38"/>
      <c r="AY430" s="38"/>
      <c r="AZ430" s="38"/>
      <c r="BA430" s="38"/>
      <c r="BB430" s="38"/>
      <c r="BC430" s="38"/>
      <c r="BD430" s="38"/>
      <c r="BE430" s="38"/>
      <c r="BF430" s="38"/>
      <c r="BG430" s="38"/>
      <c r="BH430" s="38"/>
      <c r="BI430" s="38"/>
      <c r="BJ430" s="38"/>
      <c r="BK430" s="38"/>
      <c r="BL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38"/>
      <c r="AY431" s="38"/>
      <c r="AZ431" s="38"/>
      <c r="BA431" s="38"/>
      <c r="BB431" s="38"/>
      <c r="BC431" s="38"/>
      <c r="BD431" s="38"/>
      <c r="BE431" s="38"/>
      <c r="BF431" s="38"/>
      <c r="BG431" s="38"/>
      <c r="BH431" s="38"/>
      <c r="BI431" s="38"/>
      <c r="BJ431" s="38"/>
      <c r="BK431" s="38"/>
      <c r="BL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38"/>
      <c r="AY432" s="38"/>
      <c r="AZ432" s="38"/>
      <c r="BA432" s="38"/>
      <c r="BB432" s="38"/>
      <c r="BC432" s="38"/>
      <c r="BD432" s="38"/>
      <c r="BE432" s="38"/>
      <c r="BF432" s="38"/>
      <c r="BG432" s="38"/>
      <c r="BH432" s="38"/>
      <c r="BI432" s="38"/>
      <c r="BJ432" s="38"/>
      <c r="BK432" s="38"/>
      <c r="BL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38"/>
      <c r="AY433" s="38"/>
      <c r="AZ433" s="38"/>
      <c r="BA433" s="38"/>
      <c r="BB433" s="38"/>
      <c r="BC433" s="38"/>
      <c r="BD433" s="38"/>
      <c r="BE433" s="38"/>
      <c r="BF433" s="38"/>
      <c r="BG433" s="38"/>
      <c r="BH433" s="38"/>
      <c r="BI433" s="38"/>
      <c r="BJ433" s="38"/>
      <c r="BK433" s="38"/>
      <c r="BL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38"/>
      <c r="AY434" s="38"/>
      <c r="AZ434" s="38"/>
      <c r="BA434" s="38"/>
      <c r="BB434" s="38"/>
      <c r="BC434" s="38"/>
      <c r="BD434" s="38"/>
      <c r="BE434" s="38"/>
      <c r="BF434" s="38"/>
      <c r="BG434" s="38"/>
      <c r="BH434" s="38"/>
      <c r="BI434" s="38"/>
      <c r="BJ434" s="38"/>
      <c r="BK434" s="38"/>
      <c r="BL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38"/>
      <c r="AY435" s="38"/>
      <c r="AZ435" s="38"/>
      <c r="BA435" s="38"/>
      <c r="BB435" s="38"/>
      <c r="BC435" s="38"/>
      <c r="BD435" s="38"/>
      <c r="BE435" s="38"/>
      <c r="BF435" s="38"/>
      <c r="BG435" s="38"/>
      <c r="BH435" s="38"/>
      <c r="BI435" s="38"/>
      <c r="BJ435" s="38"/>
      <c r="BK435" s="38"/>
      <c r="BL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38"/>
      <c r="AY436" s="38"/>
      <c r="AZ436" s="38"/>
      <c r="BA436" s="38"/>
      <c r="BB436" s="38"/>
      <c r="BC436" s="38"/>
      <c r="BD436" s="38"/>
      <c r="BE436" s="38"/>
      <c r="BF436" s="38"/>
      <c r="BG436" s="38"/>
      <c r="BH436" s="38"/>
      <c r="BI436" s="38"/>
      <c r="BJ436" s="38"/>
      <c r="BK436" s="38"/>
      <c r="BL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38"/>
      <c r="AY437" s="38"/>
      <c r="AZ437" s="38"/>
      <c r="BA437" s="38"/>
      <c r="BB437" s="38"/>
      <c r="BC437" s="38"/>
      <c r="BD437" s="38"/>
      <c r="BE437" s="38"/>
      <c r="BF437" s="38"/>
      <c r="BG437" s="38"/>
      <c r="BH437" s="38"/>
      <c r="BI437" s="38"/>
      <c r="BJ437" s="38"/>
      <c r="BK437" s="38"/>
      <c r="BL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38"/>
      <c r="AY438" s="38"/>
      <c r="AZ438" s="38"/>
      <c r="BA438" s="38"/>
      <c r="BB438" s="38"/>
      <c r="BC438" s="38"/>
      <c r="BD438" s="38"/>
      <c r="BE438" s="38"/>
      <c r="BF438" s="38"/>
      <c r="BG438" s="38"/>
      <c r="BH438" s="38"/>
      <c r="BI438" s="38"/>
      <c r="BJ438" s="38"/>
      <c r="BK438" s="38"/>
      <c r="BL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38"/>
      <c r="AY439" s="38"/>
      <c r="AZ439" s="38"/>
      <c r="BA439" s="38"/>
      <c r="BB439" s="38"/>
      <c r="BC439" s="38"/>
      <c r="BD439" s="38"/>
      <c r="BE439" s="38"/>
      <c r="BF439" s="38"/>
      <c r="BG439" s="38"/>
      <c r="BH439" s="38"/>
      <c r="BI439" s="38"/>
      <c r="BJ439" s="38"/>
      <c r="BK439" s="38"/>
      <c r="BL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38"/>
      <c r="AY440" s="38"/>
      <c r="AZ440" s="38"/>
      <c r="BA440" s="38"/>
      <c r="BB440" s="38"/>
      <c r="BC440" s="38"/>
      <c r="BD440" s="38"/>
      <c r="BE440" s="38"/>
      <c r="BF440" s="38"/>
      <c r="BG440" s="38"/>
      <c r="BH440" s="38"/>
      <c r="BI440" s="38"/>
      <c r="BJ440" s="38"/>
      <c r="BK440" s="38"/>
      <c r="BL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38"/>
      <c r="AY441" s="38"/>
      <c r="AZ441" s="38"/>
      <c r="BA441" s="38"/>
      <c r="BB441" s="38"/>
      <c r="BC441" s="38"/>
      <c r="BD441" s="38"/>
      <c r="BE441" s="38"/>
      <c r="BF441" s="38"/>
      <c r="BG441" s="38"/>
      <c r="BH441" s="38"/>
      <c r="BI441" s="38"/>
      <c r="BJ441" s="38"/>
      <c r="BK441" s="38"/>
      <c r="BL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38"/>
      <c r="AY442" s="38"/>
      <c r="AZ442" s="38"/>
      <c r="BA442" s="38"/>
      <c r="BB442" s="38"/>
      <c r="BC442" s="38"/>
      <c r="BD442" s="38"/>
      <c r="BE442" s="38"/>
      <c r="BF442" s="38"/>
      <c r="BG442" s="38"/>
      <c r="BH442" s="38"/>
      <c r="BI442" s="38"/>
      <c r="BJ442" s="38"/>
      <c r="BK442" s="38"/>
      <c r="BL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38"/>
      <c r="AY443" s="38"/>
      <c r="AZ443" s="38"/>
      <c r="BA443" s="38"/>
      <c r="BB443" s="38"/>
      <c r="BC443" s="38"/>
      <c r="BD443" s="38"/>
      <c r="BE443" s="38"/>
      <c r="BF443" s="38"/>
      <c r="BG443" s="38"/>
      <c r="BH443" s="38"/>
      <c r="BI443" s="38"/>
      <c r="BJ443" s="38"/>
      <c r="BK443" s="38"/>
      <c r="BL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38"/>
      <c r="AY444" s="38"/>
      <c r="AZ444" s="38"/>
      <c r="BA444" s="38"/>
      <c r="BB444" s="38"/>
      <c r="BC444" s="38"/>
      <c r="BD444" s="38"/>
      <c r="BE444" s="38"/>
      <c r="BF444" s="38"/>
      <c r="BG444" s="38"/>
      <c r="BH444" s="38"/>
      <c r="BI444" s="38"/>
      <c r="BJ444" s="38"/>
      <c r="BK444" s="38"/>
      <c r="BL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38"/>
      <c r="AY445" s="38"/>
      <c r="AZ445" s="38"/>
      <c r="BA445" s="38"/>
      <c r="BB445" s="38"/>
      <c r="BC445" s="38"/>
      <c r="BD445" s="38"/>
      <c r="BE445" s="38"/>
      <c r="BF445" s="38"/>
      <c r="BG445" s="38"/>
      <c r="BH445" s="38"/>
      <c r="BI445" s="38"/>
      <c r="BJ445" s="38"/>
      <c r="BK445" s="38"/>
      <c r="BL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38"/>
      <c r="AY446" s="38"/>
      <c r="AZ446" s="38"/>
      <c r="BA446" s="38"/>
      <c r="BB446" s="38"/>
      <c r="BC446" s="38"/>
      <c r="BD446" s="38"/>
      <c r="BE446" s="38"/>
      <c r="BF446" s="38"/>
      <c r="BG446" s="38"/>
      <c r="BH446" s="38"/>
      <c r="BI446" s="38"/>
      <c r="BJ446" s="38"/>
      <c r="BK446" s="38"/>
      <c r="BL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38"/>
      <c r="AY447" s="38"/>
      <c r="AZ447" s="38"/>
      <c r="BA447" s="38"/>
      <c r="BB447" s="38"/>
      <c r="BC447" s="38"/>
      <c r="BD447" s="38"/>
      <c r="BE447" s="38"/>
      <c r="BF447" s="38"/>
      <c r="BG447" s="38"/>
      <c r="BH447" s="38"/>
      <c r="BI447" s="38"/>
      <c r="BJ447" s="38"/>
      <c r="BK447" s="38"/>
      <c r="BL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38"/>
      <c r="AY448" s="38"/>
      <c r="AZ448" s="38"/>
      <c r="BA448" s="38"/>
      <c r="BB448" s="38"/>
      <c r="BC448" s="38"/>
      <c r="BD448" s="38"/>
      <c r="BE448" s="38"/>
      <c r="BF448" s="38"/>
      <c r="BG448" s="38"/>
      <c r="BH448" s="38"/>
      <c r="BI448" s="38"/>
      <c r="BJ448" s="38"/>
      <c r="BK448" s="38"/>
      <c r="BL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38"/>
      <c r="AY449" s="38"/>
      <c r="AZ449" s="38"/>
      <c r="BA449" s="38"/>
      <c r="BB449" s="38"/>
      <c r="BC449" s="38"/>
      <c r="BD449" s="38"/>
      <c r="BE449" s="38"/>
      <c r="BF449" s="38"/>
      <c r="BG449" s="38"/>
      <c r="BH449" s="38"/>
      <c r="BI449" s="38"/>
      <c r="BJ449" s="38"/>
      <c r="BK449" s="38"/>
      <c r="BL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38"/>
      <c r="AY450" s="38"/>
      <c r="AZ450" s="38"/>
      <c r="BA450" s="38"/>
      <c r="BB450" s="38"/>
      <c r="BC450" s="38"/>
      <c r="BD450" s="38"/>
      <c r="BE450" s="38"/>
      <c r="BF450" s="38"/>
      <c r="BG450" s="38"/>
      <c r="BH450" s="38"/>
      <c r="BI450" s="38"/>
      <c r="BJ450" s="38"/>
      <c r="BK450" s="38"/>
      <c r="BL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38"/>
      <c r="AY451" s="38"/>
      <c r="AZ451" s="38"/>
      <c r="BA451" s="38"/>
      <c r="BB451" s="38"/>
      <c r="BC451" s="38"/>
      <c r="BD451" s="38"/>
      <c r="BE451" s="38"/>
      <c r="BF451" s="38"/>
      <c r="BG451" s="38"/>
      <c r="BH451" s="38"/>
      <c r="BI451" s="38"/>
      <c r="BJ451" s="38"/>
      <c r="BK451" s="38"/>
      <c r="BL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38"/>
      <c r="AY452" s="38"/>
      <c r="AZ452" s="38"/>
      <c r="BA452" s="38"/>
      <c r="BB452" s="38"/>
      <c r="BC452" s="38"/>
      <c r="BD452" s="38"/>
      <c r="BE452" s="38"/>
      <c r="BF452" s="38"/>
      <c r="BG452" s="38"/>
      <c r="BH452" s="38"/>
      <c r="BI452" s="38"/>
      <c r="BJ452" s="38"/>
      <c r="BK452" s="38"/>
      <c r="BL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38"/>
      <c r="AY453" s="38"/>
      <c r="AZ453" s="38"/>
      <c r="BA453" s="38"/>
      <c r="BB453" s="38"/>
      <c r="BC453" s="38"/>
      <c r="BD453" s="38"/>
      <c r="BE453" s="38"/>
      <c r="BF453" s="38"/>
      <c r="BG453" s="38"/>
      <c r="BH453" s="38"/>
      <c r="BI453" s="38"/>
      <c r="BJ453" s="38"/>
      <c r="BK453" s="38"/>
      <c r="BL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38"/>
      <c r="AY454" s="38"/>
      <c r="AZ454" s="38"/>
      <c r="BA454" s="38"/>
      <c r="BB454" s="38"/>
      <c r="BC454" s="38"/>
      <c r="BD454" s="38"/>
      <c r="BE454" s="38"/>
      <c r="BF454" s="38"/>
      <c r="BG454" s="38"/>
      <c r="BH454" s="38"/>
      <c r="BI454" s="38"/>
      <c r="BJ454" s="38"/>
      <c r="BK454" s="38"/>
      <c r="BL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38"/>
      <c r="AY455" s="38"/>
      <c r="AZ455" s="38"/>
      <c r="BA455" s="38"/>
      <c r="BB455" s="38"/>
      <c r="BC455" s="38"/>
      <c r="BD455" s="38"/>
      <c r="BE455" s="38"/>
      <c r="BF455" s="38"/>
      <c r="BG455" s="38"/>
      <c r="BH455" s="38"/>
      <c r="BI455" s="38"/>
      <c r="BJ455" s="38"/>
      <c r="BK455" s="38"/>
      <c r="BL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38"/>
      <c r="AY456" s="38"/>
      <c r="AZ456" s="38"/>
      <c r="BA456" s="38"/>
      <c r="BB456" s="38"/>
      <c r="BC456" s="38"/>
      <c r="BD456" s="38"/>
      <c r="BE456" s="38"/>
      <c r="BF456" s="38"/>
      <c r="BG456" s="38"/>
      <c r="BH456" s="38"/>
      <c r="BI456" s="38"/>
      <c r="BJ456" s="38"/>
      <c r="BK456" s="38"/>
      <c r="BL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38"/>
      <c r="AY457" s="38"/>
      <c r="AZ457" s="38"/>
      <c r="BA457" s="38"/>
      <c r="BB457" s="38"/>
      <c r="BC457" s="38"/>
      <c r="BD457" s="38"/>
      <c r="BE457" s="38"/>
      <c r="BF457" s="38"/>
      <c r="BG457" s="38"/>
      <c r="BH457" s="38"/>
      <c r="BI457" s="38"/>
      <c r="BJ457" s="38"/>
      <c r="BK457" s="38"/>
      <c r="BL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38"/>
      <c r="AY458" s="38"/>
      <c r="AZ458" s="38"/>
      <c r="BA458" s="38"/>
      <c r="BB458" s="38"/>
      <c r="BC458" s="38"/>
      <c r="BD458" s="38"/>
      <c r="BE458" s="38"/>
      <c r="BF458" s="38"/>
      <c r="BG458" s="38"/>
      <c r="BH458" s="38"/>
      <c r="BI458" s="38"/>
      <c r="BJ458" s="38"/>
      <c r="BK458" s="38"/>
      <c r="BL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38"/>
      <c r="AY459" s="38"/>
      <c r="AZ459" s="38"/>
      <c r="BA459" s="38"/>
      <c r="BB459" s="38"/>
      <c r="BC459" s="38"/>
      <c r="BD459" s="38"/>
      <c r="BE459" s="38"/>
      <c r="BF459" s="38"/>
      <c r="BG459" s="38"/>
      <c r="BH459" s="38"/>
      <c r="BI459" s="38"/>
      <c r="BJ459" s="38"/>
      <c r="BK459" s="38"/>
      <c r="BL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38"/>
      <c r="AY460" s="38"/>
      <c r="AZ460" s="38"/>
      <c r="BA460" s="38"/>
      <c r="BB460" s="38"/>
      <c r="BC460" s="38"/>
      <c r="BD460" s="38"/>
      <c r="BE460" s="38"/>
      <c r="BF460" s="38"/>
      <c r="BG460" s="38"/>
      <c r="BH460" s="38"/>
      <c r="BI460" s="38"/>
      <c r="BJ460" s="38"/>
      <c r="BK460" s="38"/>
      <c r="BL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38"/>
      <c r="AY461" s="38"/>
      <c r="AZ461" s="38"/>
      <c r="BA461" s="38"/>
      <c r="BB461" s="38"/>
      <c r="BC461" s="38"/>
      <c r="BD461" s="38"/>
      <c r="BE461" s="38"/>
      <c r="BF461" s="38"/>
      <c r="BG461" s="38"/>
      <c r="BH461" s="38"/>
      <c r="BI461" s="38"/>
      <c r="BJ461" s="38"/>
      <c r="BK461" s="38"/>
      <c r="BL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38"/>
      <c r="AY462" s="38"/>
      <c r="AZ462" s="38"/>
      <c r="BA462" s="38"/>
      <c r="BB462" s="38"/>
      <c r="BC462" s="38"/>
      <c r="BD462" s="38"/>
      <c r="BE462" s="38"/>
      <c r="BF462" s="38"/>
      <c r="BG462" s="38"/>
      <c r="BH462" s="38"/>
      <c r="BI462" s="38"/>
      <c r="BJ462" s="38"/>
      <c r="BK462" s="38"/>
      <c r="BL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38"/>
      <c r="AY463" s="38"/>
      <c r="AZ463" s="38"/>
      <c r="BA463" s="38"/>
      <c r="BB463" s="38"/>
      <c r="BC463" s="38"/>
      <c r="BD463" s="38"/>
      <c r="BE463" s="38"/>
      <c r="BF463" s="38"/>
      <c r="BG463" s="38"/>
      <c r="BH463" s="38"/>
      <c r="BI463" s="38"/>
      <c r="BJ463" s="38"/>
      <c r="BK463" s="38"/>
      <c r="BL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38"/>
      <c r="AY464" s="38"/>
      <c r="AZ464" s="38"/>
      <c r="BA464" s="38"/>
      <c r="BB464" s="38"/>
      <c r="BC464" s="38"/>
      <c r="BD464" s="38"/>
      <c r="BE464" s="38"/>
      <c r="BF464" s="38"/>
      <c r="BG464" s="38"/>
      <c r="BH464" s="38"/>
      <c r="BI464" s="38"/>
      <c r="BJ464" s="38"/>
      <c r="BK464" s="38"/>
      <c r="BL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38"/>
      <c r="AY465" s="38"/>
      <c r="AZ465" s="38"/>
      <c r="BA465" s="38"/>
      <c r="BB465" s="38"/>
      <c r="BC465" s="38"/>
      <c r="BD465" s="38"/>
      <c r="BE465" s="38"/>
      <c r="BF465" s="38"/>
      <c r="BG465" s="38"/>
      <c r="BH465" s="38"/>
      <c r="BI465" s="38"/>
      <c r="BJ465" s="38"/>
      <c r="BK465" s="38"/>
      <c r="BL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38"/>
      <c r="AY466" s="38"/>
      <c r="AZ466" s="38"/>
      <c r="BA466" s="38"/>
      <c r="BB466" s="38"/>
      <c r="BC466" s="38"/>
      <c r="BD466" s="38"/>
      <c r="BE466" s="38"/>
      <c r="BF466" s="38"/>
      <c r="BG466" s="38"/>
      <c r="BH466" s="38"/>
      <c r="BI466" s="38"/>
      <c r="BJ466" s="38"/>
      <c r="BK466" s="38"/>
      <c r="BL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38"/>
      <c r="AY467" s="38"/>
      <c r="AZ467" s="38"/>
      <c r="BA467" s="38"/>
      <c r="BB467" s="38"/>
      <c r="BC467" s="38"/>
      <c r="BD467" s="38"/>
      <c r="BE467" s="38"/>
      <c r="BF467" s="38"/>
      <c r="BG467" s="38"/>
      <c r="BH467" s="38"/>
      <c r="BI467" s="38"/>
      <c r="BJ467" s="38"/>
      <c r="BK467" s="38"/>
      <c r="BL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38"/>
      <c r="AY468" s="38"/>
      <c r="AZ468" s="38"/>
      <c r="BA468" s="38"/>
      <c r="BB468" s="38"/>
      <c r="BC468" s="38"/>
      <c r="BD468" s="38"/>
      <c r="BE468" s="38"/>
      <c r="BF468" s="38"/>
      <c r="BG468" s="38"/>
      <c r="BH468" s="38"/>
      <c r="BI468" s="38"/>
      <c r="BJ468" s="38"/>
      <c r="BK468" s="38"/>
      <c r="BL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38"/>
      <c r="AY469" s="38"/>
      <c r="AZ469" s="38"/>
      <c r="BA469" s="38"/>
      <c r="BB469" s="38"/>
      <c r="BC469" s="38"/>
      <c r="BD469" s="38"/>
      <c r="BE469" s="38"/>
      <c r="BF469" s="38"/>
      <c r="BG469" s="38"/>
      <c r="BH469" s="38"/>
      <c r="BI469" s="38"/>
      <c r="BJ469" s="38"/>
      <c r="BK469" s="38"/>
      <c r="BL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38"/>
      <c r="AY470" s="38"/>
      <c r="AZ470" s="38"/>
      <c r="BA470" s="38"/>
      <c r="BB470" s="38"/>
      <c r="BC470" s="38"/>
      <c r="BD470" s="38"/>
      <c r="BE470" s="38"/>
      <c r="BF470" s="38"/>
      <c r="BG470" s="38"/>
      <c r="BH470" s="38"/>
      <c r="BI470" s="38"/>
      <c r="BJ470" s="38"/>
      <c r="BK470" s="38"/>
      <c r="BL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38"/>
      <c r="AY471" s="38"/>
      <c r="AZ471" s="38"/>
      <c r="BA471" s="38"/>
      <c r="BB471" s="38"/>
      <c r="BC471" s="38"/>
      <c r="BD471" s="38"/>
      <c r="BE471" s="38"/>
      <c r="BF471" s="38"/>
      <c r="BG471" s="38"/>
      <c r="BH471" s="38"/>
      <c r="BI471" s="38"/>
      <c r="BJ471" s="38"/>
      <c r="BK471" s="38"/>
      <c r="BL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38"/>
      <c r="AY472" s="38"/>
      <c r="AZ472" s="38"/>
      <c r="BA472" s="38"/>
      <c r="BB472" s="38"/>
      <c r="BC472" s="38"/>
      <c r="BD472" s="38"/>
      <c r="BE472" s="38"/>
      <c r="BF472" s="38"/>
      <c r="BG472" s="38"/>
      <c r="BH472" s="38"/>
      <c r="BI472" s="38"/>
      <c r="BJ472" s="38"/>
      <c r="BK472" s="38"/>
      <c r="BL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38"/>
      <c r="AY473" s="38"/>
      <c r="AZ473" s="38"/>
      <c r="BA473" s="38"/>
      <c r="BB473" s="38"/>
      <c r="BC473" s="38"/>
      <c r="BD473" s="38"/>
      <c r="BE473" s="38"/>
      <c r="BF473" s="38"/>
      <c r="BG473" s="38"/>
      <c r="BH473" s="38"/>
      <c r="BI473" s="38"/>
      <c r="BJ473" s="38"/>
      <c r="BK473" s="38"/>
      <c r="BL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38"/>
      <c r="AY474" s="38"/>
      <c r="AZ474" s="38"/>
      <c r="BA474" s="38"/>
      <c r="BB474" s="38"/>
      <c r="BC474" s="38"/>
      <c r="BD474" s="38"/>
      <c r="BE474" s="38"/>
      <c r="BF474" s="38"/>
      <c r="BG474" s="38"/>
      <c r="BH474" s="38"/>
      <c r="BI474" s="38"/>
      <c r="BJ474" s="38"/>
      <c r="BK474" s="38"/>
      <c r="BL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38"/>
      <c r="AY475" s="38"/>
      <c r="AZ475" s="38"/>
      <c r="BA475" s="38"/>
      <c r="BB475" s="38"/>
      <c r="BC475" s="38"/>
      <c r="BD475" s="38"/>
      <c r="BE475" s="38"/>
      <c r="BF475" s="38"/>
      <c r="BG475" s="38"/>
      <c r="BH475" s="38"/>
      <c r="BI475" s="38"/>
      <c r="BJ475" s="38"/>
      <c r="BK475" s="38"/>
      <c r="BL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38"/>
      <c r="AY476" s="38"/>
      <c r="AZ476" s="38"/>
      <c r="BA476" s="38"/>
      <c r="BB476" s="38"/>
      <c r="BC476" s="38"/>
      <c r="BD476" s="38"/>
      <c r="BE476" s="38"/>
      <c r="BF476" s="38"/>
      <c r="BG476" s="38"/>
      <c r="BH476" s="38"/>
      <c r="BI476" s="38"/>
      <c r="BJ476" s="38"/>
      <c r="BK476" s="38"/>
      <c r="BL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38"/>
      <c r="AY477" s="38"/>
      <c r="AZ477" s="38"/>
      <c r="BA477" s="38"/>
      <c r="BB477" s="38"/>
      <c r="BC477" s="38"/>
      <c r="BD477" s="38"/>
      <c r="BE477" s="38"/>
      <c r="BF477" s="38"/>
      <c r="BG477" s="38"/>
      <c r="BH477" s="38"/>
      <c r="BI477" s="38"/>
      <c r="BJ477" s="38"/>
      <c r="BK477" s="38"/>
      <c r="BL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38"/>
      <c r="AY478" s="38"/>
      <c r="AZ478" s="38"/>
      <c r="BA478" s="38"/>
      <c r="BB478" s="38"/>
      <c r="BC478" s="38"/>
      <c r="BD478" s="38"/>
      <c r="BE478" s="38"/>
      <c r="BF478" s="38"/>
      <c r="BG478" s="38"/>
      <c r="BH478" s="38"/>
      <c r="BI478" s="38"/>
      <c r="BJ478" s="38"/>
      <c r="BK478" s="38"/>
      <c r="BL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38"/>
      <c r="AY479" s="38"/>
      <c r="AZ479" s="38"/>
      <c r="BA479" s="38"/>
      <c r="BB479" s="38"/>
      <c r="BC479" s="38"/>
      <c r="BD479" s="38"/>
      <c r="BE479" s="38"/>
      <c r="BF479" s="38"/>
      <c r="BG479" s="38"/>
      <c r="BH479" s="38"/>
      <c r="BI479" s="38"/>
      <c r="BJ479" s="38"/>
      <c r="BK479" s="38"/>
      <c r="BL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38"/>
      <c r="AY480" s="38"/>
      <c r="AZ480" s="38"/>
      <c r="BA480" s="38"/>
      <c r="BB480" s="38"/>
      <c r="BC480" s="38"/>
      <c r="BD480" s="38"/>
      <c r="BE480" s="38"/>
      <c r="BF480" s="38"/>
      <c r="BG480" s="38"/>
      <c r="BH480" s="38"/>
      <c r="BI480" s="38"/>
      <c r="BJ480" s="38"/>
      <c r="BK480" s="38"/>
      <c r="BL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38"/>
      <c r="AY481" s="38"/>
      <c r="AZ481" s="38"/>
      <c r="BA481" s="38"/>
      <c r="BB481" s="38"/>
      <c r="BC481" s="38"/>
      <c r="BD481" s="38"/>
      <c r="BE481" s="38"/>
      <c r="BF481" s="38"/>
      <c r="BG481" s="38"/>
      <c r="BH481" s="38"/>
      <c r="BI481" s="38"/>
      <c r="BJ481" s="38"/>
      <c r="BK481" s="38"/>
      <c r="BL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38"/>
      <c r="AY482" s="38"/>
      <c r="AZ482" s="38"/>
      <c r="BA482" s="38"/>
      <c r="BB482" s="38"/>
      <c r="BC482" s="38"/>
      <c r="BD482" s="38"/>
      <c r="BE482" s="38"/>
      <c r="BF482" s="38"/>
      <c r="BG482" s="38"/>
      <c r="BH482" s="38"/>
      <c r="BI482" s="38"/>
      <c r="BJ482" s="38"/>
      <c r="BK482" s="38"/>
      <c r="BL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38"/>
      <c r="AY483" s="38"/>
      <c r="AZ483" s="38"/>
      <c r="BA483" s="38"/>
      <c r="BB483" s="38"/>
      <c r="BC483" s="38"/>
      <c r="BD483" s="38"/>
      <c r="BE483" s="38"/>
      <c r="BF483" s="38"/>
      <c r="BG483" s="38"/>
      <c r="BH483" s="38"/>
      <c r="BI483" s="38"/>
      <c r="BJ483" s="38"/>
      <c r="BK483" s="38"/>
      <c r="BL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38"/>
      <c r="AY484" s="38"/>
      <c r="AZ484" s="38"/>
      <c r="BA484" s="38"/>
      <c r="BB484" s="38"/>
      <c r="BC484" s="38"/>
      <c r="BD484" s="38"/>
      <c r="BE484" s="38"/>
      <c r="BF484" s="38"/>
      <c r="BG484" s="38"/>
      <c r="BH484" s="38"/>
      <c r="BI484" s="38"/>
      <c r="BJ484" s="38"/>
      <c r="BK484" s="38"/>
      <c r="BL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38"/>
      <c r="AY485" s="38"/>
      <c r="AZ485" s="38"/>
      <c r="BA485" s="38"/>
      <c r="BB485" s="38"/>
      <c r="BC485" s="38"/>
      <c r="BD485" s="38"/>
      <c r="BE485" s="38"/>
      <c r="BF485" s="38"/>
      <c r="BG485" s="38"/>
      <c r="BH485" s="38"/>
      <c r="BI485" s="38"/>
      <c r="BJ485" s="38"/>
      <c r="BK485" s="38"/>
      <c r="BL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38"/>
      <c r="AY486" s="38"/>
      <c r="AZ486" s="38"/>
      <c r="BA486" s="38"/>
      <c r="BB486" s="38"/>
      <c r="BC486" s="38"/>
      <c r="BD486" s="38"/>
      <c r="BE486" s="38"/>
      <c r="BF486" s="38"/>
      <c r="BG486" s="38"/>
      <c r="BH486" s="38"/>
      <c r="BI486" s="38"/>
      <c r="BJ486" s="38"/>
      <c r="BK486" s="38"/>
      <c r="BL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38"/>
      <c r="AY487" s="38"/>
      <c r="AZ487" s="38"/>
      <c r="BA487" s="38"/>
      <c r="BB487" s="38"/>
      <c r="BC487" s="38"/>
      <c r="BD487" s="38"/>
      <c r="BE487" s="38"/>
      <c r="BF487" s="38"/>
      <c r="BG487" s="38"/>
      <c r="BH487" s="38"/>
      <c r="BI487" s="38"/>
      <c r="BJ487" s="38"/>
      <c r="BK487" s="38"/>
      <c r="BL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38"/>
      <c r="AY488" s="38"/>
      <c r="AZ488" s="38"/>
      <c r="BA488" s="38"/>
      <c r="BB488" s="38"/>
      <c r="BC488" s="38"/>
      <c r="BD488" s="38"/>
      <c r="BE488" s="38"/>
      <c r="BF488" s="38"/>
      <c r="BG488" s="38"/>
      <c r="BH488" s="38"/>
      <c r="BI488" s="38"/>
      <c r="BJ488" s="38"/>
      <c r="BK488" s="38"/>
      <c r="BL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38"/>
      <c r="AY489" s="38"/>
      <c r="AZ489" s="38"/>
      <c r="BA489" s="38"/>
      <c r="BB489" s="38"/>
      <c r="BC489" s="38"/>
      <c r="BD489" s="38"/>
      <c r="BE489" s="38"/>
      <c r="BF489" s="38"/>
      <c r="BG489" s="38"/>
      <c r="BH489" s="38"/>
      <c r="BI489" s="38"/>
      <c r="BJ489" s="38"/>
      <c r="BK489" s="38"/>
      <c r="BL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38"/>
      <c r="AY490" s="38"/>
      <c r="AZ490" s="38"/>
      <c r="BA490" s="38"/>
      <c r="BB490" s="38"/>
      <c r="BC490" s="38"/>
      <c r="BD490" s="38"/>
      <c r="BE490" s="38"/>
      <c r="BF490" s="38"/>
      <c r="BG490" s="38"/>
      <c r="BH490" s="38"/>
      <c r="BI490" s="38"/>
      <c r="BJ490" s="38"/>
      <c r="BK490" s="38"/>
      <c r="BL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38"/>
      <c r="AY491" s="38"/>
      <c r="AZ491" s="38"/>
      <c r="BA491" s="38"/>
      <c r="BB491" s="38"/>
      <c r="BC491" s="38"/>
      <c r="BD491" s="38"/>
      <c r="BE491" s="38"/>
      <c r="BF491" s="38"/>
      <c r="BG491" s="38"/>
      <c r="BH491" s="38"/>
      <c r="BI491" s="38"/>
      <c r="BJ491" s="38"/>
      <c r="BK491" s="38"/>
      <c r="BL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38"/>
      <c r="AY492" s="38"/>
      <c r="AZ492" s="38"/>
      <c r="BA492" s="38"/>
      <c r="BB492" s="38"/>
      <c r="BC492" s="38"/>
      <c r="BD492" s="38"/>
      <c r="BE492" s="38"/>
      <c r="BF492" s="38"/>
      <c r="BG492" s="38"/>
      <c r="BH492" s="38"/>
      <c r="BI492" s="38"/>
      <c r="BJ492" s="38"/>
      <c r="BK492" s="38"/>
      <c r="BL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38"/>
      <c r="AY493" s="38"/>
      <c r="AZ493" s="38"/>
      <c r="BA493" s="38"/>
      <c r="BB493" s="38"/>
      <c r="BC493" s="38"/>
      <c r="BD493" s="38"/>
      <c r="BE493" s="38"/>
      <c r="BF493" s="38"/>
      <c r="BG493" s="38"/>
      <c r="BH493" s="38"/>
      <c r="BI493" s="38"/>
      <c r="BJ493" s="38"/>
      <c r="BK493" s="38"/>
      <c r="BL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38"/>
      <c r="AY494" s="38"/>
      <c r="AZ494" s="38"/>
      <c r="BA494" s="38"/>
      <c r="BB494" s="38"/>
      <c r="BC494" s="38"/>
      <c r="BD494" s="38"/>
      <c r="BE494" s="38"/>
      <c r="BF494" s="38"/>
      <c r="BG494" s="38"/>
      <c r="BH494" s="38"/>
      <c r="BI494" s="38"/>
      <c r="BJ494" s="38"/>
      <c r="BK494" s="38"/>
      <c r="BL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38"/>
      <c r="AY495" s="38"/>
      <c r="AZ495" s="38"/>
      <c r="BA495" s="38"/>
      <c r="BB495" s="38"/>
      <c r="BC495" s="38"/>
      <c r="BD495" s="38"/>
      <c r="BE495" s="38"/>
      <c r="BF495" s="38"/>
      <c r="BG495" s="38"/>
      <c r="BH495" s="38"/>
      <c r="BI495" s="38"/>
      <c r="BJ495" s="38"/>
      <c r="BK495" s="38"/>
      <c r="BL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38"/>
      <c r="AY496" s="38"/>
      <c r="AZ496" s="38"/>
      <c r="BA496" s="38"/>
      <c r="BB496" s="38"/>
      <c r="BC496" s="38"/>
      <c r="BD496" s="38"/>
      <c r="BE496" s="38"/>
      <c r="BF496" s="38"/>
      <c r="BG496" s="38"/>
      <c r="BH496" s="38"/>
      <c r="BI496" s="38"/>
      <c r="BJ496" s="38"/>
      <c r="BK496" s="38"/>
      <c r="BL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38"/>
      <c r="AY497" s="38"/>
      <c r="AZ497" s="38"/>
      <c r="BA497" s="38"/>
      <c r="BB497" s="38"/>
      <c r="BC497" s="38"/>
      <c r="BD497" s="38"/>
      <c r="BE497" s="38"/>
      <c r="BF497" s="38"/>
      <c r="BG497" s="38"/>
      <c r="BH497" s="38"/>
      <c r="BI497" s="38"/>
      <c r="BJ497" s="38"/>
      <c r="BK497" s="38"/>
      <c r="BL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c r="BK498" s="38"/>
      <c r="BL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c r="BK499" s="38"/>
      <c r="BL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c r="BK500" s="38"/>
      <c r="BL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c r="BK501" s="38"/>
      <c r="BL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c r="BK502" s="38"/>
      <c r="BL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c r="BK503" s="38"/>
      <c r="BL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c r="BK504" s="38"/>
      <c r="BL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c r="BK505" s="38"/>
      <c r="BL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c r="BK506" s="38"/>
      <c r="BL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c r="BK507" s="38"/>
      <c r="BL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c r="BK508" s="38"/>
      <c r="BL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c r="BK509" s="38"/>
      <c r="BL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c r="BK510" s="38"/>
      <c r="BL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c r="BK511" s="38"/>
      <c r="BL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c r="BK512" s="38"/>
      <c r="BL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c r="BK513" s="38"/>
      <c r="BL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c r="BK514" s="38"/>
      <c r="BL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c r="BK515" s="38"/>
      <c r="BL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c r="BK516" s="38"/>
      <c r="BL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c r="BK517" s="38"/>
      <c r="BL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c r="BK518" s="38"/>
      <c r="BL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c r="BK519" s="38"/>
      <c r="BL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c r="BK520" s="38"/>
      <c r="BL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c r="BK521" s="38"/>
      <c r="BL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c r="BK522" s="38"/>
      <c r="BL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c r="BK523" s="38"/>
      <c r="BL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c r="BK524" s="38"/>
      <c r="BL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c r="BK525" s="38"/>
      <c r="BL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c r="BK526" s="38"/>
      <c r="BL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c r="BK527" s="38"/>
      <c r="BL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c r="BK528" s="38"/>
      <c r="BL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c r="BK529" s="38"/>
      <c r="BL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c r="BK530" s="38"/>
      <c r="BL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c r="BK531" s="38"/>
      <c r="BL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c r="BK532" s="38"/>
      <c r="BL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c r="BK533" s="38"/>
      <c r="BL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c r="BK534" s="38"/>
      <c r="BL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c r="BK535" s="38"/>
      <c r="BL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c r="BK536" s="38"/>
      <c r="BL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c r="BK537" s="38"/>
      <c r="BL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c r="BK538" s="38"/>
      <c r="BL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c r="BK539" s="38"/>
      <c r="BL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c r="BK540" s="38"/>
      <c r="BL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c r="BK541" s="38"/>
      <c r="BL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c r="BK542" s="38"/>
      <c r="BL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c r="BK543" s="38"/>
      <c r="BL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c r="BK544" s="38"/>
      <c r="BL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c r="BK545" s="38"/>
      <c r="BL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c r="BK546" s="38"/>
      <c r="BL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c r="BK547" s="38"/>
      <c r="BL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c r="BK548" s="38"/>
      <c r="BL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c r="BK549" s="38"/>
      <c r="BL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c r="BK550" s="38"/>
      <c r="BL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c r="BK551" s="38"/>
      <c r="BL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c r="BK552" s="38"/>
      <c r="BL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c r="BK553" s="38"/>
      <c r="BL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c r="BK554" s="38"/>
      <c r="BL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c r="BK555" s="38"/>
      <c r="BL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c r="BK556" s="38"/>
      <c r="BL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c r="BK557" s="38"/>
      <c r="BL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c r="BK558" s="38"/>
      <c r="BL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c r="BK559" s="38"/>
      <c r="BL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c r="BK560" s="38"/>
      <c r="BL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c r="BK561" s="38"/>
      <c r="BL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c r="BK562" s="38"/>
      <c r="BL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c r="BK563" s="38"/>
      <c r="BL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c r="BK564" s="38"/>
      <c r="BL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c r="BK565" s="38"/>
      <c r="BL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c r="BK566" s="38"/>
      <c r="BL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c r="BK567" s="38"/>
      <c r="BL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c r="BK568" s="38"/>
      <c r="BL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c r="BK569" s="38"/>
      <c r="BL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c r="BK570" s="38"/>
      <c r="BL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c r="BK571" s="38"/>
      <c r="BL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c r="BK572" s="38"/>
      <c r="BL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c r="BK573" s="38"/>
      <c r="BL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c r="BK574" s="38"/>
      <c r="BL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c r="BK575" s="38"/>
      <c r="BL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c r="BK576" s="38"/>
      <c r="BL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c r="BK577" s="38"/>
      <c r="BL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c r="BK578" s="38"/>
      <c r="BL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c r="BK579" s="38"/>
      <c r="BL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c r="BK580" s="38"/>
      <c r="BL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c r="BK581" s="38"/>
      <c r="BL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c r="BK582" s="38"/>
      <c r="BL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c r="BK583" s="38"/>
      <c r="BL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c r="BK584" s="38"/>
      <c r="BL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c r="BK585" s="38"/>
      <c r="BL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c r="BK586" s="38"/>
      <c r="BL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c r="BK587" s="38"/>
      <c r="BL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c r="BK588" s="38"/>
      <c r="BL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c r="BK589" s="38"/>
      <c r="BL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c r="BK590" s="38"/>
      <c r="BL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c r="BK591" s="38"/>
      <c r="BL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c r="BK592" s="38"/>
      <c r="BL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c r="BK593" s="38"/>
      <c r="BL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c r="BK594" s="38"/>
      <c r="BL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c r="BK595" s="38"/>
      <c r="BL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c r="BK596" s="38"/>
      <c r="BL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c r="BK597" s="38"/>
      <c r="BL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c r="BK598" s="38"/>
      <c r="BL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c r="BK599" s="38"/>
      <c r="BL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c r="BK600" s="38"/>
      <c r="BL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c r="BK601" s="38"/>
      <c r="BL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c r="BK602" s="38"/>
      <c r="BL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c r="BK603" s="38"/>
      <c r="BL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c r="BK604" s="38"/>
      <c r="BL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c r="BK605" s="38"/>
      <c r="BL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c r="BK606" s="38"/>
      <c r="BL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c r="BK607" s="38"/>
      <c r="BL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c r="BK608" s="38"/>
      <c r="BL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c r="BK609" s="38"/>
      <c r="BL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c r="BK610" s="38"/>
      <c r="BL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c r="BK611" s="38"/>
      <c r="BL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c r="BK612" s="38"/>
      <c r="BL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c r="BK613" s="38"/>
      <c r="BL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c r="BK614" s="38"/>
      <c r="BL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c r="BK615" s="38"/>
      <c r="BL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c r="BK616" s="38"/>
      <c r="BL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c r="BK617" s="38"/>
      <c r="BL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c r="BK618" s="38"/>
      <c r="BL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c r="BK619" s="38"/>
      <c r="BL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c r="BK620" s="38"/>
      <c r="BL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c r="BK621" s="38"/>
      <c r="BL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c r="BK622" s="38"/>
      <c r="BL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c r="BK623" s="38"/>
      <c r="BL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c r="BK624" s="38"/>
      <c r="BL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c r="BK625" s="38"/>
      <c r="BL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c r="BK626" s="38"/>
      <c r="BL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c r="BK627" s="38"/>
      <c r="BL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c r="BK628" s="38"/>
      <c r="BL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c r="BK629" s="38"/>
      <c r="BL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c r="BK630" s="38"/>
      <c r="BL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c r="BK631" s="38"/>
      <c r="BL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c r="BK632" s="38"/>
      <c r="BL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c r="BK633" s="38"/>
      <c r="BL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c r="BK634" s="38"/>
      <c r="BL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c r="BK635" s="38"/>
      <c r="BL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c r="BK636" s="38"/>
      <c r="BL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c r="BK637" s="38"/>
      <c r="BL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c r="BK638" s="38"/>
      <c r="BL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c r="BK639" s="38"/>
      <c r="BL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c r="BK640" s="38"/>
      <c r="BL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c r="BK641" s="38"/>
      <c r="BL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c r="BK642" s="38"/>
      <c r="BL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c r="BK643" s="38"/>
      <c r="BL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c r="BK644" s="38"/>
      <c r="BL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c r="BK645" s="38"/>
      <c r="BL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c r="BK646" s="38"/>
      <c r="BL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c r="BK647" s="38"/>
      <c r="BL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c r="BK648" s="38"/>
      <c r="BL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c r="BK649" s="38"/>
      <c r="BL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c r="BK650" s="38"/>
      <c r="BL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c r="BK651" s="38"/>
      <c r="BL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c r="BK652" s="38"/>
      <c r="BL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c r="BK653" s="38"/>
      <c r="BL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c r="BK654" s="38"/>
      <c r="BL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c r="BK655" s="38"/>
      <c r="BL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c r="BK656" s="38"/>
      <c r="BL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c r="BK657" s="38"/>
      <c r="BL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c r="BK658" s="38"/>
      <c r="BL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c r="BK659" s="38"/>
      <c r="BL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c r="BK660" s="38"/>
      <c r="BL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c r="BK661" s="38"/>
      <c r="BL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c r="BK662" s="38"/>
      <c r="BL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c r="BK663" s="38"/>
      <c r="BL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c r="BK664" s="38"/>
      <c r="BL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c r="BK665" s="38"/>
      <c r="BL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c r="BK666" s="38"/>
      <c r="BL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c r="BK667" s="38"/>
      <c r="BL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c r="BK668" s="38"/>
      <c r="BL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c r="BK669" s="38"/>
      <c r="BL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c r="BK670" s="38"/>
      <c r="BL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c r="BK671" s="38"/>
      <c r="BL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c r="BK672" s="38"/>
      <c r="BL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c r="BK673" s="38"/>
      <c r="BL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c r="BK674" s="38"/>
      <c r="BL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c r="BK675" s="38"/>
      <c r="BL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c r="BK676" s="38"/>
      <c r="BL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c r="BK677" s="38"/>
      <c r="BL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c r="BK678" s="38"/>
      <c r="BL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c r="BK679" s="38"/>
      <c r="BL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c r="BK680" s="38"/>
      <c r="BL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c r="BK681" s="38"/>
      <c r="BL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c r="BK682" s="38"/>
      <c r="BL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c r="BK683" s="38"/>
      <c r="BL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c r="BK684" s="38"/>
      <c r="BL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c r="BK685" s="38"/>
      <c r="BL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c r="BK686" s="38"/>
      <c r="BL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c r="BK687" s="38"/>
      <c r="BL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c r="BK688" s="38"/>
      <c r="BL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c r="BK689" s="38"/>
      <c r="BL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c r="BK690" s="38"/>
      <c r="BL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c r="BK691" s="38"/>
      <c r="BL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c r="BK692" s="38"/>
      <c r="BL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c r="BK693" s="38"/>
      <c r="BL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c r="BK694" s="38"/>
      <c r="BL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c r="BK695" s="38"/>
      <c r="BL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c r="BK696" s="38"/>
      <c r="BL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c r="BK697" s="38"/>
      <c r="BL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c r="BK698" s="38"/>
      <c r="BL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c r="BK699" s="38"/>
      <c r="BL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c r="BK700" s="38"/>
      <c r="BL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38"/>
      <c r="AY701" s="38"/>
      <c r="AZ701" s="38"/>
      <c r="BA701" s="38"/>
      <c r="BB701" s="38"/>
      <c r="BC701" s="38"/>
      <c r="BD701" s="38"/>
      <c r="BE701" s="38"/>
      <c r="BF701" s="38"/>
      <c r="BG701" s="38"/>
      <c r="BH701" s="38"/>
      <c r="BI701" s="38"/>
      <c r="BJ701" s="38"/>
      <c r="BK701" s="38"/>
      <c r="BL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38"/>
      <c r="AY702" s="38"/>
      <c r="AZ702" s="38"/>
      <c r="BA702" s="38"/>
      <c r="BB702" s="38"/>
      <c r="BC702" s="38"/>
      <c r="BD702" s="38"/>
      <c r="BE702" s="38"/>
      <c r="BF702" s="38"/>
      <c r="BG702" s="38"/>
      <c r="BH702" s="38"/>
      <c r="BI702" s="38"/>
      <c r="BJ702" s="38"/>
      <c r="BK702" s="38"/>
      <c r="BL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38"/>
      <c r="AY703" s="38"/>
      <c r="AZ703" s="38"/>
      <c r="BA703" s="38"/>
      <c r="BB703" s="38"/>
      <c r="BC703" s="38"/>
      <c r="BD703" s="38"/>
      <c r="BE703" s="38"/>
      <c r="BF703" s="38"/>
      <c r="BG703" s="38"/>
      <c r="BH703" s="38"/>
      <c r="BI703" s="38"/>
      <c r="BJ703" s="38"/>
      <c r="BK703" s="38"/>
      <c r="BL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38"/>
      <c r="AY704" s="38"/>
      <c r="AZ704" s="38"/>
      <c r="BA704" s="38"/>
      <c r="BB704" s="38"/>
      <c r="BC704" s="38"/>
      <c r="BD704" s="38"/>
      <c r="BE704" s="38"/>
      <c r="BF704" s="38"/>
      <c r="BG704" s="38"/>
      <c r="BH704" s="38"/>
      <c r="BI704" s="38"/>
      <c r="BJ704" s="38"/>
      <c r="BK704" s="38"/>
      <c r="BL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38"/>
      <c r="AY705" s="38"/>
      <c r="AZ705" s="38"/>
      <c r="BA705" s="38"/>
      <c r="BB705" s="38"/>
      <c r="BC705" s="38"/>
      <c r="BD705" s="38"/>
      <c r="BE705" s="38"/>
      <c r="BF705" s="38"/>
      <c r="BG705" s="38"/>
      <c r="BH705" s="38"/>
      <c r="BI705" s="38"/>
      <c r="BJ705" s="38"/>
      <c r="BK705" s="38"/>
      <c r="BL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38"/>
      <c r="AY706" s="38"/>
      <c r="AZ706" s="38"/>
      <c r="BA706" s="38"/>
      <c r="BB706" s="38"/>
      <c r="BC706" s="38"/>
      <c r="BD706" s="38"/>
      <c r="BE706" s="38"/>
      <c r="BF706" s="38"/>
      <c r="BG706" s="38"/>
      <c r="BH706" s="38"/>
      <c r="BI706" s="38"/>
      <c r="BJ706" s="38"/>
      <c r="BK706" s="38"/>
      <c r="BL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38"/>
      <c r="AY707" s="38"/>
      <c r="AZ707" s="38"/>
      <c r="BA707" s="38"/>
      <c r="BB707" s="38"/>
      <c r="BC707" s="38"/>
      <c r="BD707" s="38"/>
      <c r="BE707" s="38"/>
      <c r="BF707" s="38"/>
      <c r="BG707" s="38"/>
      <c r="BH707" s="38"/>
      <c r="BI707" s="38"/>
      <c r="BJ707" s="38"/>
      <c r="BK707" s="38"/>
      <c r="BL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38"/>
      <c r="AY708" s="38"/>
      <c r="AZ708" s="38"/>
      <c r="BA708" s="38"/>
      <c r="BB708" s="38"/>
      <c r="BC708" s="38"/>
      <c r="BD708" s="38"/>
      <c r="BE708" s="38"/>
      <c r="BF708" s="38"/>
      <c r="BG708" s="38"/>
      <c r="BH708" s="38"/>
      <c r="BI708" s="38"/>
      <c r="BJ708" s="38"/>
      <c r="BK708" s="38"/>
      <c r="BL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38"/>
      <c r="AY709" s="38"/>
      <c r="AZ709" s="38"/>
      <c r="BA709" s="38"/>
      <c r="BB709" s="38"/>
      <c r="BC709" s="38"/>
      <c r="BD709" s="38"/>
      <c r="BE709" s="38"/>
      <c r="BF709" s="38"/>
      <c r="BG709" s="38"/>
      <c r="BH709" s="38"/>
      <c r="BI709" s="38"/>
      <c r="BJ709" s="38"/>
      <c r="BK709" s="38"/>
      <c r="BL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38"/>
      <c r="AY710" s="38"/>
      <c r="AZ710" s="38"/>
      <c r="BA710" s="38"/>
      <c r="BB710" s="38"/>
      <c r="BC710" s="38"/>
      <c r="BD710" s="38"/>
      <c r="BE710" s="38"/>
      <c r="BF710" s="38"/>
      <c r="BG710" s="38"/>
      <c r="BH710" s="38"/>
      <c r="BI710" s="38"/>
      <c r="BJ710" s="38"/>
      <c r="BK710" s="38"/>
      <c r="BL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38"/>
      <c r="AY711" s="38"/>
      <c r="AZ711" s="38"/>
      <c r="BA711" s="38"/>
      <c r="BB711" s="38"/>
      <c r="BC711" s="38"/>
      <c r="BD711" s="38"/>
      <c r="BE711" s="38"/>
      <c r="BF711" s="38"/>
      <c r="BG711" s="38"/>
      <c r="BH711" s="38"/>
      <c r="BI711" s="38"/>
      <c r="BJ711" s="38"/>
      <c r="BK711" s="38"/>
      <c r="BL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38"/>
      <c r="AY712" s="38"/>
      <c r="AZ712" s="38"/>
      <c r="BA712" s="38"/>
      <c r="BB712" s="38"/>
      <c r="BC712" s="38"/>
      <c r="BD712" s="38"/>
      <c r="BE712" s="38"/>
      <c r="BF712" s="38"/>
      <c r="BG712" s="38"/>
      <c r="BH712" s="38"/>
      <c r="BI712" s="38"/>
      <c r="BJ712" s="38"/>
      <c r="BK712" s="38"/>
      <c r="BL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38"/>
      <c r="AY713" s="38"/>
      <c r="AZ713" s="38"/>
      <c r="BA713" s="38"/>
      <c r="BB713" s="38"/>
      <c r="BC713" s="38"/>
      <c r="BD713" s="38"/>
      <c r="BE713" s="38"/>
      <c r="BF713" s="38"/>
      <c r="BG713" s="38"/>
      <c r="BH713" s="38"/>
      <c r="BI713" s="38"/>
      <c r="BJ713" s="38"/>
      <c r="BK713" s="38"/>
      <c r="BL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38"/>
      <c r="AY714" s="38"/>
      <c r="AZ714" s="38"/>
      <c r="BA714" s="38"/>
      <c r="BB714" s="38"/>
      <c r="BC714" s="38"/>
      <c r="BD714" s="38"/>
      <c r="BE714" s="38"/>
      <c r="BF714" s="38"/>
      <c r="BG714" s="38"/>
      <c r="BH714" s="38"/>
      <c r="BI714" s="38"/>
      <c r="BJ714" s="38"/>
      <c r="BK714" s="38"/>
      <c r="BL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38"/>
      <c r="AY715" s="38"/>
      <c r="AZ715" s="38"/>
      <c r="BA715" s="38"/>
      <c r="BB715" s="38"/>
      <c r="BC715" s="38"/>
      <c r="BD715" s="38"/>
      <c r="BE715" s="38"/>
      <c r="BF715" s="38"/>
      <c r="BG715" s="38"/>
      <c r="BH715" s="38"/>
      <c r="BI715" s="38"/>
      <c r="BJ715" s="38"/>
      <c r="BK715" s="38"/>
      <c r="BL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38"/>
      <c r="AY716" s="38"/>
      <c r="AZ716" s="38"/>
      <c r="BA716" s="38"/>
      <c r="BB716" s="38"/>
      <c r="BC716" s="38"/>
      <c r="BD716" s="38"/>
      <c r="BE716" s="38"/>
      <c r="BF716" s="38"/>
      <c r="BG716" s="38"/>
      <c r="BH716" s="38"/>
      <c r="BI716" s="38"/>
      <c r="BJ716" s="38"/>
      <c r="BK716" s="38"/>
      <c r="BL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38"/>
      <c r="AY717" s="38"/>
      <c r="AZ717" s="38"/>
      <c r="BA717" s="38"/>
      <c r="BB717" s="38"/>
      <c r="BC717" s="38"/>
      <c r="BD717" s="38"/>
      <c r="BE717" s="38"/>
      <c r="BF717" s="38"/>
      <c r="BG717" s="38"/>
      <c r="BH717" s="38"/>
      <c r="BI717" s="38"/>
      <c r="BJ717" s="38"/>
      <c r="BK717" s="38"/>
      <c r="BL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38"/>
      <c r="AY718" s="38"/>
      <c r="AZ718" s="38"/>
      <c r="BA718" s="38"/>
      <c r="BB718" s="38"/>
      <c r="BC718" s="38"/>
      <c r="BD718" s="38"/>
      <c r="BE718" s="38"/>
      <c r="BF718" s="38"/>
      <c r="BG718" s="38"/>
      <c r="BH718" s="38"/>
      <c r="BI718" s="38"/>
      <c r="BJ718" s="38"/>
      <c r="BK718" s="38"/>
      <c r="BL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38"/>
      <c r="AY719" s="38"/>
      <c r="AZ719" s="38"/>
      <c r="BA719" s="38"/>
      <c r="BB719" s="38"/>
      <c r="BC719" s="38"/>
      <c r="BD719" s="38"/>
      <c r="BE719" s="38"/>
      <c r="BF719" s="38"/>
      <c r="BG719" s="38"/>
      <c r="BH719" s="38"/>
      <c r="BI719" s="38"/>
      <c r="BJ719" s="38"/>
      <c r="BK719" s="38"/>
      <c r="BL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38"/>
      <c r="AY720" s="38"/>
      <c r="AZ720" s="38"/>
      <c r="BA720" s="38"/>
      <c r="BB720" s="38"/>
      <c r="BC720" s="38"/>
      <c r="BD720" s="38"/>
      <c r="BE720" s="38"/>
      <c r="BF720" s="38"/>
      <c r="BG720" s="38"/>
      <c r="BH720" s="38"/>
      <c r="BI720" s="38"/>
      <c r="BJ720" s="38"/>
      <c r="BK720" s="38"/>
      <c r="BL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38"/>
      <c r="AY721" s="38"/>
      <c r="AZ721" s="38"/>
      <c r="BA721" s="38"/>
      <c r="BB721" s="38"/>
      <c r="BC721" s="38"/>
      <c r="BD721" s="38"/>
      <c r="BE721" s="38"/>
      <c r="BF721" s="38"/>
      <c r="BG721" s="38"/>
      <c r="BH721" s="38"/>
      <c r="BI721" s="38"/>
      <c r="BJ721" s="38"/>
      <c r="BK721" s="38"/>
      <c r="BL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38"/>
      <c r="AY722" s="38"/>
      <c r="AZ722" s="38"/>
      <c r="BA722" s="38"/>
      <c r="BB722" s="38"/>
      <c r="BC722" s="38"/>
      <c r="BD722" s="38"/>
      <c r="BE722" s="38"/>
      <c r="BF722" s="38"/>
      <c r="BG722" s="38"/>
      <c r="BH722" s="38"/>
      <c r="BI722" s="38"/>
      <c r="BJ722" s="38"/>
      <c r="BK722" s="38"/>
      <c r="BL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38"/>
      <c r="AY723" s="38"/>
      <c r="AZ723" s="38"/>
      <c r="BA723" s="38"/>
      <c r="BB723" s="38"/>
      <c r="BC723" s="38"/>
      <c r="BD723" s="38"/>
      <c r="BE723" s="38"/>
      <c r="BF723" s="38"/>
      <c r="BG723" s="38"/>
      <c r="BH723" s="38"/>
      <c r="BI723" s="38"/>
      <c r="BJ723" s="38"/>
      <c r="BK723" s="38"/>
      <c r="BL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38"/>
      <c r="AY724" s="38"/>
      <c r="AZ724" s="38"/>
      <c r="BA724" s="38"/>
      <c r="BB724" s="38"/>
      <c r="BC724" s="38"/>
      <c r="BD724" s="38"/>
      <c r="BE724" s="38"/>
      <c r="BF724" s="38"/>
      <c r="BG724" s="38"/>
      <c r="BH724" s="38"/>
      <c r="BI724" s="38"/>
      <c r="BJ724" s="38"/>
      <c r="BK724" s="38"/>
      <c r="BL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38"/>
      <c r="AY725" s="38"/>
      <c r="AZ725" s="38"/>
      <c r="BA725" s="38"/>
      <c r="BB725" s="38"/>
      <c r="BC725" s="38"/>
      <c r="BD725" s="38"/>
      <c r="BE725" s="38"/>
      <c r="BF725" s="38"/>
      <c r="BG725" s="38"/>
      <c r="BH725" s="38"/>
      <c r="BI725" s="38"/>
      <c r="BJ725" s="38"/>
      <c r="BK725" s="38"/>
      <c r="BL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38"/>
      <c r="AY726" s="38"/>
      <c r="AZ726" s="38"/>
      <c r="BA726" s="38"/>
      <c r="BB726" s="38"/>
      <c r="BC726" s="38"/>
      <c r="BD726" s="38"/>
      <c r="BE726" s="38"/>
      <c r="BF726" s="38"/>
      <c r="BG726" s="38"/>
      <c r="BH726" s="38"/>
      <c r="BI726" s="38"/>
      <c r="BJ726" s="38"/>
      <c r="BK726" s="38"/>
      <c r="BL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38"/>
      <c r="AY727" s="38"/>
      <c r="AZ727" s="38"/>
      <c r="BA727" s="38"/>
      <c r="BB727" s="38"/>
      <c r="BC727" s="38"/>
      <c r="BD727" s="38"/>
      <c r="BE727" s="38"/>
      <c r="BF727" s="38"/>
      <c r="BG727" s="38"/>
      <c r="BH727" s="38"/>
      <c r="BI727" s="38"/>
      <c r="BJ727" s="38"/>
      <c r="BK727" s="38"/>
      <c r="BL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38"/>
      <c r="AY728" s="38"/>
      <c r="AZ728" s="38"/>
      <c r="BA728" s="38"/>
      <c r="BB728" s="38"/>
      <c r="BC728" s="38"/>
      <c r="BD728" s="38"/>
      <c r="BE728" s="38"/>
      <c r="BF728" s="38"/>
      <c r="BG728" s="38"/>
      <c r="BH728" s="38"/>
      <c r="BI728" s="38"/>
      <c r="BJ728" s="38"/>
      <c r="BK728" s="38"/>
      <c r="BL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38"/>
      <c r="AY729" s="38"/>
      <c r="AZ729" s="38"/>
      <c r="BA729" s="38"/>
      <c r="BB729" s="38"/>
      <c r="BC729" s="38"/>
      <c r="BD729" s="38"/>
      <c r="BE729" s="38"/>
      <c r="BF729" s="38"/>
      <c r="BG729" s="38"/>
      <c r="BH729" s="38"/>
      <c r="BI729" s="38"/>
      <c r="BJ729" s="38"/>
      <c r="BK729" s="38"/>
      <c r="BL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38"/>
      <c r="AY730" s="38"/>
      <c r="AZ730" s="38"/>
      <c r="BA730" s="38"/>
      <c r="BB730" s="38"/>
      <c r="BC730" s="38"/>
      <c r="BD730" s="38"/>
      <c r="BE730" s="38"/>
      <c r="BF730" s="38"/>
      <c r="BG730" s="38"/>
      <c r="BH730" s="38"/>
      <c r="BI730" s="38"/>
      <c r="BJ730" s="38"/>
      <c r="BK730" s="38"/>
      <c r="BL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38"/>
      <c r="AY731" s="38"/>
      <c r="AZ731" s="38"/>
      <c r="BA731" s="38"/>
      <c r="BB731" s="38"/>
      <c r="BC731" s="38"/>
      <c r="BD731" s="38"/>
      <c r="BE731" s="38"/>
      <c r="BF731" s="38"/>
      <c r="BG731" s="38"/>
      <c r="BH731" s="38"/>
      <c r="BI731" s="38"/>
      <c r="BJ731" s="38"/>
      <c r="BK731" s="38"/>
      <c r="BL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38"/>
      <c r="AY732" s="38"/>
      <c r="AZ732" s="38"/>
      <c r="BA732" s="38"/>
      <c r="BB732" s="38"/>
      <c r="BC732" s="38"/>
      <c r="BD732" s="38"/>
      <c r="BE732" s="38"/>
      <c r="BF732" s="38"/>
      <c r="BG732" s="38"/>
      <c r="BH732" s="38"/>
      <c r="BI732" s="38"/>
      <c r="BJ732" s="38"/>
      <c r="BK732" s="38"/>
      <c r="BL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38"/>
      <c r="AY733" s="38"/>
      <c r="AZ733" s="38"/>
      <c r="BA733" s="38"/>
      <c r="BB733" s="38"/>
      <c r="BC733" s="38"/>
      <c r="BD733" s="38"/>
      <c r="BE733" s="38"/>
      <c r="BF733" s="38"/>
      <c r="BG733" s="38"/>
      <c r="BH733" s="38"/>
      <c r="BI733" s="38"/>
      <c r="BJ733" s="38"/>
      <c r="BK733" s="38"/>
      <c r="BL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38"/>
      <c r="AY734" s="38"/>
      <c r="AZ734" s="38"/>
      <c r="BA734" s="38"/>
      <c r="BB734" s="38"/>
      <c r="BC734" s="38"/>
      <c r="BD734" s="38"/>
      <c r="BE734" s="38"/>
      <c r="BF734" s="38"/>
      <c r="BG734" s="38"/>
      <c r="BH734" s="38"/>
      <c r="BI734" s="38"/>
      <c r="BJ734" s="38"/>
      <c r="BK734" s="38"/>
      <c r="BL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38"/>
      <c r="AY735" s="38"/>
      <c r="AZ735" s="38"/>
      <c r="BA735" s="38"/>
      <c r="BB735" s="38"/>
      <c r="BC735" s="38"/>
      <c r="BD735" s="38"/>
      <c r="BE735" s="38"/>
      <c r="BF735" s="38"/>
      <c r="BG735" s="38"/>
      <c r="BH735" s="38"/>
      <c r="BI735" s="38"/>
      <c r="BJ735" s="38"/>
      <c r="BK735" s="38"/>
      <c r="BL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38"/>
      <c r="AY736" s="38"/>
      <c r="AZ736" s="38"/>
      <c r="BA736" s="38"/>
      <c r="BB736" s="38"/>
      <c r="BC736" s="38"/>
      <c r="BD736" s="38"/>
      <c r="BE736" s="38"/>
      <c r="BF736" s="38"/>
      <c r="BG736" s="38"/>
      <c r="BH736" s="38"/>
      <c r="BI736" s="38"/>
      <c r="BJ736" s="38"/>
      <c r="BK736" s="38"/>
      <c r="BL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38"/>
      <c r="AY737" s="38"/>
      <c r="AZ737" s="38"/>
      <c r="BA737" s="38"/>
      <c r="BB737" s="38"/>
      <c r="BC737" s="38"/>
      <c r="BD737" s="38"/>
      <c r="BE737" s="38"/>
      <c r="BF737" s="38"/>
      <c r="BG737" s="38"/>
      <c r="BH737" s="38"/>
      <c r="BI737" s="38"/>
      <c r="BJ737" s="38"/>
      <c r="BK737" s="38"/>
      <c r="BL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38"/>
      <c r="AY738" s="38"/>
      <c r="AZ738" s="38"/>
      <c r="BA738" s="38"/>
      <c r="BB738" s="38"/>
      <c r="BC738" s="38"/>
      <c r="BD738" s="38"/>
      <c r="BE738" s="38"/>
      <c r="BF738" s="38"/>
      <c r="BG738" s="38"/>
      <c r="BH738" s="38"/>
      <c r="BI738" s="38"/>
      <c r="BJ738" s="38"/>
      <c r="BK738" s="38"/>
      <c r="BL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38"/>
      <c r="AY739" s="38"/>
      <c r="AZ739" s="38"/>
      <c r="BA739" s="38"/>
      <c r="BB739" s="38"/>
      <c r="BC739" s="38"/>
      <c r="BD739" s="38"/>
      <c r="BE739" s="38"/>
      <c r="BF739" s="38"/>
      <c r="BG739" s="38"/>
      <c r="BH739" s="38"/>
      <c r="BI739" s="38"/>
      <c r="BJ739" s="38"/>
      <c r="BK739" s="38"/>
      <c r="BL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38"/>
      <c r="AY740" s="38"/>
      <c r="AZ740" s="38"/>
      <c r="BA740" s="38"/>
      <c r="BB740" s="38"/>
      <c r="BC740" s="38"/>
      <c r="BD740" s="38"/>
      <c r="BE740" s="38"/>
      <c r="BF740" s="38"/>
      <c r="BG740" s="38"/>
      <c r="BH740" s="38"/>
      <c r="BI740" s="38"/>
      <c r="BJ740" s="38"/>
      <c r="BK740" s="38"/>
      <c r="BL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38"/>
      <c r="AY741" s="38"/>
      <c r="AZ741" s="38"/>
      <c r="BA741" s="38"/>
      <c r="BB741" s="38"/>
      <c r="BC741" s="38"/>
      <c r="BD741" s="38"/>
      <c r="BE741" s="38"/>
      <c r="BF741" s="38"/>
      <c r="BG741" s="38"/>
      <c r="BH741" s="38"/>
      <c r="BI741" s="38"/>
      <c r="BJ741" s="38"/>
      <c r="BK741" s="38"/>
      <c r="BL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38"/>
      <c r="AY742" s="38"/>
      <c r="AZ742" s="38"/>
      <c r="BA742" s="38"/>
      <c r="BB742" s="38"/>
      <c r="BC742" s="38"/>
      <c r="BD742" s="38"/>
      <c r="BE742" s="38"/>
      <c r="BF742" s="38"/>
      <c r="BG742" s="38"/>
      <c r="BH742" s="38"/>
      <c r="BI742" s="38"/>
      <c r="BJ742" s="38"/>
      <c r="BK742" s="38"/>
      <c r="BL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38"/>
      <c r="AY743" s="38"/>
      <c r="AZ743" s="38"/>
      <c r="BA743" s="38"/>
      <c r="BB743" s="38"/>
      <c r="BC743" s="38"/>
      <c r="BD743" s="38"/>
      <c r="BE743" s="38"/>
      <c r="BF743" s="38"/>
      <c r="BG743" s="38"/>
      <c r="BH743" s="38"/>
      <c r="BI743" s="38"/>
      <c r="BJ743" s="38"/>
      <c r="BK743" s="38"/>
      <c r="BL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38"/>
      <c r="AY744" s="38"/>
      <c r="AZ744" s="38"/>
      <c r="BA744" s="38"/>
      <c r="BB744" s="38"/>
      <c r="BC744" s="38"/>
      <c r="BD744" s="38"/>
      <c r="BE744" s="38"/>
      <c r="BF744" s="38"/>
      <c r="BG744" s="38"/>
      <c r="BH744" s="38"/>
      <c r="BI744" s="38"/>
      <c r="BJ744" s="38"/>
      <c r="BK744" s="38"/>
      <c r="BL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38"/>
      <c r="AY745" s="38"/>
      <c r="AZ745" s="38"/>
      <c r="BA745" s="38"/>
      <c r="BB745" s="38"/>
      <c r="BC745" s="38"/>
      <c r="BD745" s="38"/>
      <c r="BE745" s="38"/>
      <c r="BF745" s="38"/>
      <c r="BG745" s="38"/>
      <c r="BH745" s="38"/>
      <c r="BI745" s="38"/>
      <c r="BJ745" s="38"/>
      <c r="BK745" s="38"/>
      <c r="BL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38"/>
      <c r="AY746" s="38"/>
      <c r="AZ746" s="38"/>
      <c r="BA746" s="38"/>
      <c r="BB746" s="38"/>
      <c r="BC746" s="38"/>
      <c r="BD746" s="38"/>
      <c r="BE746" s="38"/>
      <c r="BF746" s="38"/>
      <c r="BG746" s="38"/>
      <c r="BH746" s="38"/>
      <c r="BI746" s="38"/>
      <c r="BJ746" s="38"/>
      <c r="BK746" s="38"/>
      <c r="BL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38"/>
      <c r="AY747" s="38"/>
      <c r="AZ747" s="38"/>
      <c r="BA747" s="38"/>
      <c r="BB747" s="38"/>
      <c r="BC747" s="38"/>
      <c r="BD747" s="38"/>
      <c r="BE747" s="38"/>
      <c r="BF747" s="38"/>
      <c r="BG747" s="38"/>
      <c r="BH747" s="38"/>
      <c r="BI747" s="38"/>
      <c r="BJ747" s="38"/>
      <c r="BK747" s="38"/>
      <c r="BL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38"/>
      <c r="AY748" s="38"/>
      <c r="AZ748" s="38"/>
      <c r="BA748" s="38"/>
      <c r="BB748" s="38"/>
      <c r="BC748" s="38"/>
      <c r="BD748" s="38"/>
      <c r="BE748" s="38"/>
      <c r="BF748" s="38"/>
      <c r="BG748" s="38"/>
      <c r="BH748" s="38"/>
      <c r="BI748" s="38"/>
      <c r="BJ748" s="38"/>
      <c r="BK748" s="38"/>
      <c r="BL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38"/>
      <c r="AY749" s="38"/>
      <c r="AZ749" s="38"/>
      <c r="BA749" s="38"/>
      <c r="BB749" s="38"/>
      <c r="BC749" s="38"/>
      <c r="BD749" s="38"/>
      <c r="BE749" s="38"/>
      <c r="BF749" s="38"/>
      <c r="BG749" s="38"/>
      <c r="BH749" s="38"/>
      <c r="BI749" s="38"/>
      <c r="BJ749" s="38"/>
      <c r="BK749" s="38"/>
      <c r="BL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38"/>
      <c r="AY750" s="38"/>
      <c r="AZ750" s="38"/>
      <c r="BA750" s="38"/>
      <c r="BB750" s="38"/>
      <c r="BC750" s="38"/>
      <c r="BD750" s="38"/>
      <c r="BE750" s="38"/>
      <c r="BF750" s="38"/>
      <c r="BG750" s="38"/>
      <c r="BH750" s="38"/>
      <c r="BI750" s="38"/>
      <c r="BJ750" s="38"/>
      <c r="BK750" s="38"/>
      <c r="BL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38"/>
      <c r="AY751" s="38"/>
      <c r="AZ751" s="38"/>
      <c r="BA751" s="38"/>
      <c r="BB751" s="38"/>
      <c r="BC751" s="38"/>
      <c r="BD751" s="38"/>
      <c r="BE751" s="38"/>
      <c r="BF751" s="38"/>
      <c r="BG751" s="38"/>
      <c r="BH751" s="38"/>
      <c r="BI751" s="38"/>
      <c r="BJ751" s="38"/>
      <c r="BK751" s="38"/>
      <c r="BL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38"/>
      <c r="AY752" s="38"/>
      <c r="AZ752" s="38"/>
      <c r="BA752" s="38"/>
      <c r="BB752" s="38"/>
      <c r="BC752" s="38"/>
      <c r="BD752" s="38"/>
      <c r="BE752" s="38"/>
      <c r="BF752" s="38"/>
      <c r="BG752" s="38"/>
      <c r="BH752" s="38"/>
      <c r="BI752" s="38"/>
      <c r="BJ752" s="38"/>
      <c r="BK752" s="38"/>
      <c r="BL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38"/>
      <c r="AY753" s="38"/>
      <c r="AZ753" s="38"/>
      <c r="BA753" s="38"/>
      <c r="BB753" s="38"/>
      <c r="BC753" s="38"/>
      <c r="BD753" s="38"/>
      <c r="BE753" s="38"/>
      <c r="BF753" s="38"/>
      <c r="BG753" s="38"/>
      <c r="BH753" s="38"/>
      <c r="BI753" s="38"/>
      <c r="BJ753" s="38"/>
      <c r="BK753" s="38"/>
      <c r="BL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38"/>
      <c r="AY754" s="38"/>
      <c r="AZ754" s="38"/>
      <c r="BA754" s="38"/>
      <c r="BB754" s="38"/>
      <c r="BC754" s="38"/>
      <c r="BD754" s="38"/>
      <c r="BE754" s="38"/>
      <c r="BF754" s="38"/>
      <c r="BG754" s="38"/>
      <c r="BH754" s="38"/>
      <c r="BI754" s="38"/>
      <c r="BJ754" s="38"/>
      <c r="BK754" s="38"/>
      <c r="BL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38"/>
      <c r="AY755" s="38"/>
      <c r="AZ755" s="38"/>
      <c r="BA755" s="38"/>
      <c r="BB755" s="38"/>
      <c r="BC755" s="38"/>
      <c r="BD755" s="38"/>
      <c r="BE755" s="38"/>
      <c r="BF755" s="38"/>
      <c r="BG755" s="38"/>
      <c r="BH755" s="38"/>
      <c r="BI755" s="38"/>
      <c r="BJ755" s="38"/>
      <c r="BK755" s="38"/>
      <c r="BL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38"/>
      <c r="AY756" s="38"/>
      <c r="AZ756" s="38"/>
      <c r="BA756" s="38"/>
      <c r="BB756" s="38"/>
      <c r="BC756" s="38"/>
      <c r="BD756" s="38"/>
      <c r="BE756" s="38"/>
      <c r="BF756" s="38"/>
      <c r="BG756" s="38"/>
      <c r="BH756" s="38"/>
      <c r="BI756" s="38"/>
      <c r="BJ756" s="38"/>
      <c r="BK756" s="38"/>
      <c r="BL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38"/>
      <c r="AY757" s="38"/>
      <c r="AZ757" s="38"/>
      <c r="BA757" s="38"/>
      <c r="BB757" s="38"/>
      <c r="BC757" s="38"/>
      <c r="BD757" s="38"/>
      <c r="BE757" s="38"/>
      <c r="BF757" s="38"/>
      <c r="BG757" s="38"/>
      <c r="BH757" s="38"/>
      <c r="BI757" s="38"/>
      <c r="BJ757" s="38"/>
      <c r="BK757" s="38"/>
      <c r="BL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38"/>
      <c r="AY758" s="38"/>
      <c r="AZ758" s="38"/>
      <c r="BA758" s="38"/>
      <c r="BB758" s="38"/>
      <c r="BC758" s="38"/>
      <c r="BD758" s="38"/>
      <c r="BE758" s="38"/>
      <c r="BF758" s="38"/>
      <c r="BG758" s="38"/>
      <c r="BH758" s="38"/>
      <c r="BI758" s="38"/>
      <c r="BJ758" s="38"/>
      <c r="BK758" s="38"/>
      <c r="BL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38"/>
      <c r="AY759" s="38"/>
      <c r="AZ759" s="38"/>
      <c r="BA759" s="38"/>
      <c r="BB759" s="38"/>
      <c r="BC759" s="38"/>
      <c r="BD759" s="38"/>
      <c r="BE759" s="38"/>
      <c r="BF759" s="38"/>
      <c r="BG759" s="38"/>
      <c r="BH759" s="38"/>
      <c r="BI759" s="38"/>
      <c r="BJ759" s="38"/>
      <c r="BK759" s="38"/>
      <c r="BL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38"/>
      <c r="AY760" s="38"/>
      <c r="AZ760" s="38"/>
      <c r="BA760" s="38"/>
      <c r="BB760" s="38"/>
      <c r="BC760" s="38"/>
      <c r="BD760" s="38"/>
      <c r="BE760" s="38"/>
      <c r="BF760" s="38"/>
      <c r="BG760" s="38"/>
      <c r="BH760" s="38"/>
      <c r="BI760" s="38"/>
      <c r="BJ760" s="38"/>
      <c r="BK760" s="38"/>
      <c r="BL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38"/>
      <c r="AY761" s="38"/>
      <c r="AZ761" s="38"/>
      <c r="BA761" s="38"/>
      <c r="BB761" s="38"/>
      <c r="BC761" s="38"/>
      <c r="BD761" s="38"/>
      <c r="BE761" s="38"/>
      <c r="BF761" s="38"/>
      <c r="BG761" s="38"/>
      <c r="BH761" s="38"/>
      <c r="BI761" s="38"/>
      <c r="BJ761" s="38"/>
      <c r="BK761" s="38"/>
      <c r="BL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38"/>
      <c r="AY762" s="38"/>
      <c r="AZ762" s="38"/>
      <c r="BA762" s="38"/>
      <c r="BB762" s="38"/>
      <c r="BC762" s="38"/>
      <c r="BD762" s="38"/>
      <c r="BE762" s="38"/>
      <c r="BF762" s="38"/>
      <c r="BG762" s="38"/>
      <c r="BH762" s="38"/>
      <c r="BI762" s="38"/>
      <c r="BJ762" s="38"/>
      <c r="BK762" s="38"/>
      <c r="BL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38"/>
      <c r="AY763" s="38"/>
      <c r="AZ763" s="38"/>
      <c r="BA763" s="38"/>
      <c r="BB763" s="38"/>
      <c r="BC763" s="38"/>
      <c r="BD763" s="38"/>
      <c r="BE763" s="38"/>
      <c r="BF763" s="38"/>
      <c r="BG763" s="38"/>
      <c r="BH763" s="38"/>
      <c r="BI763" s="38"/>
      <c r="BJ763" s="38"/>
      <c r="BK763" s="38"/>
      <c r="BL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38"/>
      <c r="AY764" s="38"/>
      <c r="AZ764" s="38"/>
      <c r="BA764" s="38"/>
      <c r="BB764" s="38"/>
      <c r="BC764" s="38"/>
      <c r="BD764" s="38"/>
      <c r="BE764" s="38"/>
      <c r="BF764" s="38"/>
      <c r="BG764" s="38"/>
      <c r="BH764" s="38"/>
      <c r="BI764" s="38"/>
      <c r="BJ764" s="38"/>
      <c r="BK764" s="38"/>
      <c r="BL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38"/>
      <c r="AY765" s="38"/>
      <c r="AZ765" s="38"/>
      <c r="BA765" s="38"/>
      <c r="BB765" s="38"/>
      <c r="BC765" s="38"/>
      <c r="BD765" s="38"/>
      <c r="BE765" s="38"/>
      <c r="BF765" s="38"/>
      <c r="BG765" s="38"/>
      <c r="BH765" s="38"/>
      <c r="BI765" s="38"/>
      <c r="BJ765" s="38"/>
      <c r="BK765" s="38"/>
      <c r="BL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38"/>
      <c r="AY766" s="38"/>
      <c r="AZ766" s="38"/>
      <c r="BA766" s="38"/>
      <c r="BB766" s="38"/>
      <c r="BC766" s="38"/>
      <c r="BD766" s="38"/>
      <c r="BE766" s="38"/>
      <c r="BF766" s="38"/>
      <c r="BG766" s="38"/>
      <c r="BH766" s="38"/>
      <c r="BI766" s="38"/>
      <c r="BJ766" s="38"/>
      <c r="BK766" s="38"/>
      <c r="BL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38"/>
      <c r="AY767" s="38"/>
      <c r="AZ767" s="38"/>
      <c r="BA767" s="38"/>
      <c r="BB767" s="38"/>
      <c r="BC767" s="38"/>
      <c r="BD767" s="38"/>
      <c r="BE767" s="38"/>
      <c r="BF767" s="38"/>
      <c r="BG767" s="38"/>
      <c r="BH767" s="38"/>
      <c r="BI767" s="38"/>
      <c r="BJ767" s="38"/>
      <c r="BK767" s="38"/>
      <c r="BL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38"/>
      <c r="AY768" s="38"/>
      <c r="AZ768" s="38"/>
      <c r="BA768" s="38"/>
      <c r="BB768" s="38"/>
      <c r="BC768" s="38"/>
      <c r="BD768" s="38"/>
      <c r="BE768" s="38"/>
      <c r="BF768" s="38"/>
      <c r="BG768" s="38"/>
      <c r="BH768" s="38"/>
      <c r="BI768" s="38"/>
      <c r="BJ768" s="38"/>
      <c r="BK768" s="38"/>
      <c r="BL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38"/>
      <c r="AY769" s="38"/>
      <c r="AZ769" s="38"/>
      <c r="BA769" s="38"/>
      <c r="BB769" s="38"/>
      <c r="BC769" s="38"/>
      <c r="BD769" s="38"/>
      <c r="BE769" s="38"/>
      <c r="BF769" s="38"/>
      <c r="BG769" s="38"/>
      <c r="BH769" s="38"/>
      <c r="BI769" s="38"/>
      <c r="BJ769" s="38"/>
      <c r="BK769" s="38"/>
      <c r="BL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38"/>
      <c r="AY770" s="38"/>
      <c r="AZ770" s="38"/>
      <c r="BA770" s="38"/>
      <c r="BB770" s="38"/>
      <c r="BC770" s="38"/>
      <c r="BD770" s="38"/>
      <c r="BE770" s="38"/>
      <c r="BF770" s="38"/>
      <c r="BG770" s="38"/>
      <c r="BH770" s="38"/>
      <c r="BI770" s="38"/>
      <c r="BJ770" s="38"/>
      <c r="BK770" s="38"/>
      <c r="BL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38"/>
      <c r="AY771" s="38"/>
      <c r="AZ771" s="38"/>
      <c r="BA771" s="38"/>
      <c r="BB771" s="38"/>
      <c r="BC771" s="38"/>
      <c r="BD771" s="38"/>
      <c r="BE771" s="38"/>
      <c r="BF771" s="38"/>
      <c r="BG771" s="38"/>
      <c r="BH771" s="38"/>
      <c r="BI771" s="38"/>
      <c r="BJ771" s="38"/>
      <c r="BK771" s="38"/>
      <c r="BL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38"/>
      <c r="AY772" s="38"/>
      <c r="AZ772" s="38"/>
      <c r="BA772" s="38"/>
      <c r="BB772" s="38"/>
      <c r="BC772" s="38"/>
      <c r="BD772" s="38"/>
      <c r="BE772" s="38"/>
      <c r="BF772" s="38"/>
      <c r="BG772" s="38"/>
      <c r="BH772" s="38"/>
      <c r="BI772" s="38"/>
      <c r="BJ772" s="38"/>
      <c r="BK772" s="38"/>
      <c r="BL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38"/>
      <c r="AY773" s="38"/>
      <c r="AZ773" s="38"/>
      <c r="BA773" s="38"/>
      <c r="BB773" s="38"/>
      <c r="BC773" s="38"/>
      <c r="BD773" s="38"/>
      <c r="BE773" s="38"/>
      <c r="BF773" s="38"/>
      <c r="BG773" s="38"/>
      <c r="BH773" s="38"/>
      <c r="BI773" s="38"/>
      <c r="BJ773" s="38"/>
      <c r="BK773" s="38"/>
      <c r="BL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38"/>
      <c r="AY774" s="38"/>
      <c r="AZ774" s="38"/>
      <c r="BA774" s="38"/>
      <c r="BB774" s="38"/>
      <c r="BC774" s="38"/>
      <c r="BD774" s="38"/>
      <c r="BE774" s="38"/>
      <c r="BF774" s="38"/>
      <c r="BG774" s="38"/>
      <c r="BH774" s="38"/>
      <c r="BI774" s="38"/>
      <c r="BJ774" s="38"/>
      <c r="BK774" s="38"/>
      <c r="BL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38"/>
      <c r="AY775" s="38"/>
      <c r="AZ775" s="38"/>
      <c r="BA775" s="38"/>
      <c r="BB775" s="38"/>
      <c r="BC775" s="38"/>
      <c r="BD775" s="38"/>
      <c r="BE775" s="38"/>
      <c r="BF775" s="38"/>
      <c r="BG775" s="38"/>
      <c r="BH775" s="38"/>
      <c r="BI775" s="38"/>
      <c r="BJ775" s="38"/>
      <c r="BK775" s="38"/>
      <c r="BL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38"/>
      <c r="AY776" s="38"/>
      <c r="AZ776" s="38"/>
      <c r="BA776" s="38"/>
      <c r="BB776" s="38"/>
      <c r="BC776" s="38"/>
      <c r="BD776" s="38"/>
      <c r="BE776" s="38"/>
      <c r="BF776" s="38"/>
      <c r="BG776" s="38"/>
      <c r="BH776" s="38"/>
      <c r="BI776" s="38"/>
      <c r="BJ776" s="38"/>
      <c r="BK776" s="38"/>
      <c r="BL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38"/>
      <c r="AY777" s="38"/>
      <c r="AZ777" s="38"/>
      <c r="BA777" s="38"/>
      <c r="BB777" s="38"/>
      <c r="BC777" s="38"/>
      <c r="BD777" s="38"/>
      <c r="BE777" s="38"/>
      <c r="BF777" s="38"/>
      <c r="BG777" s="38"/>
      <c r="BH777" s="38"/>
      <c r="BI777" s="38"/>
      <c r="BJ777" s="38"/>
      <c r="BK777" s="38"/>
      <c r="BL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38"/>
      <c r="AY778" s="38"/>
      <c r="AZ778" s="38"/>
      <c r="BA778" s="38"/>
      <c r="BB778" s="38"/>
      <c r="BC778" s="38"/>
      <c r="BD778" s="38"/>
      <c r="BE778" s="38"/>
      <c r="BF778" s="38"/>
      <c r="BG778" s="38"/>
      <c r="BH778" s="38"/>
      <c r="BI778" s="38"/>
      <c r="BJ778" s="38"/>
      <c r="BK778" s="38"/>
      <c r="BL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38"/>
      <c r="AY779" s="38"/>
      <c r="AZ779" s="38"/>
      <c r="BA779" s="38"/>
      <c r="BB779" s="38"/>
      <c r="BC779" s="38"/>
      <c r="BD779" s="38"/>
      <c r="BE779" s="38"/>
      <c r="BF779" s="38"/>
      <c r="BG779" s="38"/>
      <c r="BH779" s="38"/>
      <c r="BI779" s="38"/>
      <c r="BJ779" s="38"/>
      <c r="BK779" s="38"/>
      <c r="BL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38"/>
      <c r="AY780" s="38"/>
      <c r="AZ780" s="38"/>
      <c r="BA780" s="38"/>
      <c r="BB780" s="38"/>
      <c r="BC780" s="38"/>
      <c r="BD780" s="38"/>
      <c r="BE780" s="38"/>
      <c r="BF780" s="38"/>
      <c r="BG780" s="38"/>
      <c r="BH780" s="38"/>
      <c r="BI780" s="38"/>
      <c r="BJ780" s="38"/>
      <c r="BK780" s="38"/>
      <c r="BL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38"/>
      <c r="AY781" s="38"/>
      <c r="AZ781" s="38"/>
      <c r="BA781" s="38"/>
      <c r="BB781" s="38"/>
      <c r="BC781" s="38"/>
      <c r="BD781" s="38"/>
      <c r="BE781" s="38"/>
      <c r="BF781" s="38"/>
      <c r="BG781" s="38"/>
      <c r="BH781" s="38"/>
      <c r="BI781" s="38"/>
      <c r="BJ781" s="38"/>
      <c r="BK781" s="38"/>
      <c r="BL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38"/>
      <c r="AY782" s="38"/>
      <c r="AZ782" s="38"/>
      <c r="BA782" s="38"/>
      <c r="BB782" s="38"/>
      <c r="BC782" s="38"/>
      <c r="BD782" s="38"/>
      <c r="BE782" s="38"/>
      <c r="BF782" s="38"/>
      <c r="BG782" s="38"/>
      <c r="BH782" s="38"/>
      <c r="BI782" s="38"/>
      <c r="BJ782" s="38"/>
      <c r="BK782" s="38"/>
      <c r="BL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38"/>
      <c r="AY783" s="38"/>
      <c r="AZ783" s="38"/>
      <c r="BA783" s="38"/>
      <c r="BB783" s="38"/>
      <c r="BC783" s="38"/>
      <c r="BD783" s="38"/>
      <c r="BE783" s="38"/>
      <c r="BF783" s="38"/>
      <c r="BG783" s="38"/>
      <c r="BH783" s="38"/>
      <c r="BI783" s="38"/>
      <c r="BJ783" s="38"/>
      <c r="BK783" s="38"/>
      <c r="BL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38"/>
      <c r="AY784" s="38"/>
      <c r="AZ784" s="38"/>
      <c r="BA784" s="38"/>
      <c r="BB784" s="38"/>
      <c r="BC784" s="38"/>
      <c r="BD784" s="38"/>
      <c r="BE784" s="38"/>
      <c r="BF784" s="38"/>
      <c r="BG784" s="38"/>
      <c r="BH784" s="38"/>
      <c r="BI784" s="38"/>
      <c r="BJ784" s="38"/>
      <c r="BK784" s="38"/>
      <c r="BL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38"/>
      <c r="AY785" s="38"/>
      <c r="AZ785" s="38"/>
      <c r="BA785" s="38"/>
      <c r="BB785" s="38"/>
      <c r="BC785" s="38"/>
      <c r="BD785" s="38"/>
      <c r="BE785" s="38"/>
      <c r="BF785" s="38"/>
      <c r="BG785" s="38"/>
      <c r="BH785" s="38"/>
      <c r="BI785" s="38"/>
      <c r="BJ785" s="38"/>
      <c r="BK785" s="38"/>
      <c r="BL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38"/>
      <c r="AY786" s="38"/>
      <c r="AZ786" s="38"/>
      <c r="BA786" s="38"/>
      <c r="BB786" s="38"/>
      <c r="BC786" s="38"/>
      <c r="BD786" s="38"/>
      <c r="BE786" s="38"/>
      <c r="BF786" s="38"/>
      <c r="BG786" s="38"/>
      <c r="BH786" s="38"/>
      <c r="BI786" s="38"/>
      <c r="BJ786" s="38"/>
      <c r="BK786" s="38"/>
      <c r="BL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38"/>
      <c r="AY787" s="38"/>
      <c r="AZ787" s="38"/>
      <c r="BA787" s="38"/>
      <c r="BB787" s="38"/>
      <c r="BC787" s="38"/>
      <c r="BD787" s="38"/>
      <c r="BE787" s="38"/>
      <c r="BF787" s="38"/>
      <c r="BG787" s="38"/>
      <c r="BH787" s="38"/>
      <c r="BI787" s="38"/>
      <c r="BJ787" s="38"/>
      <c r="BK787" s="38"/>
      <c r="BL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38"/>
      <c r="AY788" s="38"/>
      <c r="AZ788" s="38"/>
      <c r="BA788" s="38"/>
      <c r="BB788" s="38"/>
      <c r="BC788" s="38"/>
      <c r="BD788" s="38"/>
      <c r="BE788" s="38"/>
      <c r="BF788" s="38"/>
      <c r="BG788" s="38"/>
      <c r="BH788" s="38"/>
      <c r="BI788" s="38"/>
      <c r="BJ788" s="38"/>
      <c r="BK788" s="38"/>
      <c r="BL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38"/>
      <c r="AY789" s="38"/>
      <c r="AZ789" s="38"/>
      <c r="BA789" s="38"/>
      <c r="BB789" s="38"/>
      <c r="BC789" s="38"/>
      <c r="BD789" s="38"/>
      <c r="BE789" s="38"/>
      <c r="BF789" s="38"/>
      <c r="BG789" s="38"/>
      <c r="BH789" s="38"/>
      <c r="BI789" s="38"/>
      <c r="BJ789" s="38"/>
      <c r="BK789" s="38"/>
      <c r="BL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38"/>
      <c r="AY790" s="38"/>
      <c r="AZ790" s="38"/>
      <c r="BA790" s="38"/>
      <c r="BB790" s="38"/>
      <c r="BC790" s="38"/>
      <c r="BD790" s="38"/>
      <c r="BE790" s="38"/>
      <c r="BF790" s="38"/>
      <c r="BG790" s="38"/>
      <c r="BH790" s="38"/>
      <c r="BI790" s="38"/>
      <c r="BJ790" s="38"/>
      <c r="BK790" s="38"/>
      <c r="BL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38"/>
      <c r="AY791" s="38"/>
      <c r="AZ791" s="38"/>
      <c r="BA791" s="38"/>
      <c r="BB791" s="38"/>
      <c r="BC791" s="38"/>
      <c r="BD791" s="38"/>
      <c r="BE791" s="38"/>
      <c r="BF791" s="38"/>
      <c r="BG791" s="38"/>
      <c r="BH791" s="38"/>
      <c r="BI791" s="38"/>
      <c r="BJ791" s="38"/>
      <c r="BK791" s="38"/>
      <c r="BL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38"/>
      <c r="AY792" s="38"/>
      <c r="AZ792" s="38"/>
      <c r="BA792" s="38"/>
      <c r="BB792" s="38"/>
      <c r="BC792" s="38"/>
      <c r="BD792" s="38"/>
      <c r="BE792" s="38"/>
      <c r="BF792" s="38"/>
      <c r="BG792" s="38"/>
      <c r="BH792" s="38"/>
      <c r="BI792" s="38"/>
      <c r="BJ792" s="38"/>
      <c r="BK792" s="38"/>
      <c r="BL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38"/>
      <c r="AY793" s="38"/>
      <c r="AZ793" s="38"/>
      <c r="BA793" s="38"/>
      <c r="BB793" s="38"/>
      <c r="BC793" s="38"/>
      <c r="BD793" s="38"/>
      <c r="BE793" s="38"/>
      <c r="BF793" s="38"/>
      <c r="BG793" s="38"/>
      <c r="BH793" s="38"/>
      <c r="BI793" s="38"/>
      <c r="BJ793" s="38"/>
      <c r="BK793" s="38"/>
      <c r="BL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38"/>
      <c r="AY794" s="38"/>
      <c r="AZ794" s="38"/>
      <c r="BA794" s="38"/>
      <c r="BB794" s="38"/>
      <c r="BC794" s="38"/>
      <c r="BD794" s="38"/>
      <c r="BE794" s="38"/>
      <c r="BF794" s="38"/>
      <c r="BG794" s="38"/>
      <c r="BH794" s="38"/>
      <c r="BI794" s="38"/>
      <c r="BJ794" s="38"/>
      <c r="BK794" s="38"/>
      <c r="BL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38"/>
      <c r="AY795" s="38"/>
      <c r="AZ795" s="38"/>
      <c r="BA795" s="38"/>
      <c r="BB795" s="38"/>
      <c r="BC795" s="38"/>
      <c r="BD795" s="38"/>
      <c r="BE795" s="38"/>
      <c r="BF795" s="38"/>
      <c r="BG795" s="38"/>
      <c r="BH795" s="38"/>
      <c r="BI795" s="38"/>
      <c r="BJ795" s="38"/>
      <c r="BK795" s="38"/>
      <c r="BL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38"/>
      <c r="AY796" s="38"/>
      <c r="AZ796" s="38"/>
      <c r="BA796" s="38"/>
      <c r="BB796" s="38"/>
      <c r="BC796" s="38"/>
      <c r="BD796" s="38"/>
      <c r="BE796" s="38"/>
      <c r="BF796" s="38"/>
      <c r="BG796" s="38"/>
      <c r="BH796" s="38"/>
      <c r="BI796" s="38"/>
      <c r="BJ796" s="38"/>
      <c r="BK796" s="38"/>
      <c r="BL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38"/>
      <c r="AY797" s="38"/>
      <c r="AZ797" s="38"/>
      <c r="BA797" s="38"/>
      <c r="BB797" s="38"/>
      <c r="BC797" s="38"/>
      <c r="BD797" s="38"/>
      <c r="BE797" s="38"/>
      <c r="BF797" s="38"/>
      <c r="BG797" s="38"/>
      <c r="BH797" s="38"/>
      <c r="BI797" s="38"/>
      <c r="BJ797" s="38"/>
      <c r="BK797" s="38"/>
      <c r="BL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38"/>
      <c r="AY798" s="38"/>
      <c r="AZ798" s="38"/>
      <c r="BA798" s="38"/>
      <c r="BB798" s="38"/>
      <c r="BC798" s="38"/>
      <c r="BD798" s="38"/>
      <c r="BE798" s="38"/>
      <c r="BF798" s="38"/>
      <c r="BG798" s="38"/>
      <c r="BH798" s="38"/>
      <c r="BI798" s="38"/>
      <c r="BJ798" s="38"/>
      <c r="BK798" s="38"/>
      <c r="BL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38"/>
      <c r="AY799" s="38"/>
      <c r="AZ799" s="38"/>
      <c r="BA799" s="38"/>
      <c r="BB799" s="38"/>
      <c r="BC799" s="38"/>
      <c r="BD799" s="38"/>
      <c r="BE799" s="38"/>
      <c r="BF799" s="38"/>
      <c r="BG799" s="38"/>
      <c r="BH799" s="38"/>
      <c r="BI799" s="38"/>
      <c r="BJ799" s="38"/>
      <c r="BK799" s="38"/>
      <c r="BL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38"/>
      <c r="AY800" s="38"/>
      <c r="AZ800" s="38"/>
      <c r="BA800" s="38"/>
      <c r="BB800" s="38"/>
      <c r="BC800" s="38"/>
      <c r="BD800" s="38"/>
      <c r="BE800" s="38"/>
      <c r="BF800" s="38"/>
      <c r="BG800" s="38"/>
      <c r="BH800" s="38"/>
      <c r="BI800" s="38"/>
      <c r="BJ800" s="38"/>
      <c r="BK800" s="38"/>
      <c r="BL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38"/>
      <c r="AY801" s="38"/>
      <c r="AZ801" s="38"/>
      <c r="BA801" s="38"/>
      <c r="BB801" s="38"/>
      <c r="BC801" s="38"/>
      <c r="BD801" s="38"/>
      <c r="BE801" s="38"/>
      <c r="BF801" s="38"/>
      <c r="BG801" s="38"/>
      <c r="BH801" s="38"/>
      <c r="BI801" s="38"/>
      <c r="BJ801" s="38"/>
      <c r="BK801" s="38"/>
      <c r="BL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38"/>
      <c r="AY802" s="38"/>
      <c r="AZ802" s="38"/>
      <c r="BA802" s="38"/>
      <c r="BB802" s="38"/>
      <c r="BC802" s="38"/>
      <c r="BD802" s="38"/>
      <c r="BE802" s="38"/>
      <c r="BF802" s="38"/>
      <c r="BG802" s="38"/>
      <c r="BH802" s="38"/>
      <c r="BI802" s="38"/>
      <c r="BJ802" s="38"/>
      <c r="BK802" s="38"/>
      <c r="BL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38"/>
      <c r="AY803" s="38"/>
      <c r="AZ803" s="38"/>
      <c r="BA803" s="38"/>
      <c r="BB803" s="38"/>
      <c r="BC803" s="38"/>
      <c r="BD803" s="38"/>
      <c r="BE803" s="38"/>
      <c r="BF803" s="38"/>
      <c r="BG803" s="38"/>
      <c r="BH803" s="38"/>
      <c r="BI803" s="38"/>
      <c r="BJ803" s="38"/>
      <c r="BK803" s="38"/>
      <c r="BL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38"/>
      <c r="AY804" s="38"/>
      <c r="AZ804" s="38"/>
      <c r="BA804" s="38"/>
      <c r="BB804" s="38"/>
      <c r="BC804" s="38"/>
      <c r="BD804" s="38"/>
      <c r="BE804" s="38"/>
      <c r="BF804" s="38"/>
      <c r="BG804" s="38"/>
      <c r="BH804" s="38"/>
      <c r="BI804" s="38"/>
      <c r="BJ804" s="38"/>
      <c r="BK804" s="38"/>
      <c r="BL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38"/>
      <c r="AY805" s="38"/>
      <c r="AZ805" s="38"/>
      <c r="BA805" s="38"/>
      <c r="BB805" s="38"/>
      <c r="BC805" s="38"/>
      <c r="BD805" s="38"/>
      <c r="BE805" s="38"/>
      <c r="BF805" s="38"/>
      <c r="BG805" s="38"/>
      <c r="BH805" s="38"/>
      <c r="BI805" s="38"/>
      <c r="BJ805" s="38"/>
      <c r="BK805" s="38"/>
      <c r="BL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38"/>
      <c r="AY806" s="38"/>
      <c r="AZ806" s="38"/>
      <c r="BA806" s="38"/>
      <c r="BB806" s="38"/>
      <c r="BC806" s="38"/>
      <c r="BD806" s="38"/>
      <c r="BE806" s="38"/>
      <c r="BF806" s="38"/>
      <c r="BG806" s="38"/>
      <c r="BH806" s="38"/>
      <c r="BI806" s="38"/>
      <c r="BJ806" s="38"/>
      <c r="BK806" s="38"/>
      <c r="BL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38"/>
      <c r="AY807" s="38"/>
      <c r="AZ807" s="38"/>
      <c r="BA807" s="38"/>
      <c r="BB807" s="38"/>
      <c r="BC807" s="38"/>
      <c r="BD807" s="38"/>
      <c r="BE807" s="38"/>
      <c r="BF807" s="38"/>
      <c r="BG807" s="38"/>
      <c r="BH807" s="38"/>
      <c r="BI807" s="38"/>
      <c r="BJ807" s="38"/>
      <c r="BK807" s="38"/>
      <c r="BL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38"/>
      <c r="AY808" s="38"/>
      <c r="AZ808" s="38"/>
      <c r="BA808" s="38"/>
      <c r="BB808" s="38"/>
      <c r="BC808" s="38"/>
      <c r="BD808" s="38"/>
      <c r="BE808" s="38"/>
      <c r="BF808" s="38"/>
      <c r="BG808" s="38"/>
      <c r="BH808" s="38"/>
      <c r="BI808" s="38"/>
      <c r="BJ808" s="38"/>
      <c r="BK808" s="38"/>
      <c r="BL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38"/>
      <c r="AY809" s="38"/>
      <c r="AZ809" s="38"/>
      <c r="BA809" s="38"/>
      <c r="BB809" s="38"/>
      <c r="BC809" s="38"/>
      <c r="BD809" s="38"/>
      <c r="BE809" s="38"/>
      <c r="BF809" s="38"/>
      <c r="BG809" s="38"/>
      <c r="BH809" s="38"/>
      <c r="BI809" s="38"/>
      <c r="BJ809" s="38"/>
      <c r="BK809" s="38"/>
      <c r="BL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38"/>
      <c r="AY810" s="38"/>
      <c r="AZ810" s="38"/>
      <c r="BA810" s="38"/>
      <c r="BB810" s="38"/>
      <c r="BC810" s="38"/>
      <c r="BD810" s="38"/>
      <c r="BE810" s="38"/>
      <c r="BF810" s="38"/>
      <c r="BG810" s="38"/>
      <c r="BH810" s="38"/>
      <c r="BI810" s="38"/>
      <c r="BJ810" s="38"/>
      <c r="BK810" s="38"/>
      <c r="BL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38"/>
      <c r="AY811" s="38"/>
      <c r="AZ811" s="38"/>
      <c r="BA811" s="38"/>
      <c r="BB811" s="38"/>
      <c r="BC811" s="38"/>
      <c r="BD811" s="38"/>
      <c r="BE811" s="38"/>
      <c r="BF811" s="38"/>
      <c r="BG811" s="38"/>
      <c r="BH811" s="38"/>
      <c r="BI811" s="38"/>
      <c r="BJ811" s="38"/>
      <c r="BK811" s="38"/>
      <c r="BL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38"/>
      <c r="AY812" s="38"/>
      <c r="AZ812" s="38"/>
      <c r="BA812" s="38"/>
      <c r="BB812" s="38"/>
      <c r="BC812" s="38"/>
      <c r="BD812" s="38"/>
      <c r="BE812" s="38"/>
      <c r="BF812" s="38"/>
      <c r="BG812" s="38"/>
      <c r="BH812" s="38"/>
      <c r="BI812" s="38"/>
      <c r="BJ812" s="38"/>
      <c r="BK812" s="38"/>
      <c r="BL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38"/>
      <c r="AY813" s="38"/>
      <c r="AZ813" s="38"/>
      <c r="BA813" s="38"/>
      <c r="BB813" s="38"/>
      <c r="BC813" s="38"/>
      <c r="BD813" s="38"/>
      <c r="BE813" s="38"/>
      <c r="BF813" s="38"/>
      <c r="BG813" s="38"/>
      <c r="BH813" s="38"/>
      <c r="BI813" s="38"/>
      <c r="BJ813" s="38"/>
      <c r="BK813" s="38"/>
      <c r="BL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38"/>
      <c r="AY814" s="38"/>
      <c r="AZ814" s="38"/>
      <c r="BA814" s="38"/>
      <c r="BB814" s="38"/>
      <c r="BC814" s="38"/>
      <c r="BD814" s="38"/>
      <c r="BE814" s="38"/>
      <c r="BF814" s="38"/>
      <c r="BG814" s="38"/>
      <c r="BH814" s="38"/>
      <c r="BI814" s="38"/>
      <c r="BJ814" s="38"/>
      <c r="BK814" s="38"/>
      <c r="BL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38"/>
      <c r="AY815" s="38"/>
      <c r="AZ815" s="38"/>
      <c r="BA815" s="38"/>
      <c r="BB815" s="38"/>
      <c r="BC815" s="38"/>
      <c r="BD815" s="38"/>
      <c r="BE815" s="38"/>
      <c r="BF815" s="38"/>
      <c r="BG815" s="38"/>
      <c r="BH815" s="38"/>
      <c r="BI815" s="38"/>
      <c r="BJ815" s="38"/>
      <c r="BK815" s="38"/>
      <c r="BL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38"/>
      <c r="AY816" s="38"/>
      <c r="AZ816" s="38"/>
      <c r="BA816" s="38"/>
      <c r="BB816" s="38"/>
      <c r="BC816" s="38"/>
      <c r="BD816" s="38"/>
      <c r="BE816" s="38"/>
      <c r="BF816" s="38"/>
      <c r="BG816" s="38"/>
      <c r="BH816" s="38"/>
      <c r="BI816" s="38"/>
      <c r="BJ816" s="38"/>
      <c r="BK816" s="38"/>
      <c r="BL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38"/>
      <c r="AY817" s="38"/>
      <c r="AZ817" s="38"/>
      <c r="BA817" s="38"/>
      <c r="BB817" s="38"/>
      <c r="BC817" s="38"/>
      <c r="BD817" s="38"/>
      <c r="BE817" s="38"/>
      <c r="BF817" s="38"/>
      <c r="BG817" s="38"/>
      <c r="BH817" s="38"/>
      <c r="BI817" s="38"/>
      <c r="BJ817" s="38"/>
      <c r="BK817" s="38"/>
      <c r="BL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38"/>
      <c r="AY818" s="38"/>
      <c r="AZ818" s="38"/>
      <c r="BA818" s="38"/>
      <c r="BB818" s="38"/>
      <c r="BC818" s="38"/>
      <c r="BD818" s="38"/>
      <c r="BE818" s="38"/>
      <c r="BF818" s="38"/>
      <c r="BG818" s="38"/>
      <c r="BH818" s="38"/>
      <c r="BI818" s="38"/>
      <c r="BJ818" s="38"/>
      <c r="BK818" s="38"/>
      <c r="BL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38"/>
      <c r="AY819" s="38"/>
      <c r="AZ819" s="38"/>
      <c r="BA819" s="38"/>
      <c r="BB819" s="38"/>
      <c r="BC819" s="38"/>
      <c r="BD819" s="38"/>
      <c r="BE819" s="38"/>
      <c r="BF819" s="38"/>
      <c r="BG819" s="38"/>
      <c r="BH819" s="38"/>
      <c r="BI819" s="38"/>
      <c r="BJ819" s="38"/>
      <c r="BK819" s="38"/>
      <c r="BL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38"/>
      <c r="AY820" s="38"/>
      <c r="AZ820" s="38"/>
      <c r="BA820" s="38"/>
      <c r="BB820" s="38"/>
      <c r="BC820" s="38"/>
      <c r="BD820" s="38"/>
      <c r="BE820" s="38"/>
      <c r="BF820" s="38"/>
      <c r="BG820" s="38"/>
      <c r="BH820" s="38"/>
      <c r="BI820" s="38"/>
      <c r="BJ820" s="38"/>
      <c r="BK820" s="38"/>
      <c r="BL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38"/>
      <c r="AY821" s="38"/>
      <c r="AZ821" s="38"/>
      <c r="BA821" s="38"/>
      <c r="BB821" s="38"/>
      <c r="BC821" s="38"/>
      <c r="BD821" s="38"/>
      <c r="BE821" s="38"/>
      <c r="BF821" s="38"/>
      <c r="BG821" s="38"/>
      <c r="BH821" s="38"/>
      <c r="BI821" s="38"/>
      <c r="BJ821" s="38"/>
      <c r="BK821" s="38"/>
      <c r="BL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38"/>
      <c r="AY822" s="38"/>
      <c r="AZ822" s="38"/>
      <c r="BA822" s="38"/>
      <c r="BB822" s="38"/>
      <c r="BC822" s="38"/>
      <c r="BD822" s="38"/>
      <c r="BE822" s="38"/>
      <c r="BF822" s="38"/>
      <c r="BG822" s="38"/>
      <c r="BH822" s="38"/>
      <c r="BI822" s="38"/>
      <c r="BJ822" s="38"/>
      <c r="BK822" s="38"/>
      <c r="BL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38"/>
      <c r="AY823" s="38"/>
      <c r="AZ823" s="38"/>
      <c r="BA823" s="38"/>
      <c r="BB823" s="38"/>
      <c r="BC823" s="38"/>
      <c r="BD823" s="38"/>
      <c r="BE823" s="38"/>
      <c r="BF823" s="38"/>
      <c r="BG823" s="38"/>
      <c r="BH823" s="38"/>
      <c r="BI823" s="38"/>
      <c r="BJ823" s="38"/>
      <c r="BK823" s="38"/>
      <c r="BL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38"/>
      <c r="AY824" s="38"/>
      <c r="AZ824" s="38"/>
      <c r="BA824" s="38"/>
      <c r="BB824" s="38"/>
      <c r="BC824" s="38"/>
      <c r="BD824" s="38"/>
      <c r="BE824" s="38"/>
      <c r="BF824" s="38"/>
      <c r="BG824" s="38"/>
      <c r="BH824" s="38"/>
      <c r="BI824" s="38"/>
      <c r="BJ824" s="38"/>
      <c r="BK824" s="38"/>
      <c r="BL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38"/>
      <c r="AY825" s="38"/>
      <c r="AZ825" s="38"/>
      <c r="BA825" s="38"/>
      <c r="BB825" s="38"/>
      <c r="BC825" s="38"/>
      <c r="BD825" s="38"/>
      <c r="BE825" s="38"/>
      <c r="BF825" s="38"/>
      <c r="BG825" s="38"/>
      <c r="BH825" s="38"/>
      <c r="BI825" s="38"/>
      <c r="BJ825" s="38"/>
      <c r="BK825" s="38"/>
      <c r="BL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38"/>
      <c r="AY826" s="38"/>
      <c r="AZ826" s="38"/>
      <c r="BA826" s="38"/>
      <c r="BB826" s="38"/>
      <c r="BC826" s="38"/>
      <c r="BD826" s="38"/>
      <c r="BE826" s="38"/>
      <c r="BF826" s="38"/>
      <c r="BG826" s="38"/>
      <c r="BH826" s="38"/>
      <c r="BI826" s="38"/>
      <c r="BJ826" s="38"/>
      <c r="BK826" s="38"/>
      <c r="BL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38"/>
      <c r="AY827" s="38"/>
      <c r="AZ827" s="38"/>
      <c r="BA827" s="38"/>
      <c r="BB827" s="38"/>
      <c r="BC827" s="38"/>
      <c r="BD827" s="38"/>
      <c r="BE827" s="38"/>
      <c r="BF827" s="38"/>
      <c r="BG827" s="38"/>
      <c r="BH827" s="38"/>
      <c r="BI827" s="38"/>
      <c r="BJ827" s="38"/>
      <c r="BK827" s="38"/>
      <c r="BL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38"/>
      <c r="AY828" s="38"/>
      <c r="AZ828" s="38"/>
      <c r="BA828" s="38"/>
      <c r="BB828" s="38"/>
      <c r="BC828" s="38"/>
      <c r="BD828" s="38"/>
      <c r="BE828" s="38"/>
      <c r="BF828" s="38"/>
      <c r="BG828" s="38"/>
      <c r="BH828" s="38"/>
      <c r="BI828" s="38"/>
      <c r="BJ828" s="38"/>
      <c r="BK828" s="38"/>
      <c r="BL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38"/>
      <c r="AY829" s="38"/>
      <c r="AZ829" s="38"/>
      <c r="BA829" s="38"/>
      <c r="BB829" s="38"/>
      <c r="BC829" s="38"/>
      <c r="BD829" s="38"/>
      <c r="BE829" s="38"/>
      <c r="BF829" s="38"/>
      <c r="BG829" s="38"/>
      <c r="BH829" s="38"/>
      <c r="BI829" s="38"/>
      <c r="BJ829" s="38"/>
      <c r="BK829" s="38"/>
      <c r="BL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38"/>
      <c r="AY830" s="38"/>
      <c r="AZ830" s="38"/>
      <c r="BA830" s="38"/>
      <c r="BB830" s="38"/>
      <c r="BC830" s="38"/>
      <c r="BD830" s="38"/>
      <c r="BE830" s="38"/>
      <c r="BF830" s="38"/>
      <c r="BG830" s="38"/>
      <c r="BH830" s="38"/>
      <c r="BI830" s="38"/>
      <c r="BJ830" s="38"/>
      <c r="BK830" s="38"/>
      <c r="BL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38"/>
      <c r="AY831" s="38"/>
      <c r="AZ831" s="38"/>
      <c r="BA831" s="38"/>
      <c r="BB831" s="38"/>
      <c r="BC831" s="38"/>
      <c r="BD831" s="38"/>
      <c r="BE831" s="38"/>
      <c r="BF831" s="38"/>
      <c r="BG831" s="38"/>
      <c r="BH831" s="38"/>
      <c r="BI831" s="38"/>
      <c r="BJ831" s="38"/>
      <c r="BK831" s="38"/>
      <c r="BL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38"/>
      <c r="AY832" s="38"/>
      <c r="AZ832" s="38"/>
      <c r="BA832" s="38"/>
      <c r="BB832" s="38"/>
      <c r="BC832" s="38"/>
      <c r="BD832" s="38"/>
      <c r="BE832" s="38"/>
      <c r="BF832" s="38"/>
      <c r="BG832" s="38"/>
      <c r="BH832" s="38"/>
      <c r="BI832" s="38"/>
      <c r="BJ832" s="38"/>
      <c r="BK832" s="38"/>
      <c r="BL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38"/>
      <c r="AY833" s="38"/>
      <c r="AZ833" s="38"/>
      <c r="BA833" s="38"/>
      <c r="BB833" s="38"/>
      <c r="BC833" s="38"/>
      <c r="BD833" s="38"/>
      <c r="BE833" s="38"/>
      <c r="BF833" s="38"/>
      <c r="BG833" s="38"/>
      <c r="BH833" s="38"/>
      <c r="BI833" s="38"/>
      <c r="BJ833" s="38"/>
      <c r="BK833" s="38"/>
      <c r="BL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38"/>
      <c r="AY834" s="38"/>
      <c r="AZ834" s="38"/>
      <c r="BA834" s="38"/>
      <c r="BB834" s="38"/>
      <c r="BC834" s="38"/>
      <c r="BD834" s="38"/>
      <c r="BE834" s="38"/>
      <c r="BF834" s="38"/>
      <c r="BG834" s="38"/>
      <c r="BH834" s="38"/>
      <c r="BI834" s="38"/>
      <c r="BJ834" s="38"/>
      <c r="BK834" s="38"/>
      <c r="BL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38"/>
      <c r="AY835" s="38"/>
      <c r="AZ835" s="38"/>
      <c r="BA835" s="38"/>
      <c r="BB835" s="38"/>
      <c r="BC835" s="38"/>
      <c r="BD835" s="38"/>
      <c r="BE835" s="38"/>
      <c r="BF835" s="38"/>
      <c r="BG835" s="38"/>
      <c r="BH835" s="38"/>
      <c r="BI835" s="38"/>
      <c r="BJ835" s="38"/>
      <c r="BK835" s="38"/>
      <c r="BL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38"/>
      <c r="AY836" s="38"/>
      <c r="AZ836" s="38"/>
      <c r="BA836" s="38"/>
      <c r="BB836" s="38"/>
      <c r="BC836" s="38"/>
      <c r="BD836" s="38"/>
      <c r="BE836" s="38"/>
      <c r="BF836" s="38"/>
      <c r="BG836" s="38"/>
      <c r="BH836" s="38"/>
      <c r="BI836" s="38"/>
      <c r="BJ836" s="38"/>
      <c r="BK836" s="38"/>
      <c r="BL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38"/>
      <c r="AY837" s="38"/>
      <c r="AZ837" s="38"/>
      <c r="BA837" s="38"/>
      <c r="BB837" s="38"/>
      <c r="BC837" s="38"/>
      <c r="BD837" s="38"/>
      <c r="BE837" s="38"/>
      <c r="BF837" s="38"/>
      <c r="BG837" s="38"/>
      <c r="BH837" s="38"/>
      <c r="BI837" s="38"/>
      <c r="BJ837" s="38"/>
      <c r="BK837" s="38"/>
      <c r="BL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38"/>
      <c r="AY838" s="38"/>
      <c r="AZ838" s="38"/>
      <c r="BA838" s="38"/>
      <c r="BB838" s="38"/>
      <c r="BC838" s="38"/>
      <c r="BD838" s="38"/>
      <c r="BE838" s="38"/>
      <c r="BF838" s="38"/>
      <c r="BG838" s="38"/>
      <c r="BH838" s="38"/>
      <c r="BI838" s="38"/>
      <c r="BJ838" s="38"/>
      <c r="BK838" s="38"/>
      <c r="BL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38"/>
      <c r="AY839" s="38"/>
      <c r="AZ839" s="38"/>
      <c r="BA839" s="38"/>
      <c r="BB839" s="38"/>
      <c r="BC839" s="38"/>
      <c r="BD839" s="38"/>
      <c r="BE839" s="38"/>
      <c r="BF839" s="38"/>
      <c r="BG839" s="38"/>
      <c r="BH839" s="38"/>
      <c r="BI839" s="38"/>
      <c r="BJ839" s="38"/>
      <c r="BK839" s="38"/>
      <c r="BL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38"/>
      <c r="AY840" s="38"/>
      <c r="AZ840" s="38"/>
      <c r="BA840" s="38"/>
      <c r="BB840" s="38"/>
      <c r="BC840" s="38"/>
      <c r="BD840" s="38"/>
      <c r="BE840" s="38"/>
      <c r="BF840" s="38"/>
      <c r="BG840" s="38"/>
      <c r="BH840" s="38"/>
      <c r="BI840" s="38"/>
      <c r="BJ840" s="38"/>
      <c r="BK840" s="38"/>
      <c r="BL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38"/>
      <c r="AY841" s="38"/>
      <c r="AZ841" s="38"/>
      <c r="BA841" s="38"/>
      <c r="BB841" s="38"/>
      <c r="BC841" s="38"/>
      <c r="BD841" s="38"/>
      <c r="BE841" s="38"/>
      <c r="BF841" s="38"/>
      <c r="BG841" s="38"/>
      <c r="BH841" s="38"/>
      <c r="BI841" s="38"/>
      <c r="BJ841" s="38"/>
      <c r="BK841" s="38"/>
      <c r="BL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38"/>
      <c r="AY842" s="38"/>
      <c r="AZ842" s="38"/>
      <c r="BA842" s="38"/>
      <c r="BB842" s="38"/>
      <c r="BC842" s="38"/>
      <c r="BD842" s="38"/>
      <c r="BE842" s="38"/>
      <c r="BF842" s="38"/>
      <c r="BG842" s="38"/>
      <c r="BH842" s="38"/>
      <c r="BI842" s="38"/>
      <c r="BJ842" s="38"/>
      <c r="BK842" s="38"/>
      <c r="BL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38"/>
      <c r="AY843" s="38"/>
      <c r="AZ843" s="38"/>
      <c r="BA843" s="38"/>
      <c r="BB843" s="38"/>
      <c r="BC843" s="38"/>
      <c r="BD843" s="38"/>
      <c r="BE843" s="38"/>
      <c r="BF843" s="38"/>
      <c r="BG843" s="38"/>
      <c r="BH843" s="38"/>
      <c r="BI843" s="38"/>
      <c r="BJ843" s="38"/>
      <c r="BK843" s="38"/>
      <c r="BL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38"/>
      <c r="AY844" s="38"/>
      <c r="AZ844" s="38"/>
      <c r="BA844" s="38"/>
      <c r="BB844" s="38"/>
      <c r="BC844" s="38"/>
      <c r="BD844" s="38"/>
      <c r="BE844" s="38"/>
      <c r="BF844" s="38"/>
      <c r="BG844" s="38"/>
      <c r="BH844" s="38"/>
      <c r="BI844" s="38"/>
      <c r="BJ844" s="38"/>
      <c r="BK844" s="38"/>
      <c r="BL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38"/>
      <c r="AY845" s="38"/>
      <c r="AZ845" s="38"/>
      <c r="BA845" s="38"/>
      <c r="BB845" s="38"/>
      <c r="BC845" s="38"/>
      <c r="BD845" s="38"/>
      <c r="BE845" s="38"/>
      <c r="BF845" s="38"/>
      <c r="BG845" s="38"/>
      <c r="BH845" s="38"/>
      <c r="BI845" s="38"/>
      <c r="BJ845" s="38"/>
      <c r="BK845" s="38"/>
      <c r="BL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38"/>
      <c r="AY846" s="38"/>
      <c r="AZ846" s="38"/>
      <c r="BA846" s="38"/>
      <c r="BB846" s="38"/>
      <c r="BC846" s="38"/>
      <c r="BD846" s="38"/>
      <c r="BE846" s="38"/>
      <c r="BF846" s="38"/>
      <c r="BG846" s="38"/>
      <c r="BH846" s="38"/>
      <c r="BI846" s="38"/>
      <c r="BJ846" s="38"/>
      <c r="BK846" s="38"/>
      <c r="BL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38"/>
      <c r="AY847" s="38"/>
      <c r="AZ847" s="38"/>
      <c r="BA847" s="38"/>
      <c r="BB847" s="38"/>
      <c r="BC847" s="38"/>
      <c r="BD847" s="38"/>
      <c r="BE847" s="38"/>
      <c r="BF847" s="38"/>
      <c r="BG847" s="38"/>
      <c r="BH847" s="38"/>
      <c r="BI847" s="38"/>
      <c r="BJ847" s="38"/>
      <c r="BK847" s="38"/>
      <c r="BL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38"/>
      <c r="AY848" s="38"/>
      <c r="AZ848" s="38"/>
      <c r="BA848" s="38"/>
      <c r="BB848" s="38"/>
      <c r="BC848" s="38"/>
      <c r="BD848" s="38"/>
      <c r="BE848" s="38"/>
      <c r="BF848" s="38"/>
      <c r="BG848" s="38"/>
      <c r="BH848" s="38"/>
      <c r="BI848" s="38"/>
      <c r="BJ848" s="38"/>
      <c r="BK848" s="38"/>
      <c r="BL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38"/>
      <c r="AY849" s="38"/>
      <c r="AZ849" s="38"/>
      <c r="BA849" s="38"/>
      <c r="BB849" s="38"/>
      <c r="BC849" s="38"/>
      <c r="BD849" s="38"/>
      <c r="BE849" s="38"/>
      <c r="BF849" s="38"/>
      <c r="BG849" s="38"/>
      <c r="BH849" s="38"/>
      <c r="BI849" s="38"/>
      <c r="BJ849" s="38"/>
      <c r="BK849" s="38"/>
      <c r="BL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38"/>
      <c r="AY850" s="38"/>
      <c r="AZ850" s="38"/>
      <c r="BA850" s="38"/>
      <c r="BB850" s="38"/>
      <c r="BC850" s="38"/>
      <c r="BD850" s="38"/>
      <c r="BE850" s="38"/>
      <c r="BF850" s="38"/>
      <c r="BG850" s="38"/>
      <c r="BH850" s="38"/>
      <c r="BI850" s="38"/>
      <c r="BJ850" s="38"/>
      <c r="BK850" s="38"/>
      <c r="BL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38"/>
      <c r="AY851" s="38"/>
      <c r="AZ851" s="38"/>
      <c r="BA851" s="38"/>
      <c r="BB851" s="38"/>
      <c r="BC851" s="38"/>
      <c r="BD851" s="38"/>
      <c r="BE851" s="38"/>
      <c r="BF851" s="38"/>
      <c r="BG851" s="38"/>
      <c r="BH851" s="38"/>
      <c r="BI851" s="38"/>
      <c r="BJ851" s="38"/>
      <c r="BK851" s="38"/>
      <c r="BL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38"/>
      <c r="AY852" s="38"/>
      <c r="AZ852" s="38"/>
      <c r="BA852" s="38"/>
      <c r="BB852" s="38"/>
      <c r="BC852" s="38"/>
      <c r="BD852" s="38"/>
      <c r="BE852" s="38"/>
      <c r="BF852" s="38"/>
      <c r="BG852" s="38"/>
      <c r="BH852" s="38"/>
      <c r="BI852" s="38"/>
      <c r="BJ852" s="38"/>
      <c r="BK852" s="38"/>
      <c r="BL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38"/>
      <c r="AY853" s="38"/>
      <c r="AZ853" s="38"/>
      <c r="BA853" s="38"/>
      <c r="BB853" s="38"/>
      <c r="BC853" s="38"/>
      <c r="BD853" s="38"/>
      <c r="BE853" s="38"/>
      <c r="BF853" s="38"/>
      <c r="BG853" s="38"/>
      <c r="BH853" s="38"/>
      <c r="BI853" s="38"/>
      <c r="BJ853" s="38"/>
      <c r="BK853" s="38"/>
      <c r="BL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38"/>
      <c r="AY854" s="38"/>
      <c r="AZ854" s="38"/>
      <c r="BA854" s="38"/>
      <c r="BB854" s="38"/>
      <c r="BC854" s="38"/>
      <c r="BD854" s="38"/>
      <c r="BE854" s="38"/>
      <c r="BF854" s="38"/>
      <c r="BG854" s="38"/>
      <c r="BH854" s="38"/>
      <c r="BI854" s="38"/>
      <c r="BJ854" s="38"/>
      <c r="BK854" s="38"/>
      <c r="BL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38"/>
      <c r="AY855" s="38"/>
      <c r="AZ855" s="38"/>
      <c r="BA855" s="38"/>
      <c r="BB855" s="38"/>
      <c r="BC855" s="38"/>
      <c r="BD855" s="38"/>
      <c r="BE855" s="38"/>
      <c r="BF855" s="38"/>
      <c r="BG855" s="38"/>
      <c r="BH855" s="38"/>
      <c r="BI855" s="38"/>
      <c r="BJ855" s="38"/>
      <c r="BK855" s="38"/>
      <c r="BL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38"/>
      <c r="AY856" s="38"/>
      <c r="AZ856" s="38"/>
      <c r="BA856" s="38"/>
      <c r="BB856" s="38"/>
      <c r="BC856" s="38"/>
      <c r="BD856" s="38"/>
      <c r="BE856" s="38"/>
      <c r="BF856" s="38"/>
      <c r="BG856" s="38"/>
      <c r="BH856" s="38"/>
      <c r="BI856" s="38"/>
      <c r="BJ856" s="38"/>
      <c r="BK856" s="38"/>
      <c r="BL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38"/>
      <c r="AY857" s="38"/>
      <c r="AZ857" s="38"/>
      <c r="BA857" s="38"/>
      <c r="BB857" s="38"/>
      <c r="BC857" s="38"/>
      <c r="BD857" s="38"/>
      <c r="BE857" s="38"/>
      <c r="BF857" s="38"/>
      <c r="BG857" s="38"/>
      <c r="BH857" s="38"/>
      <c r="BI857" s="38"/>
      <c r="BJ857" s="38"/>
      <c r="BK857" s="38"/>
      <c r="BL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38"/>
      <c r="AY858" s="38"/>
      <c r="AZ858" s="38"/>
      <c r="BA858" s="38"/>
      <c r="BB858" s="38"/>
      <c r="BC858" s="38"/>
      <c r="BD858" s="38"/>
      <c r="BE858" s="38"/>
      <c r="BF858" s="38"/>
      <c r="BG858" s="38"/>
      <c r="BH858" s="38"/>
      <c r="BI858" s="38"/>
      <c r="BJ858" s="38"/>
      <c r="BK858" s="38"/>
      <c r="BL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38"/>
      <c r="AY859" s="38"/>
      <c r="AZ859" s="38"/>
      <c r="BA859" s="38"/>
      <c r="BB859" s="38"/>
      <c r="BC859" s="38"/>
      <c r="BD859" s="38"/>
      <c r="BE859" s="38"/>
      <c r="BF859" s="38"/>
      <c r="BG859" s="38"/>
      <c r="BH859" s="38"/>
      <c r="BI859" s="38"/>
      <c r="BJ859" s="38"/>
      <c r="BK859" s="38"/>
      <c r="BL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38"/>
      <c r="AY860" s="38"/>
      <c r="AZ860" s="38"/>
      <c r="BA860" s="38"/>
      <c r="BB860" s="38"/>
      <c r="BC860" s="38"/>
      <c r="BD860" s="38"/>
      <c r="BE860" s="38"/>
      <c r="BF860" s="38"/>
      <c r="BG860" s="38"/>
      <c r="BH860" s="38"/>
      <c r="BI860" s="38"/>
      <c r="BJ860" s="38"/>
      <c r="BK860" s="38"/>
      <c r="BL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38"/>
      <c r="AY861" s="38"/>
      <c r="AZ861" s="38"/>
      <c r="BA861" s="38"/>
      <c r="BB861" s="38"/>
      <c r="BC861" s="38"/>
      <c r="BD861" s="38"/>
      <c r="BE861" s="38"/>
      <c r="BF861" s="38"/>
      <c r="BG861" s="38"/>
      <c r="BH861" s="38"/>
      <c r="BI861" s="38"/>
      <c r="BJ861" s="38"/>
      <c r="BK861" s="38"/>
      <c r="BL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38"/>
      <c r="AY862" s="38"/>
      <c r="AZ862" s="38"/>
      <c r="BA862" s="38"/>
      <c r="BB862" s="38"/>
      <c r="BC862" s="38"/>
      <c r="BD862" s="38"/>
      <c r="BE862" s="38"/>
      <c r="BF862" s="38"/>
      <c r="BG862" s="38"/>
      <c r="BH862" s="38"/>
      <c r="BI862" s="38"/>
      <c r="BJ862" s="38"/>
      <c r="BK862" s="38"/>
      <c r="BL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38"/>
      <c r="AY863" s="38"/>
      <c r="AZ863" s="38"/>
      <c r="BA863" s="38"/>
      <c r="BB863" s="38"/>
      <c r="BC863" s="38"/>
      <c r="BD863" s="38"/>
      <c r="BE863" s="38"/>
      <c r="BF863" s="38"/>
      <c r="BG863" s="38"/>
      <c r="BH863" s="38"/>
      <c r="BI863" s="38"/>
      <c r="BJ863" s="38"/>
      <c r="BK863" s="38"/>
      <c r="BL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38"/>
      <c r="AY864" s="38"/>
      <c r="AZ864" s="38"/>
      <c r="BA864" s="38"/>
      <c r="BB864" s="38"/>
      <c r="BC864" s="38"/>
      <c r="BD864" s="38"/>
      <c r="BE864" s="38"/>
      <c r="BF864" s="38"/>
      <c r="BG864" s="38"/>
      <c r="BH864" s="38"/>
      <c r="BI864" s="38"/>
      <c r="BJ864" s="38"/>
      <c r="BK864" s="38"/>
      <c r="BL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38"/>
      <c r="AY865" s="38"/>
      <c r="AZ865" s="38"/>
      <c r="BA865" s="38"/>
      <c r="BB865" s="38"/>
      <c r="BC865" s="38"/>
      <c r="BD865" s="38"/>
      <c r="BE865" s="38"/>
      <c r="BF865" s="38"/>
      <c r="BG865" s="38"/>
      <c r="BH865" s="38"/>
      <c r="BI865" s="38"/>
      <c r="BJ865" s="38"/>
      <c r="BK865" s="38"/>
      <c r="BL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38"/>
      <c r="AY866" s="38"/>
      <c r="AZ866" s="38"/>
      <c r="BA866" s="38"/>
      <c r="BB866" s="38"/>
      <c r="BC866" s="38"/>
      <c r="BD866" s="38"/>
      <c r="BE866" s="38"/>
      <c r="BF866" s="38"/>
      <c r="BG866" s="38"/>
      <c r="BH866" s="38"/>
      <c r="BI866" s="38"/>
      <c r="BJ866" s="38"/>
      <c r="BK866" s="38"/>
      <c r="BL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38"/>
      <c r="AY867" s="38"/>
      <c r="AZ867" s="38"/>
      <c r="BA867" s="38"/>
      <c r="BB867" s="38"/>
      <c r="BC867" s="38"/>
      <c r="BD867" s="38"/>
      <c r="BE867" s="38"/>
      <c r="BF867" s="38"/>
      <c r="BG867" s="38"/>
      <c r="BH867" s="38"/>
      <c r="BI867" s="38"/>
      <c r="BJ867" s="38"/>
      <c r="BK867" s="38"/>
      <c r="BL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38"/>
      <c r="AY868" s="38"/>
      <c r="AZ868" s="38"/>
      <c r="BA868" s="38"/>
      <c r="BB868" s="38"/>
      <c r="BC868" s="38"/>
      <c r="BD868" s="38"/>
      <c r="BE868" s="38"/>
      <c r="BF868" s="38"/>
      <c r="BG868" s="38"/>
      <c r="BH868" s="38"/>
      <c r="BI868" s="38"/>
      <c r="BJ868" s="38"/>
      <c r="BK868" s="38"/>
      <c r="BL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38"/>
      <c r="AY869" s="38"/>
      <c r="AZ869" s="38"/>
      <c r="BA869" s="38"/>
      <c r="BB869" s="38"/>
      <c r="BC869" s="38"/>
      <c r="BD869" s="38"/>
      <c r="BE869" s="38"/>
      <c r="BF869" s="38"/>
      <c r="BG869" s="38"/>
      <c r="BH869" s="38"/>
      <c r="BI869" s="38"/>
      <c r="BJ869" s="38"/>
      <c r="BK869" s="38"/>
      <c r="BL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38"/>
      <c r="AY870" s="38"/>
      <c r="AZ870" s="38"/>
      <c r="BA870" s="38"/>
      <c r="BB870" s="38"/>
      <c r="BC870" s="38"/>
      <c r="BD870" s="38"/>
      <c r="BE870" s="38"/>
      <c r="BF870" s="38"/>
      <c r="BG870" s="38"/>
      <c r="BH870" s="38"/>
      <c r="BI870" s="38"/>
      <c r="BJ870" s="38"/>
      <c r="BK870" s="38"/>
      <c r="BL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38"/>
      <c r="AY871" s="38"/>
      <c r="AZ871" s="38"/>
      <c r="BA871" s="38"/>
      <c r="BB871" s="38"/>
      <c r="BC871" s="38"/>
      <c r="BD871" s="38"/>
      <c r="BE871" s="38"/>
      <c r="BF871" s="38"/>
      <c r="BG871" s="38"/>
      <c r="BH871" s="38"/>
      <c r="BI871" s="38"/>
      <c r="BJ871" s="38"/>
      <c r="BK871" s="38"/>
      <c r="BL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38"/>
      <c r="AY872" s="38"/>
      <c r="AZ872" s="38"/>
      <c r="BA872" s="38"/>
      <c r="BB872" s="38"/>
      <c r="BC872" s="38"/>
      <c r="BD872" s="38"/>
      <c r="BE872" s="38"/>
      <c r="BF872" s="38"/>
      <c r="BG872" s="38"/>
      <c r="BH872" s="38"/>
      <c r="BI872" s="38"/>
      <c r="BJ872" s="38"/>
      <c r="BK872" s="38"/>
      <c r="BL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38"/>
      <c r="AY873" s="38"/>
      <c r="AZ873" s="38"/>
      <c r="BA873" s="38"/>
      <c r="BB873" s="38"/>
      <c r="BC873" s="38"/>
      <c r="BD873" s="38"/>
      <c r="BE873" s="38"/>
      <c r="BF873" s="38"/>
      <c r="BG873" s="38"/>
      <c r="BH873" s="38"/>
      <c r="BI873" s="38"/>
      <c r="BJ873" s="38"/>
      <c r="BK873" s="38"/>
      <c r="BL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38"/>
      <c r="AY874" s="38"/>
      <c r="AZ874" s="38"/>
      <c r="BA874" s="38"/>
      <c r="BB874" s="38"/>
      <c r="BC874" s="38"/>
      <c r="BD874" s="38"/>
      <c r="BE874" s="38"/>
      <c r="BF874" s="38"/>
      <c r="BG874" s="38"/>
      <c r="BH874" s="38"/>
      <c r="BI874" s="38"/>
      <c r="BJ874" s="38"/>
      <c r="BK874" s="38"/>
      <c r="BL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38"/>
      <c r="AY875" s="38"/>
      <c r="AZ875" s="38"/>
      <c r="BA875" s="38"/>
      <c r="BB875" s="38"/>
      <c r="BC875" s="38"/>
      <c r="BD875" s="38"/>
      <c r="BE875" s="38"/>
      <c r="BF875" s="38"/>
      <c r="BG875" s="38"/>
      <c r="BH875" s="38"/>
      <c r="BI875" s="38"/>
      <c r="BJ875" s="38"/>
      <c r="BK875" s="38"/>
      <c r="BL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38"/>
      <c r="AY876" s="38"/>
      <c r="AZ876" s="38"/>
      <c r="BA876" s="38"/>
      <c r="BB876" s="38"/>
      <c r="BC876" s="38"/>
      <c r="BD876" s="38"/>
      <c r="BE876" s="38"/>
      <c r="BF876" s="38"/>
      <c r="BG876" s="38"/>
      <c r="BH876" s="38"/>
      <c r="BI876" s="38"/>
      <c r="BJ876" s="38"/>
      <c r="BK876" s="38"/>
      <c r="BL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38"/>
      <c r="AY877" s="38"/>
      <c r="AZ877" s="38"/>
      <c r="BA877" s="38"/>
      <c r="BB877" s="38"/>
      <c r="BC877" s="38"/>
      <c r="BD877" s="38"/>
      <c r="BE877" s="38"/>
      <c r="BF877" s="38"/>
      <c r="BG877" s="38"/>
      <c r="BH877" s="38"/>
      <c r="BI877" s="38"/>
      <c r="BJ877" s="38"/>
      <c r="BK877" s="38"/>
      <c r="BL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38"/>
      <c r="AY878" s="38"/>
      <c r="AZ878" s="38"/>
      <c r="BA878" s="38"/>
      <c r="BB878" s="38"/>
      <c r="BC878" s="38"/>
      <c r="BD878" s="38"/>
      <c r="BE878" s="38"/>
      <c r="BF878" s="38"/>
      <c r="BG878" s="38"/>
      <c r="BH878" s="38"/>
      <c r="BI878" s="38"/>
      <c r="BJ878" s="38"/>
      <c r="BK878" s="38"/>
      <c r="BL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38"/>
      <c r="AY879" s="38"/>
      <c r="AZ879" s="38"/>
      <c r="BA879" s="38"/>
      <c r="BB879" s="38"/>
      <c r="BC879" s="38"/>
      <c r="BD879" s="38"/>
      <c r="BE879" s="38"/>
      <c r="BF879" s="38"/>
      <c r="BG879" s="38"/>
      <c r="BH879" s="38"/>
      <c r="BI879" s="38"/>
      <c r="BJ879" s="38"/>
      <c r="BK879" s="38"/>
      <c r="BL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38"/>
      <c r="AY880" s="38"/>
      <c r="AZ880" s="38"/>
      <c r="BA880" s="38"/>
      <c r="BB880" s="38"/>
      <c r="BC880" s="38"/>
      <c r="BD880" s="38"/>
      <c r="BE880" s="38"/>
      <c r="BF880" s="38"/>
      <c r="BG880" s="38"/>
      <c r="BH880" s="38"/>
      <c r="BI880" s="38"/>
      <c r="BJ880" s="38"/>
      <c r="BK880" s="38"/>
      <c r="BL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38"/>
      <c r="AY881" s="38"/>
      <c r="AZ881" s="38"/>
      <c r="BA881" s="38"/>
      <c r="BB881" s="38"/>
      <c r="BC881" s="38"/>
      <c r="BD881" s="38"/>
      <c r="BE881" s="38"/>
      <c r="BF881" s="38"/>
      <c r="BG881" s="38"/>
      <c r="BH881" s="38"/>
      <c r="BI881" s="38"/>
      <c r="BJ881" s="38"/>
      <c r="BK881" s="38"/>
      <c r="BL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38"/>
      <c r="AY882" s="38"/>
      <c r="AZ882" s="38"/>
      <c r="BA882" s="38"/>
      <c r="BB882" s="38"/>
      <c r="BC882" s="38"/>
      <c r="BD882" s="38"/>
      <c r="BE882" s="38"/>
      <c r="BF882" s="38"/>
      <c r="BG882" s="38"/>
      <c r="BH882" s="38"/>
      <c r="BI882" s="38"/>
      <c r="BJ882" s="38"/>
      <c r="BK882" s="38"/>
      <c r="BL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38"/>
      <c r="AY883" s="38"/>
      <c r="AZ883" s="38"/>
      <c r="BA883" s="38"/>
      <c r="BB883" s="38"/>
      <c r="BC883" s="38"/>
      <c r="BD883" s="38"/>
      <c r="BE883" s="38"/>
      <c r="BF883" s="38"/>
      <c r="BG883" s="38"/>
      <c r="BH883" s="38"/>
      <c r="BI883" s="38"/>
      <c r="BJ883" s="38"/>
      <c r="BK883" s="38"/>
      <c r="BL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38"/>
      <c r="AY884" s="38"/>
      <c r="AZ884" s="38"/>
      <c r="BA884" s="38"/>
      <c r="BB884" s="38"/>
      <c r="BC884" s="38"/>
      <c r="BD884" s="38"/>
      <c r="BE884" s="38"/>
      <c r="BF884" s="38"/>
      <c r="BG884" s="38"/>
      <c r="BH884" s="38"/>
      <c r="BI884" s="38"/>
      <c r="BJ884" s="38"/>
      <c r="BK884" s="38"/>
      <c r="BL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38"/>
      <c r="AY885" s="38"/>
      <c r="AZ885" s="38"/>
      <c r="BA885" s="38"/>
      <c r="BB885" s="38"/>
      <c r="BC885" s="38"/>
      <c r="BD885" s="38"/>
      <c r="BE885" s="38"/>
      <c r="BF885" s="38"/>
      <c r="BG885" s="38"/>
      <c r="BH885" s="38"/>
      <c r="BI885" s="38"/>
      <c r="BJ885" s="38"/>
      <c r="BK885" s="38"/>
      <c r="BL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38"/>
      <c r="AY886" s="38"/>
      <c r="AZ886" s="38"/>
      <c r="BA886" s="38"/>
      <c r="BB886" s="38"/>
      <c r="BC886" s="38"/>
      <c r="BD886" s="38"/>
      <c r="BE886" s="38"/>
      <c r="BF886" s="38"/>
      <c r="BG886" s="38"/>
      <c r="BH886" s="38"/>
      <c r="BI886" s="38"/>
      <c r="BJ886" s="38"/>
      <c r="BK886" s="38"/>
      <c r="BL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38"/>
      <c r="AY887" s="38"/>
      <c r="AZ887" s="38"/>
      <c r="BA887" s="38"/>
      <c r="BB887" s="38"/>
      <c r="BC887" s="38"/>
      <c r="BD887" s="38"/>
      <c r="BE887" s="38"/>
      <c r="BF887" s="38"/>
      <c r="BG887" s="38"/>
      <c r="BH887" s="38"/>
      <c r="BI887" s="38"/>
      <c r="BJ887" s="38"/>
      <c r="BK887" s="38"/>
      <c r="BL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38"/>
      <c r="AY888" s="38"/>
      <c r="AZ888" s="38"/>
      <c r="BA888" s="38"/>
      <c r="BB888" s="38"/>
      <c r="BC888" s="38"/>
      <c r="BD888" s="38"/>
      <c r="BE888" s="38"/>
      <c r="BF888" s="38"/>
      <c r="BG888" s="38"/>
      <c r="BH888" s="38"/>
      <c r="BI888" s="38"/>
      <c r="BJ888" s="38"/>
      <c r="BK888" s="38"/>
      <c r="BL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38"/>
      <c r="AY889" s="38"/>
      <c r="AZ889" s="38"/>
      <c r="BA889" s="38"/>
      <c r="BB889" s="38"/>
      <c r="BC889" s="38"/>
      <c r="BD889" s="38"/>
      <c r="BE889" s="38"/>
      <c r="BF889" s="38"/>
      <c r="BG889" s="38"/>
      <c r="BH889" s="38"/>
      <c r="BI889" s="38"/>
      <c r="BJ889" s="38"/>
      <c r="BK889" s="38"/>
      <c r="BL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38"/>
      <c r="AY890" s="38"/>
      <c r="AZ890" s="38"/>
      <c r="BA890" s="38"/>
      <c r="BB890" s="38"/>
      <c r="BC890" s="38"/>
      <c r="BD890" s="38"/>
      <c r="BE890" s="38"/>
      <c r="BF890" s="38"/>
      <c r="BG890" s="38"/>
      <c r="BH890" s="38"/>
      <c r="BI890" s="38"/>
      <c r="BJ890" s="38"/>
      <c r="BK890" s="38"/>
      <c r="BL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38"/>
      <c r="AY891" s="38"/>
      <c r="AZ891" s="38"/>
      <c r="BA891" s="38"/>
      <c r="BB891" s="38"/>
      <c r="BC891" s="38"/>
      <c r="BD891" s="38"/>
      <c r="BE891" s="38"/>
      <c r="BF891" s="38"/>
      <c r="BG891" s="38"/>
      <c r="BH891" s="38"/>
      <c r="BI891" s="38"/>
      <c r="BJ891" s="38"/>
      <c r="BK891" s="38"/>
      <c r="BL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38"/>
      <c r="AY892" s="38"/>
      <c r="AZ892" s="38"/>
      <c r="BA892" s="38"/>
      <c r="BB892" s="38"/>
      <c r="BC892" s="38"/>
      <c r="BD892" s="38"/>
      <c r="BE892" s="38"/>
      <c r="BF892" s="38"/>
      <c r="BG892" s="38"/>
      <c r="BH892" s="38"/>
      <c r="BI892" s="38"/>
      <c r="BJ892" s="38"/>
      <c r="BK892" s="38"/>
      <c r="BL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38"/>
      <c r="AY893" s="38"/>
      <c r="AZ893" s="38"/>
      <c r="BA893" s="38"/>
      <c r="BB893" s="38"/>
      <c r="BC893" s="38"/>
      <c r="BD893" s="38"/>
      <c r="BE893" s="38"/>
      <c r="BF893" s="38"/>
      <c r="BG893" s="38"/>
      <c r="BH893" s="38"/>
      <c r="BI893" s="38"/>
      <c r="BJ893" s="38"/>
      <c r="BK893" s="38"/>
      <c r="BL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38"/>
      <c r="AY894" s="38"/>
      <c r="AZ894" s="38"/>
      <c r="BA894" s="38"/>
      <c r="BB894" s="38"/>
      <c r="BC894" s="38"/>
      <c r="BD894" s="38"/>
      <c r="BE894" s="38"/>
      <c r="BF894" s="38"/>
      <c r="BG894" s="38"/>
      <c r="BH894" s="38"/>
      <c r="BI894" s="38"/>
      <c r="BJ894" s="38"/>
      <c r="BK894" s="38"/>
      <c r="BL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38"/>
      <c r="AY895" s="38"/>
      <c r="AZ895" s="38"/>
      <c r="BA895" s="38"/>
      <c r="BB895" s="38"/>
      <c r="BC895" s="38"/>
      <c r="BD895" s="38"/>
      <c r="BE895" s="38"/>
      <c r="BF895" s="38"/>
      <c r="BG895" s="38"/>
      <c r="BH895" s="38"/>
      <c r="BI895" s="38"/>
      <c r="BJ895" s="38"/>
      <c r="BK895" s="38"/>
      <c r="BL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38"/>
      <c r="AY896" s="38"/>
      <c r="AZ896" s="38"/>
      <c r="BA896" s="38"/>
      <c r="BB896" s="38"/>
      <c r="BC896" s="38"/>
      <c r="BD896" s="38"/>
      <c r="BE896" s="38"/>
      <c r="BF896" s="38"/>
      <c r="BG896" s="38"/>
      <c r="BH896" s="38"/>
      <c r="BI896" s="38"/>
      <c r="BJ896" s="38"/>
      <c r="BK896" s="38"/>
      <c r="BL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38"/>
      <c r="AY897" s="38"/>
      <c r="AZ897" s="38"/>
      <c r="BA897" s="38"/>
      <c r="BB897" s="38"/>
      <c r="BC897" s="38"/>
      <c r="BD897" s="38"/>
      <c r="BE897" s="38"/>
      <c r="BF897" s="38"/>
      <c r="BG897" s="38"/>
      <c r="BH897" s="38"/>
      <c r="BI897" s="38"/>
      <c r="BJ897" s="38"/>
      <c r="BK897" s="38"/>
      <c r="BL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38"/>
      <c r="AY898" s="38"/>
      <c r="AZ898" s="38"/>
      <c r="BA898" s="38"/>
      <c r="BB898" s="38"/>
      <c r="BC898" s="38"/>
      <c r="BD898" s="38"/>
      <c r="BE898" s="38"/>
      <c r="BF898" s="38"/>
      <c r="BG898" s="38"/>
      <c r="BH898" s="38"/>
      <c r="BI898" s="38"/>
      <c r="BJ898" s="38"/>
      <c r="BK898" s="38"/>
      <c r="BL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38"/>
      <c r="AY899" s="38"/>
      <c r="AZ899" s="38"/>
      <c r="BA899" s="38"/>
      <c r="BB899" s="38"/>
      <c r="BC899" s="38"/>
      <c r="BD899" s="38"/>
      <c r="BE899" s="38"/>
      <c r="BF899" s="38"/>
      <c r="BG899" s="38"/>
      <c r="BH899" s="38"/>
      <c r="BI899" s="38"/>
      <c r="BJ899" s="38"/>
      <c r="BK899" s="38"/>
      <c r="BL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38"/>
      <c r="AY900" s="38"/>
      <c r="AZ900" s="38"/>
      <c r="BA900" s="38"/>
      <c r="BB900" s="38"/>
      <c r="BC900" s="38"/>
      <c r="BD900" s="38"/>
      <c r="BE900" s="38"/>
      <c r="BF900" s="38"/>
      <c r="BG900" s="38"/>
      <c r="BH900" s="38"/>
      <c r="BI900" s="38"/>
      <c r="BJ900" s="38"/>
      <c r="BK900" s="38"/>
      <c r="BL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38"/>
      <c r="AY901" s="38"/>
      <c r="AZ901" s="38"/>
      <c r="BA901" s="38"/>
      <c r="BB901" s="38"/>
      <c r="BC901" s="38"/>
      <c r="BD901" s="38"/>
      <c r="BE901" s="38"/>
      <c r="BF901" s="38"/>
      <c r="BG901" s="38"/>
      <c r="BH901" s="38"/>
      <c r="BI901" s="38"/>
      <c r="BJ901" s="38"/>
      <c r="BK901" s="38"/>
      <c r="BL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38"/>
      <c r="AY902" s="38"/>
      <c r="AZ902" s="38"/>
      <c r="BA902" s="38"/>
      <c r="BB902" s="38"/>
      <c r="BC902" s="38"/>
      <c r="BD902" s="38"/>
      <c r="BE902" s="38"/>
      <c r="BF902" s="38"/>
      <c r="BG902" s="38"/>
      <c r="BH902" s="38"/>
      <c r="BI902" s="38"/>
      <c r="BJ902" s="38"/>
      <c r="BK902" s="38"/>
      <c r="BL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38"/>
      <c r="AY903" s="38"/>
      <c r="AZ903" s="38"/>
      <c r="BA903" s="38"/>
      <c r="BB903" s="38"/>
      <c r="BC903" s="38"/>
      <c r="BD903" s="38"/>
      <c r="BE903" s="38"/>
      <c r="BF903" s="38"/>
      <c r="BG903" s="38"/>
      <c r="BH903" s="38"/>
      <c r="BI903" s="38"/>
      <c r="BJ903" s="38"/>
      <c r="BK903" s="38"/>
      <c r="BL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38"/>
      <c r="AY904" s="38"/>
      <c r="AZ904" s="38"/>
      <c r="BA904" s="38"/>
      <c r="BB904" s="38"/>
      <c r="BC904" s="38"/>
      <c r="BD904" s="38"/>
      <c r="BE904" s="38"/>
      <c r="BF904" s="38"/>
      <c r="BG904" s="38"/>
      <c r="BH904" s="38"/>
      <c r="BI904" s="38"/>
      <c r="BJ904" s="38"/>
      <c r="BK904" s="38"/>
      <c r="BL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38"/>
      <c r="AY905" s="38"/>
      <c r="AZ905" s="38"/>
      <c r="BA905" s="38"/>
      <c r="BB905" s="38"/>
      <c r="BC905" s="38"/>
      <c r="BD905" s="38"/>
      <c r="BE905" s="38"/>
      <c r="BF905" s="38"/>
      <c r="BG905" s="38"/>
      <c r="BH905" s="38"/>
      <c r="BI905" s="38"/>
      <c r="BJ905" s="38"/>
      <c r="BK905" s="38"/>
      <c r="BL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38"/>
      <c r="AY906" s="38"/>
      <c r="AZ906" s="38"/>
      <c r="BA906" s="38"/>
      <c r="BB906" s="38"/>
      <c r="BC906" s="38"/>
      <c r="BD906" s="38"/>
      <c r="BE906" s="38"/>
      <c r="BF906" s="38"/>
      <c r="BG906" s="38"/>
      <c r="BH906" s="38"/>
      <c r="BI906" s="38"/>
      <c r="BJ906" s="38"/>
      <c r="BK906" s="38"/>
      <c r="BL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38"/>
      <c r="AY907" s="38"/>
      <c r="AZ907" s="38"/>
      <c r="BA907" s="38"/>
      <c r="BB907" s="38"/>
      <c r="BC907" s="38"/>
      <c r="BD907" s="38"/>
      <c r="BE907" s="38"/>
      <c r="BF907" s="38"/>
      <c r="BG907" s="38"/>
      <c r="BH907" s="38"/>
      <c r="BI907" s="38"/>
      <c r="BJ907" s="38"/>
      <c r="BK907" s="38"/>
      <c r="BL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38"/>
      <c r="AY908" s="38"/>
      <c r="AZ908" s="38"/>
      <c r="BA908" s="38"/>
      <c r="BB908" s="38"/>
      <c r="BC908" s="38"/>
      <c r="BD908" s="38"/>
      <c r="BE908" s="38"/>
      <c r="BF908" s="38"/>
      <c r="BG908" s="38"/>
      <c r="BH908" s="38"/>
      <c r="BI908" s="38"/>
      <c r="BJ908" s="38"/>
      <c r="BK908" s="38"/>
      <c r="BL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38"/>
      <c r="AY909" s="38"/>
      <c r="AZ909" s="38"/>
      <c r="BA909" s="38"/>
      <c r="BB909" s="38"/>
      <c r="BC909" s="38"/>
      <c r="BD909" s="38"/>
      <c r="BE909" s="38"/>
      <c r="BF909" s="38"/>
      <c r="BG909" s="38"/>
      <c r="BH909" s="38"/>
      <c r="BI909" s="38"/>
      <c r="BJ909" s="38"/>
      <c r="BK909" s="38"/>
      <c r="BL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c r="AT910" s="38"/>
      <c r="AU910" s="38"/>
      <c r="AV910" s="38"/>
      <c r="AW910" s="38"/>
      <c r="AX910" s="38"/>
      <c r="AY910" s="38"/>
      <c r="AZ910" s="38"/>
      <c r="BA910" s="38"/>
      <c r="BB910" s="38"/>
      <c r="BC910" s="38"/>
      <c r="BD910" s="38"/>
      <c r="BE910" s="38"/>
      <c r="BF910" s="38"/>
      <c r="BG910" s="38"/>
      <c r="BH910" s="38"/>
      <c r="BI910" s="38"/>
      <c r="BJ910" s="38"/>
      <c r="BK910" s="38"/>
      <c r="BL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c r="AT911" s="38"/>
      <c r="AU911" s="38"/>
      <c r="AV911" s="38"/>
      <c r="AW911" s="38"/>
      <c r="AX911" s="38"/>
      <c r="AY911" s="38"/>
      <c r="AZ911" s="38"/>
      <c r="BA911" s="38"/>
      <c r="BB911" s="38"/>
      <c r="BC911" s="38"/>
      <c r="BD911" s="38"/>
      <c r="BE911" s="38"/>
      <c r="BF911" s="38"/>
      <c r="BG911" s="38"/>
      <c r="BH911" s="38"/>
      <c r="BI911" s="38"/>
      <c r="BJ911" s="38"/>
      <c r="BK911" s="38"/>
      <c r="BL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38"/>
      <c r="AY912" s="38"/>
      <c r="AZ912" s="38"/>
      <c r="BA912" s="38"/>
      <c r="BB912" s="38"/>
      <c r="BC912" s="38"/>
      <c r="BD912" s="38"/>
      <c r="BE912" s="38"/>
      <c r="BF912" s="38"/>
      <c r="BG912" s="38"/>
      <c r="BH912" s="38"/>
      <c r="BI912" s="38"/>
      <c r="BJ912" s="38"/>
      <c r="BK912" s="38"/>
      <c r="BL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c r="AT913" s="38"/>
      <c r="AU913" s="38"/>
      <c r="AV913" s="38"/>
      <c r="AW913" s="38"/>
      <c r="AX913" s="38"/>
      <c r="AY913" s="38"/>
      <c r="AZ913" s="38"/>
      <c r="BA913" s="38"/>
      <c r="BB913" s="38"/>
      <c r="BC913" s="38"/>
      <c r="BD913" s="38"/>
      <c r="BE913" s="38"/>
      <c r="BF913" s="38"/>
      <c r="BG913" s="38"/>
      <c r="BH913" s="38"/>
      <c r="BI913" s="38"/>
      <c r="BJ913" s="38"/>
      <c r="BK913" s="38"/>
      <c r="BL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c r="AT914" s="38"/>
      <c r="AU914" s="38"/>
      <c r="AV914" s="38"/>
      <c r="AW914" s="38"/>
      <c r="AX914" s="38"/>
      <c r="AY914" s="38"/>
      <c r="AZ914" s="38"/>
      <c r="BA914" s="38"/>
      <c r="BB914" s="38"/>
      <c r="BC914" s="38"/>
      <c r="BD914" s="38"/>
      <c r="BE914" s="38"/>
      <c r="BF914" s="38"/>
      <c r="BG914" s="38"/>
      <c r="BH914" s="38"/>
      <c r="BI914" s="38"/>
      <c r="BJ914" s="38"/>
      <c r="BK914" s="38"/>
      <c r="BL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c r="AT915" s="38"/>
      <c r="AU915" s="38"/>
      <c r="AV915" s="38"/>
      <c r="AW915" s="38"/>
      <c r="AX915" s="38"/>
      <c r="AY915" s="38"/>
      <c r="AZ915" s="38"/>
      <c r="BA915" s="38"/>
      <c r="BB915" s="38"/>
      <c r="BC915" s="38"/>
      <c r="BD915" s="38"/>
      <c r="BE915" s="38"/>
      <c r="BF915" s="38"/>
      <c r="BG915" s="38"/>
      <c r="BH915" s="38"/>
      <c r="BI915" s="38"/>
      <c r="BJ915" s="38"/>
      <c r="BK915" s="38"/>
      <c r="BL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c r="AT916" s="38"/>
      <c r="AU916" s="38"/>
      <c r="AV916" s="38"/>
      <c r="AW916" s="38"/>
      <c r="AX916" s="38"/>
      <c r="AY916" s="38"/>
      <c r="AZ916" s="38"/>
      <c r="BA916" s="38"/>
      <c r="BB916" s="38"/>
      <c r="BC916" s="38"/>
      <c r="BD916" s="38"/>
      <c r="BE916" s="38"/>
      <c r="BF916" s="38"/>
      <c r="BG916" s="38"/>
      <c r="BH916" s="38"/>
      <c r="BI916" s="38"/>
      <c r="BJ916" s="38"/>
      <c r="BK916" s="38"/>
      <c r="BL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c r="AT917" s="38"/>
      <c r="AU917" s="38"/>
      <c r="AV917" s="38"/>
      <c r="AW917" s="38"/>
      <c r="AX917" s="38"/>
      <c r="AY917" s="38"/>
      <c r="AZ917" s="38"/>
      <c r="BA917" s="38"/>
      <c r="BB917" s="38"/>
      <c r="BC917" s="38"/>
      <c r="BD917" s="38"/>
      <c r="BE917" s="38"/>
      <c r="BF917" s="38"/>
      <c r="BG917" s="38"/>
      <c r="BH917" s="38"/>
      <c r="BI917" s="38"/>
      <c r="BJ917" s="38"/>
      <c r="BK917" s="38"/>
      <c r="BL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c r="AT918" s="38"/>
      <c r="AU918" s="38"/>
      <c r="AV918" s="38"/>
      <c r="AW918" s="38"/>
      <c r="AX918" s="38"/>
      <c r="AY918" s="38"/>
      <c r="AZ918" s="38"/>
      <c r="BA918" s="38"/>
      <c r="BB918" s="38"/>
      <c r="BC918" s="38"/>
      <c r="BD918" s="38"/>
      <c r="BE918" s="38"/>
      <c r="BF918" s="38"/>
      <c r="BG918" s="38"/>
      <c r="BH918" s="38"/>
      <c r="BI918" s="38"/>
      <c r="BJ918" s="38"/>
      <c r="BK918" s="38"/>
      <c r="BL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c r="AT919" s="38"/>
      <c r="AU919" s="38"/>
      <c r="AV919" s="38"/>
      <c r="AW919" s="38"/>
      <c r="AX919" s="38"/>
      <c r="AY919" s="38"/>
      <c r="AZ919" s="38"/>
      <c r="BA919" s="38"/>
      <c r="BB919" s="38"/>
      <c r="BC919" s="38"/>
      <c r="BD919" s="38"/>
      <c r="BE919" s="38"/>
      <c r="BF919" s="38"/>
      <c r="BG919" s="38"/>
      <c r="BH919" s="38"/>
      <c r="BI919" s="38"/>
      <c r="BJ919" s="38"/>
      <c r="BK919" s="38"/>
      <c r="BL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c r="AT920" s="38"/>
      <c r="AU920" s="38"/>
      <c r="AV920" s="38"/>
      <c r="AW920" s="38"/>
      <c r="AX920" s="38"/>
      <c r="AY920" s="38"/>
      <c r="AZ920" s="38"/>
      <c r="BA920" s="38"/>
      <c r="BB920" s="38"/>
      <c r="BC920" s="38"/>
      <c r="BD920" s="38"/>
      <c r="BE920" s="38"/>
      <c r="BF920" s="38"/>
      <c r="BG920" s="38"/>
      <c r="BH920" s="38"/>
      <c r="BI920" s="38"/>
      <c r="BJ920" s="38"/>
      <c r="BK920" s="38"/>
      <c r="BL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c r="AT921" s="38"/>
      <c r="AU921" s="38"/>
      <c r="AV921" s="38"/>
      <c r="AW921" s="38"/>
      <c r="AX921" s="38"/>
      <c r="AY921" s="38"/>
      <c r="AZ921" s="38"/>
      <c r="BA921" s="38"/>
      <c r="BB921" s="38"/>
      <c r="BC921" s="38"/>
      <c r="BD921" s="38"/>
      <c r="BE921" s="38"/>
      <c r="BF921" s="38"/>
      <c r="BG921" s="38"/>
      <c r="BH921" s="38"/>
      <c r="BI921" s="38"/>
      <c r="BJ921" s="38"/>
      <c r="BK921" s="38"/>
      <c r="BL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c r="AT922" s="38"/>
      <c r="AU922" s="38"/>
      <c r="AV922" s="38"/>
      <c r="AW922" s="38"/>
      <c r="AX922" s="38"/>
      <c r="AY922" s="38"/>
      <c r="AZ922" s="38"/>
      <c r="BA922" s="38"/>
      <c r="BB922" s="38"/>
      <c r="BC922" s="38"/>
      <c r="BD922" s="38"/>
      <c r="BE922" s="38"/>
      <c r="BF922" s="38"/>
      <c r="BG922" s="38"/>
      <c r="BH922" s="38"/>
      <c r="BI922" s="38"/>
      <c r="BJ922" s="38"/>
      <c r="BK922" s="38"/>
      <c r="BL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c r="AT923" s="38"/>
      <c r="AU923" s="38"/>
      <c r="AV923" s="38"/>
      <c r="AW923" s="38"/>
      <c r="AX923" s="38"/>
      <c r="AY923" s="38"/>
      <c r="AZ923" s="38"/>
      <c r="BA923" s="38"/>
      <c r="BB923" s="38"/>
      <c r="BC923" s="38"/>
      <c r="BD923" s="38"/>
      <c r="BE923" s="38"/>
      <c r="BF923" s="38"/>
      <c r="BG923" s="38"/>
      <c r="BH923" s="38"/>
      <c r="BI923" s="38"/>
      <c r="BJ923" s="38"/>
      <c r="BK923" s="38"/>
      <c r="BL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c r="AT924" s="38"/>
      <c r="AU924" s="38"/>
      <c r="AV924" s="38"/>
      <c r="AW924" s="38"/>
      <c r="AX924" s="38"/>
      <c r="AY924" s="38"/>
      <c r="AZ924" s="38"/>
      <c r="BA924" s="38"/>
      <c r="BB924" s="38"/>
      <c r="BC924" s="38"/>
      <c r="BD924" s="38"/>
      <c r="BE924" s="38"/>
      <c r="BF924" s="38"/>
      <c r="BG924" s="38"/>
      <c r="BH924" s="38"/>
      <c r="BI924" s="38"/>
      <c r="BJ924" s="38"/>
      <c r="BK924" s="38"/>
      <c r="BL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c r="AT925" s="38"/>
      <c r="AU925" s="38"/>
      <c r="AV925" s="38"/>
      <c r="AW925" s="38"/>
      <c r="AX925" s="38"/>
      <c r="AY925" s="38"/>
      <c r="AZ925" s="38"/>
      <c r="BA925" s="38"/>
      <c r="BB925" s="38"/>
      <c r="BC925" s="38"/>
      <c r="BD925" s="38"/>
      <c r="BE925" s="38"/>
      <c r="BF925" s="38"/>
      <c r="BG925" s="38"/>
      <c r="BH925" s="38"/>
      <c r="BI925" s="38"/>
      <c r="BJ925" s="38"/>
      <c r="BK925" s="38"/>
      <c r="BL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c r="AT926" s="38"/>
      <c r="AU926" s="38"/>
      <c r="AV926" s="38"/>
      <c r="AW926" s="38"/>
      <c r="AX926" s="38"/>
      <c r="AY926" s="38"/>
      <c r="AZ926" s="38"/>
      <c r="BA926" s="38"/>
      <c r="BB926" s="38"/>
      <c r="BC926" s="38"/>
      <c r="BD926" s="38"/>
      <c r="BE926" s="38"/>
      <c r="BF926" s="38"/>
      <c r="BG926" s="38"/>
      <c r="BH926" s="38"/>
      <c r="BI926" s="38"/>
      <c r="BJ926" s="38"/>
      <c r="BK926" s="38"/>
      <c r="BL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c r="AT927" s="38"/>
      <c r="AU927" s="38"/>
      <c r="AV927" s="38"/>
      <c r="AW927" s="38"/>
      <c r="AX927" s="38"/>
      <c r="AY927" s="38"/>
      <c r="AZ927" s="38"/>
      <c r="BA927" s="38"/>
      <c r="BB927" s="38"/>
      <c r="BC927" s="38"/>
      <c r="BD927" s="38"/>
      <c r="BE927" s="38"/>
      <c r="BF927" s="38"/>
      <c r="BG927" s="38"/>
      <c r="BH927" s="38"/>
      <c r="BI927" s="38"/>
      <c r="BJ927" s="38"/>
      <c r="BK927" s="38"/>
      <c r="BL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c r="AT928" s="38"/>
      <c r="AU928" s="38"/>
      <c r="AV928" s="38"/>
      <c r="AW928" s="38"/>
      <c r="AX928" s="38"/>
      <c r="AY928" s="38"/>
      <c r="AZ928" s="38"/>
      <c r="BA928" s="38"/>
      <c r="BB928" s="38"/>
      <c r="BC928" s="38"/>
      <c r="BD928" s="38"/>
      <c r="BE928" s="38"/>
      <c r="BF928" s="38"/>
      <c r="BG928" s="38"/>
      <c r="BH928" s="38"/>
      <c r="BI928" s="38"/>
      <c r="BJ928" s="38"/>
      <c r="BK928" s="38"/>
      <c r="BL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c r="AT929" s="38"/>
      <c r="AU929" s="38"/>
      <c r="AV929" s="38"/>
      <c r="AW929" s="38"/>
      <c r="AX929" s="38"/>
      <c r="AY929" s="38"/>
      <c r="AZ929" s="38"/>
      <c r="BA929" s="38"/>
      <c r="BB929" s="38"/>
      <c r="BC929" s="38"/>
      <c r="BD929" s="38"/>
      <c r="BE929" s="38"/>
      <c r="BF929" s="38"/>
      <c r="BG929" s="38"/>
      <c r="BH929" s="38"/>
      <c r="BI929" s="38"/>
      <c r="BJ929" s="38"/>
      <c r="BK929" s="38"/>
      <c r="BL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c r="AT930" s="38"/>
      <c r="AU930" s="38"/>
      <c r="AV930" s="38"/>
      <c r="AW930" s="38"/>
      <c r="AX930" s="38"/>
      <c r="AY930" s="38"/>
      <c r="AZ930" s="38"/>
      <c r="BA930" s="38"/>
      <c r="BB930" s="38"/>
      <c r="BC930" s="38"/>
      <c r="BD930" s="38"/>
      <c r="BE930" s="38"/>
      <c r="BF930" s="38"/>
      <c r="BG930" s="38"/>
      <c r="BH930" s="38"/>
      <c r="BI930" s="38"/>
      <c r="BJ930" s="38"/>
      <c r="BK930" s="38"/>
      <c r="BL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c r="AT931" s="38"/>
      <c r="AU931" s="38"/>
      <c r="AV931" s="38"/>
      <c r="AW931" s="38"/>
      <c r="AX931" s="38"/>
      <c r="AY931" s="38"/>
      <c r="AZ931" s="38"/>
      <c r="BA931" s="38"/>
      <c r="BB931" s="38"/>
      <c r="BC931" s="38"/>
      <c r="BD931" s="38"/>
      <c r="BE931" s="38"/>
      <c r="BF931" s="38"/>
      <c r="BG931" s="38"/>
      <c r="BH931" s="38"/>
      <c r="BI931" s="38"/>
      <c r="BJ931" s="38"/>
      <c r="BK931" s="38"/>
      <c r="BL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c r="AT932" s="38"/>
      <c r="AU932" s="38"/>
      <c r="AV932" s="38"/>
      <c r="AW932" s="38"/>
      <c r="AX932" s="38"/>
      <c r="AY932" s="38"/>
      <c r="AZ932" s="38"/>
      <c r="BA932" s="38"/>
      <c r="BB932" s="38"/>
      <c r="BC932" s="38"/>
      <c r="BD932" s="38"/>
      <c r="BE932" s="38"/>
      <c r="BF932" s="38"/>
      <c r="BG932" s="38"/>
      <c r="BH932" s="38"/>
      <c r="BI932" s="38"/>
      <c r="BJ932" s="38"/>
      <c r="BK932" s="38"/>
      <c r="BL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c r="AT933" s="38"/>
      <c r="AU933" s="38"/>
      <c r="AV933" s="38"/>
      <c r="AW933" s="38"/>
      <c r="AX933" s="38"/>
      <c r="AY933" s="38"/>
      <c r="AZ933" s="38"/>
      <c r="BA933" s="38"/>
      <c r="BB933" s="38"/>
      <c r="BC933" s="38"/>
      <c r="BD933" s="38"/>
      <c r="BE933" s="38"/>
      <c r="BF933" s="38"/>
      <c r="BG933" s="38"/>
      <c r="BH933" s="38"/>
      <c r="BI933" s="38"/>
      <c r="BJ933" s="38"/>
      <c r="BK933" s="38"/>
      <c r="BL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c r="AT934" s="38"/>
      <c r="AU934" s="38"/>
      <c r="AV934" s="38"/>
      <c r="AW934" s="38"/>
      <c r="AX934" s="38"/>
      <c r="AY934" s="38"/>
      <c r="AZ934" s="38"/>
      <c r="BA934" s="38"/>
      <c r="BB934" s="38"/>
      <c r="BC934" s="38"/>
      <c r="BD934" s="38"/>
      <c r="BE934" s="38"/>
      <c r="BF934" s="38"/>
      <c r="BG934" s="38"/>
      <c r="BH934" s="38"/>
      <c r="BI934" s="38"/>
      <c r="BJ934" s="38"/>
      <c r="BK934" s="38"/>
      <c r="BL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c r="AT935" s="38"/>
      <c r="AU935" s="38"/>
      <c r="AV935" s="38"/>
      <c r="AW935" s="38"/>
      <c r="AX935" s="38"/>
      <c r="AY935" s="38"/>
      <c r="AZ935" s="38"/>
      <c r="BA935" s="38"/>
      <c r="BB935" s="38"/>
      <c r="BC935" s="38"/>
      <c r="BD935" s="38"/>
      <c r="BE935" s="38"/>
      <c r="BF935" s="38"/>
      <c r="BG935" s="38"/>
      <c r="BH935" s="38"/>
      <c r="BI935" s="38"/>
      <c r="BJ935" s="38"/>
      <c r="BK935" s="38"/>
      <c r="BL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c r="AT936" s="38"/>
      <c r="AU936" s="38"/>
      <c r="AV936" s="38"/>
      <c r="AW936" s="38"/>
      <c r="AX936" s="38"/>
      <c r="AY936" s="38"/>
      <c r="AZ936" s="38"/>
      <c r="BA936" s="38"/>
      <c r="BB936" s="38"/>
      <c r="BC936" s="38"/>
      <c r="BD936" s="38"/>
      <c r="BE936" s="38"/>
      <c r="BF936" s="38"/>
      <c r="BG936" s="38"/>
      <c r="BH936" s="38"/>
      <c r="BI936" s="38"/>
      <c r="BJ936" s="38"/>
      <c r="BK936" s="38"/>
      <c r="BL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c r="AT937" s="38"/>
      <c r="AU937" s="38"/>
      <c r="AV937" s="38"/>
      <c r="AW937" s="38"/>
      <c r="AX937" s="38"/>
      <c r="AY937" s="38"/>
      <c r="AZ937" s="38"/>
      <c r="BA937" s="38"/>
      <c r="BB937" s="38"/>
      <c r="BC937" s="38"/>
      <c r="BD937" s="38"/>
      <c r="BE937" s="38"/>
      <c r="BF937" s="38"/>
      <c r="BG937" s="38"/>
      <c r="BH937" s="38"/>
      <c r="BI937" s="38"/>
      <c r="BJ937" s="38"/>
      <c r="BK937" s="38"/>
      <c r="BL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c r="AT938" s="38"/>
      <c r="AU938" s="38"/>
      <c r="AV938" s="38"/>
      <c r="AW938" s="38"/>
      <c r="AX938" s="38"/>
      <c r="AY938" s="38"/>
      <c r="AZ938" s="38"/>
      <c r="BA938" s="38"/>
      <c r="BB938" s="38"/>
      <c r="BC938" s="38"/>
      <c r="BD938" s="38"/>
      <c r="BE938" s="38"/>
      <c r="BF938" s="38"/>
      <c r="BG938" s="38"/>
      <c r="BH938" s="38"/>
      <c r="BI938" s="38"/>
      <c r="BJ938" s="38"/>
      <c r="BK938" s="38"/>
      <c r="BL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c r="AT939" s="38"/>
      <c r="AU939" s="38"/>
      <c r="AV939" s="38"/>
      <c r="AW939" s="38"/>
      <c r="AX939" s="38"/>
      <c r="AY939" s="38"/>
      <c r="AZ939" s="38"/>
      <c r="BA939" s="38"/>
      <c r="BB939" s="38"/>
      <c r="BC939" s="38"/>
      <c r="BD939" s="38"/>
      <c r="BE939" s="38"/>
      <c r="BF939" s="38"/>
      <c r="BG939" s="38"/>
      <c r="BH939" s="38"/>
      <c r="BI939" s="38"/>
      <c r="BJ939" s="38"/>
      <c r="BK939" s="38"/>
      <c r="BL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c r="AT940" s="38"/>
      <c r="AU940" s="38"/>
      <c r="AV940" s="38"/>
      <c r="AW940" s="38"/>
      <c r="AX940" s="38"/>
      <c r="AY940" s="38"/>
      <c r="AZ940" s="38"/>
      <c r="BA940" s="38"/>
      <c r="BB940" s="38"/>
      <c r="BC940" s="38"/>
      <c r="BD940" s="38"/>
      <c r="BE940" s="38"/>
      <c r="BF940" s="38"/>
      <c r="BG940" s="38"/>
      <c r="BH940" s="38"/>
      <c r="BI940" s="38"/>
      <c r="BJ940" s="38"/>
      <c r="BK940" s="38"/>
      <c r="BL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c r="AT941" s="38"/>
      <c r="AU941" s="38"/>
      <c r="AV941" s="38"/>
      <c r="AW941" s="38"/>
      <c r="AX941" s="38"/>
      <c r="AY941" s="38"/>
      <c r="AZ941" s="38"/>
      <c r="BA941" s="38"/>
      <c r="BB941" s="38"/>
      <c r="BC941" s="38"/>
      <c r="BD941" s="38"/>
      <c r="BE941" s="38"/>
      <c r="BF941" s="38"/>
      <c r="BG941" s="38"/>
      <c r="BH941" s="38"/>
      <c r="BI941" s="38"/>
      <c r="BJ941" s="38"/>
      <c r="BK941" s="38"/>
      <c r="BL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c r="AT942" s="38"/>
      <c r="AU942" s="38"/>
      <c r="AV942" s="38"/>
      <c r="AW942" s="38"/>
      <c r="AX942" s="38"/>
      <c r="AY942" s="38"/>
      <c r="AZ942" s="38"/>
      <c r="BA942" s="38"/>
      <c r="BB942" s="38"/>
      <c r="BC942" s="38"/>
      <c r="BD942" s="38"/>
      <c r="BE942" s="38"/>
      <c r="BF942" s="38"/>
      <c r="BG942" s="38"/>
      <c r="BH942" s="38"/>
      <c r="BI942" s="38"/>
      <c r="BJ942" s="38"/>
      <c r="BK942" s="38"/>
      <c r="BL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c r="AT943" s="38"/>
      <c r="AU943" s="38"/>
      <c r="AV943" s="38"/>
      <c r="AW943" s="38"/>
      <c r="AX943" s="38"/>
      <c r="AY943" s="38"/>
      <c r="AZ943" s="38"/>
      <c r="BA943" s="38"/>
      <c r="BB943" s="38"/>
      <c r="BC943" s="38"/>
      <c r="BD943" s="38"/>
      <c r="BE943" s="38"/>
      <c r="BF943" s="38"/>
      <c r="BG943" s="38"/>
      <c r="BH943" s="38"/>
      <c r="BI943" s="38"/>
      <c r="BJ943" s="38"/>
      <c r="BK943" s="38"/>
      <c r="BL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c r="AT944" s="38"/>
      <c r="AU944" s="38"/>
      <c r="AV944" s="38"/>
      <c r="AW944" s="38"/>
      <c r="AX944" s="38"/>
      <c r="AY944" s="38"/>
      <c r="AZ944" s="38"/>
      <c r="BA944" s="38"/>
      <c r="BB944" s="38"/>
      <c r="BC944" s="38"/>
      <c r="BD944" s="38"/>
      <c r="BE944" s="38"/>
      <c r="BF944" s="38"/>
      <c r="BG944" s="38"/>
      <c r="BH944" s="38"/>
      <c r="BI944" s="38"/>
      <c r="BJ944" s="38"/>
      <c r="BK944" s="38"/>
      <c r="BL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c r="AT945" s="38"/>
      <c r="AU945" s="38"/>
      <c r="AV945" s="38"/>
      <c r="AW945" s="38"/>
      <c r="AX945" s="38"/>
      <c r="AY945" s="38"/>
      <c r="AZ945" s="38"/>
      <c r="BA945" s="38"/>
      <c r="BB945" s="38"/>
      <c r="BC945" s="38"/>
      <c r="BD945" s="38"/>
      <c r="BE945" s="38"/>
      <c r="BF945" s="38"/>
      <c r="BG945" s="38"/>
      <c r="BH945" s="38"/>
      <c r="BI945" s="38"/>
      <c r="BJ945" s="38"/>
      <c r="BK945" s="38"/>
      <c r="BL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c r="AT946" s="38"/>
      <c r="AU946" s="38"/>
      <c r="AV946" s="38"/>
      <c r="AW946" s="38"/>
      <c r="AX946" s="38"/>
      <c r="AY946" s="38"/>
      <c r="AZ946" s="38"/>
      <c r="BA946" s="38"/>
      <c r="BB946" s="38"/>
      <c r="BC946" s="38"/>
      <c r="BD946" s="38"/>
      <c r="BE946" s="38"/>
      <c r="BF946" s="38"/>
      <c r="BG946" s="38"/>
      <c r="BH946" s="38"/>
      <c r="BI946" s="38"/>
      <c r="BJ946" s="38"/>
      <c r="BK946" s="38"/>
      <c r="BL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c r="AT947" s="38"/>
      <c r="AU947" s="38"/>
      <c r="AV947" s="38"/>
      <c r="AW947" s="38"/>
      <c r="AX947" s="38"/>
      <c r="AY947" s="38"/>
      <c r="AZ947" s="38"/>
      <c r="BA947" s="38"/>
      <c r="BB947" s="38"/>
      <c r="BC947" s="38"/>
      <c r="BD947" s="38"/>
      <c r="BE947" s="38"/>
      <c r="BF947" s="38"/>
      <c r="BG947" s="38"/>
      <c r="BH947" s="38"/>
      <c r="BI947" s="38"/>
      <c r="BJ947" s="38"/>
      <c r="BK947" s="38"/>
      <c r="BL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c r="AT948" s="38"/>
      <c r="AU948" s="38"/>
      <c r="AV948" s="38"/>
      <c r="AW948" s="38"/>
      <c r="AX948" s="38"/>
      <c r="AY948" s="38"/>
      <c r="AZ948" s="38"/>
      <c r="BA948" s="38"/>
      <c r="BB948" s="38"/>
      <c r="BC948" s="38"/>
      <c r="BD948" s="38"/>
      <c r="BE948" s="38"/>
      <c r="BF948" s="38"/>
      <c r="BG948" s="38"/>
      <c r="BH948" s="38"/>
      <c r="BI948" s="38"/>
      <c r="BJ948" s="38"/>
      <c r="BK948" s="38"/>
      <c r="BL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c r="AT949" s="38"/>
      <c r="AU949" s="38"/>
      <c r="AV949" s="38"/>
      <c r="AW949" s="38"/>
      <c r="AX949" s="38"/>
      <c r="AY949" s="38"/>
      <c r="AZ949" s="38"/>
      <c r="BA949" s="38"/>
      <c r="BB949" s="38"/>
      <c r="BC949" s="38"/>
      <c r="BD949" s="38"/>
      <c r="BE949" s="38"/>
      <c r="BF949" s="38"/>
      <c r="BG949" s="38"/>
      <c r="BH949" s="38"/>
      <c r="BI949" s="38"/>
      <c r="BJ949" s="38"/>
      <c r="BK949" s="38"/>
      <c r="BL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c r="AT950" s="38"/>
      <c r="AU950" s="38"/>
      <c r="AV950" s="38"/>
      <c r="AW950" s="38"/>
      <c r="AX950" s="38"/>
      <c r="AY950" s="38"/>
      <c r="AZ950" s="38"/>
      <c r="BA950" s="38"/>
      <c r="BB950" s="38"/>
      <c r="BC950" s="38"/>
      <c r="BD950" s="38"/>
      <c r="BE950" s="38"/>
      <c r="BF950" s="38"/>
      <c r="BG950" s="38"/>
      <c r="BH950" s="38"/>
      <c r="BI950" s="38"/>
      <c r="BJ950" s="38"/>
      <c r="BK950" s="38"/>
      <c r="BL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c r="AT951" s="38"/>
      <c r="AU951" s="38"/>
      <c r="AV951" s="38"/>
      <c r="AW951" s="38"/>
      <c r="AX951" s="38"/>
      <c r="AY951" s="38"/>
      <c r="AZ951" s="38"/>
      <c r="BA951" s="38"/>
      <c r="BB951" s="38"/>
      <c r="BC951" s="38"/>
      <c r="BD951" s="38"/>
      <c r="BE951" s="38"/>
      <c r="BF951" s="38"/>
      <c r="BG951" s="38"/>
      <c r="BH951" s="38"/>
      <c r="BI951" s="38"/>
      <c r="BJ951" s="38"/>
      <c r="BK951" s="38"/>
      <c r="BL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c r="AT952" s="38"/>
      <c r="AU952" s="38"/>
      <c r="AV952" s="38"/>
      <c r="AW952" s="38"/>
      <c r="AX952" s="38"/>
      <c r="AY952" s="38"/>
      <c r="AZ952" s="38"/>
      <c r="BA952" s="38"/>
      <c r="BB952" s="38"/>
      <c r="BC952" s="38"/>
      <c r="BD952" s="38"/>
      <c r="BE952" s="38"/>
      <c r="BF952" s="38"/>
      <c r="BG952" s="38"/>
      <c r="BH952" s="38"/>
      <c r="BI952" s="38"/>
      <c r="BJ952" s="38"/>
      <c r="BK952" s="38"/>
      <c r="BL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c r="AT953" s="38"/>
      <c r="AU953" s="38"/>
      <c r="AV953" s="38"/>
      <c r="AW953" s="38"/>
      <c r="AX953" s="38"/>
      <c r="AY953" s="38"/>
      <c r="AZ953" s="38"/>
      <c r="BA953" s="38"/>
      <c r="BB953" s="38"/>
      <c r="BC953" s="38"/>
      <c r="BD953" s="38"/>
      <c r="BE953" s="38"/>
      <c r="BF953" s="38"/>
      <c r="BG953" s="38"/>
      <c r="BH953" s="38"/>
      <c r="BI953" s="38"/>
      <c r="BJ953" s="38"/>
      <c r="BK953" s="38"/>
      <c r="BL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c r="AT954" s="38"/>
      <c r="AU954" s="38"/>
      <c r="AV954" s="38"/>
      <c r="AW954" s="38"/>
      <c r="AX954" s="38"/>
      <c r="AY954" s="38"/>
      <c r="AZ954" s="38"/>
      <c r="BA954" s="38"/>
      <c r="BB954" s="38"/>
      <c r="BC954" s="38"/>
      <c r="BD954" s="38"/>
      <c r="BE954" s="38"/>
      <c r="BF954" s="38"/>
      <c r="BG954" s="38"/>
      <c r="BH954" s="38"/>
      <c r="BI954" s="38"/>
      <c r="BJ954" s="38"/>
      <c r="BK954" s="38"/>
      <c r="BL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c r="AT955" s="38"/>
      <c r="AU955" s="38"/>
      <c r="AV955" s="38"/>
      <c r="AW955" s="38"/>
      <c r="AX955" s="38"/>
      <c r="AY955" s="38"/>
      <c r="AZ955" s="38"/>
      <c r="BA955" s="38"/>
      <c r="BB955" s="38"/>
      <c r="BC955" s="38"/>
      <c r="BD955" s="38"/>
      <c r="BE955" s="38"/>
      <c r="BF955" s="38"/>
      <c r="BG955" s="38"/>
      <c r="BH955" s="38"/>
      <c r="BI955" s="38"/>
      <c r="BJ955" s="38"/>
      <c r="BK955" s="38"/>
      <c r="BL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c r="AT956" s="38"/>
      <c r="AU956" s="38"/>
      <c r="AV956" s="38"/>
      <c r="AW956" s="38"/>
      <c r="AX956" s="38"/>
      <c r="AY956" s="38"/>
      <c r="AZ956" s="38"/>
      <c r="BA956" s="38"/>
      <c r="BB956" s="38"/>
      <c r="BC956" s="38"/>
      <c r="BD956" s="38"/>
      <c r="BE956" s="38"/>
      <c r="BF956" s="38"/>
      <c r="BG956" s="38"/>
      <c r="BH956" s="38"/>
      <c r="BI956" s="38"/>
      <c r="BJ956" s="38"/>
      <c r="BK956" s="38"/>
      <c r="BL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c r="AT957" s="38"/>
      <c r="AU957" s="38"/>
      <c r="AV957" s="38"/>
      <c r="AW957" s="38"/>
      <c r="AX957" s="38"/>
      <c r="AY957" s="38"/>
      <c r="AZ957" s="38"/>
      <c r="BA957" s="38"/>
      <c r="BB957" s="38"/>
      <c r="BC957" s="38"/>
      <c r="BD957" s="38"/>
      <c r="BE957" s="38"/>
      <c r="BF957" s="38"/>
      <c r="BG957" s="38"/>
      <c r="BH957" s="38"/>
      <c r="BI957" s="38"/>
      <c r="BJ957" s="38"/>
      <c r="BK957" s="38"/>
      <c r="BL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c r="AT958" s="38"/>
      <c r="AU958" s="38"/>
      <c r="AV958" s="38"/>
      <c r="AW958" s="38"/>
      <c r="AX958" s="38"/>
      <c r="AY958" s="38"/>
      <c r="AZ958" s="38"/>
      <c r="BA958" s="38"/>
      <c r="BB958" s="38"/>
      <c r="BC958" s="38"/>
      <c r="BD958" s="38"/>
      <c r="BE958" s="38"/>
      <c r="BF958" s="38"/>
      <c r="BG958" s="38"/>
      <c r="BH958" s="38"/>
      <c r="BI958" s="38"/>
      <c r="BJ958" s="38"/>
      <c r="BK958" s="38"/>
      <c r="BL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c r="AT959" s="38"/>
      <c r="AU959" s="38"/>
      <c r="AV959" s="38"/>
      <c r="AW959" s="38"/>
      <c r="AX959" s="38"/>
      <c r="AY959" s="38"/>
      <c r="AZ959" s="38"/>
      <c r="BA959" s="38"/>
      <c r="BB959" s="38"/>
      <c r="BC959" s="38"/>
      <c r="BD959" s="38"/>
      <c r="BE959" s="38"/>
      <c r="BF959" s="38"/>
      <c r="BG959" s="38"/>
      <c r="BH959" s="38"/>
      <c r="BI959" s="38"/>
      <c r="BJ959" s="38"/>
      <c r="BK959" s="38"/>
      <c r="BL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c r="AT960" s="38"/>
      <c r="AU960" s="38"/>
      <c r="AV960" s="38"/>
      <c r="AW960" s="38"/>
      <c r="AX960" s="38"/>
      <c r="AY960" s="38"/>
      <c r="AZ960" s="38"/>
      <c r="BA960" s="38"/>
      <c r="BB960" s="38"/>
      <c r="BC960" s="38"/>
      <c r="BD960" s="38"/>
      <c r="BE960" s="38"/>
      <c r="BF960" s="38"/>
      <c r="BG960" s="38"/>
      <c r="BH960" s="38"/>
      <c r="BI960" s="38"/>
      <c r="BJ960" s="38"/>
      <c r="BK960" s="38"/>
      <c r="BL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c r="AT961" s="38"/>
      <c r="AU961" s="38"/>
      <c r="AV961" s="38"/>
      <c r="AW961" s="38"/>
      <c r="AX961" s="38"/>
      <c r="AY961" s="38"/>
      <c r="AZ961" s="38"/>
      <c r="BA961" s="38"/>
      <c r="BB961" s="38"/>
      <c r="BC961" s="38"/>
      <c r="BD961" s="38"/>
      <c r="BE961" s="38"/>
      <c r="BF961" s="38"/>
      <c r="BG961" s="38"/>
      <c r="BH961" s="38"/>
      <c r="BI961" s="38"/>
      <c r="BJ961" s="38"/>
      <c r="BK961" s="38"/>
      <c r="BL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c r="AT962" s="38"/>
      <c r="AU962" s="38"/>
      <c r="AV962" s="38"/>
      <c r="AW962" s="38"/>
      <c r="AX962" s="38"/>
      <c r="AY962" s="38"/>
      <c r="AZ962" s="38"/>
      <c r="BA962" s="38"/>
      <c r="BB962" s="38"/>
      <c r="BC962" s="38"/>
      <c r="BD962" s="38"/>
      <c r="BE962" s="38"/>
      <c r="BF962" s="38"/>
      <c r="BG962" s="38"/>
      <c r="BH962" s="38"/>
      <c r="BI962" s="38"/>
      <c r="BJ962" s="38"/>
      <c r="BK962" s="38"/>
      <c r="BL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38"/>
      <c r="AY963" s="38"/>
      <c r="AZ963" s="38"/>
      <c r="BA963" s="38"/>
      <c r="BB963" s="38"/>
      <c r="BC963" s="38"/>
      <c r="BD963" s="38"/>
      <c r="BE963" s="38"/>
      <c r="BF963" s="38"/>
      <c r="BG963" s="38"/>
      <c r="BH963" s="38"/>
      <c r="BI963" s="38"/>
      <c r="BJ963" s="38"/>
      <c r="BK963" s="38"/>
      <c r="BL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c r="AT964" s="38"/>
      <c r="AU964" s="38"/>
      <c r="AV964" s="38"/>
      <c r="AW964" s="38"/>
      <c r="AX964" s="38"/>
      <c r="AY964" s="38"/>
      <c r="AZ964" s="38"/>
      <c r="BA964" s="38"/>
      <c r="BB964" s="38"/>
      <c r="BC964" s="38"/>
      <c r="BD964" s="38"/>
      <c r="BE964" s="38"/>
      <c r="BF964" s="38"/>
      <c r="BG964" s="38"/>
      <c r="BH964" s="38"/>
      <c r="BI964" s="38"/>
      <c r="BJ964" s="38"/>
      <c r="BK964" s="38"/>
      <c r="BL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c r="AT965" s="38"/>
      <c r="AU965" s="38"/>
      <c r="AV965" s="38"/>
      <c r="AW965" s="38"/>
      <c r="AX965" s="38"/>
      <c r="AY965" s="38"/>
      <c r="AZ965" s="38"/>
      <c r="BA965" s="38"/>
      <c r="BB965" s="38"/>
      <c r="BC965" s="38"/>
      <c r="BD965" s="38"/>
      <c r="BE965" s="38"/>
      <c r="BF965" s="38"/>
      <c r="BG965" s="38"/>
      <c r="BH965" s="38"/>
      <c r="BI965" s="38"/>
      <c r="BJ965" s="38"/>
      <c r="BK965" s="38"/>
      <c r="BL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c r="AT966" s="38"/>
      <c r="AU966" s="38"/>
      <c r="AV966" s="38"/>
      <c r="AW966" s="38"/>
      <c r="AX966" s="38"/>
      <c r="AY966" s="38"/>
      <c r="AZ966" s="38"/>
      <c r="BA966" s="38"/>
      <c r="BB966" s="38"/>
      <c r="BC966" s="38"/>
      <c r="BD966" s="38"/>
      <c r="BE966" s="38"/>
      <c r="BF966" s="38"/>
      <c r="BG966" s="38"/>
      <c r="BH966" s="38"/>
      <c r="BI966" s="38"/>
      <c r="BJ966" s="38"/>
      <c r="BK966" s="38"/>
      <c r="BL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c r="AT967" s="38"/>
      <c r="AU967" s="38"/>
      <c r="AV967" s="38"/>
      <c r="AW967" s="38"/>
      <c r="AX967" s="38"/>
      <c r="AY967" s="38"/>
      <c r="AZ967" s="38"/>
      <c r="BA967" s="38"/>
      <c r="BB967" s="38"/>
      <c r="BC967" s="38"/>
      <c r="BD967" s="38"/>
      <c r="BE967" s="38"/>
      <c r="BF967" s="38"/>
      <c r="BG967" s="38"/>
      <c r="BH967" s="38"/>
      <c r="BI967" s="38"/>
      <c r="BJ967" s="38"/>
      <c r="BK967" s="38"/>
      <c r="BL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c r="AT968" s="38"/>
      <c r="AU968" s="38"/>
      <c r="AV968" s="38"/>
      <c r="AW968" s="38"/>
      <c r="AX968" s="38"/>
      <c r="AY968" s="38"/>
      <c r="AZ968" s="38"/>
      <c r="BA968" s="38"/>
      <c r="BB968" s="38"/>
      <c r="BC968" s="38"/>
      <c r="BD968" s="38"/>
      <c r="BE968" s="38"/>
      <c r="BF968" s="38"/>
      <c r="BG968" s="38"/>
      <c r="BH968" s="38"/>
      <c r="BI968" s="38"/>
      <c r="BJ968" s="38"/>
      <c r="BK968" s="38"/>
      <c r="BL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c r="AT969" s="38"/>
      <c r="AU969" s="38"/>
      <c r="AV969" s="38"/>
      <c r="AW969" s="38"/>
      <c r="AX969" s="38"/>
      <c r="AY969" s="38"/>
      <c r="AZ969" s="38"/>
      <c r="BA969" s="38"/>
      <c r="BB969" s="38"/>
      <c r="BC969" s="38"/>
      <c r="BD969" s="38"/>
      <c r="BE969" s="38"/>
      <c r="BF969" s="38"/>
      <c r="BG969" s="38"/>
      <c r="BH969" s="38"/>
      <c r="BI969" s="38"/>
      <c r="BJ969" s="38"/>
      <c r="BK969" s="38"/>
      <c r="BL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c r="AT970" s="38"/>
      <c r="AU970" s="38"/>
      <c r="AV970" s="38"/>
      <c r="AW970" s="38"/>
      <c r="AX970" s="38"/>
      <c r="AY970" s="38"/>
      <c r="AZ970" s="38"/>
      <c r="BA970" s="38"/>
      <c r="BB970" s="38"/>
      <c r="BC970" s="38"/>
      <c r="BD970" s="38"/>
      <c r="BE970" s="38"/>
      <c r="BF970" s="38"/>
      <c r="BG970" s="38"/>
      <c r="BH970" s="38"/>
      <c r="BI970" s="38"/>
      <c r="BJ970" s="38"/>
      <c r="BK970" s="38"/>
      <c r="BL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c r="AT971" s="38"/>
      <c r="AU971" s="38"/>
      <c r="AV971" s="38"/>
      <c r="AW971" s="38"/>
      <c r="AX971" s="38"/>
      <c r="AY971" s="38"/>
      <c r="AZ971" s="38"/>
      <c r="BA971" s="38"/>
      <c r="BB971" s="38"/>
      <c r="BC971" s="38"/>
      <c r="BD971" s="38"/>
      <c r="BE971" s="38"/>
      <c r="BF971" s="38"/>
      <c r="BG971" s="38"/>
      <c r="BH971" s="38"/>
      <c r="BI971" s="38"/>
      <c r="BJ971" s="38"/>
      <c r="BK971" s="38"/>
      <c r="BL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c r="AT972" s="38"/>
      <c r="AU972" s="38"/>
      <c r="AV972" s="38"/>
      <c r="AW972" s="38"/>
      <c r="AX972" s="38"/>
      <c r="AY972" s="38"/>
      <c r="AZ972" s="38"/>
      <c r="BA972" s="38"/>
      <c r="BB972" s="38"/>
      <c r="BC972" s="38"/>
      <c r="BD972" s="38"/>
      <c r="BE972" s="38"/>
      <c r="BF972" s="38"/>
      <c r="BG972" s="38"/>
      <c r="BH972" s="38"/>
      <c r="BI972" s="38"/>
      <c r="BJ972" s="38"/>
      <c r="BK972" s="38"/>
      <c r="BL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c r="AT973" s="38"/>
      <c r="AU973" s="38"/>
      <c r="AV973" s="38"/>
      <c r="AW973" s="38"/>
      <c r="AX973" s="38"/>
      <c r="AY973" s="38"/>
      <c r="AZ973" s="38"/>
      <c r="BA973" s="38"/>
      <c r="BB973" s="38"/>
      <c r="BC973" s="38"/>
      <c r="BD973" s="38"/>
      <c r="BE973" s="38"/>
      <c r="BF973" s="38"/>
      <c r="BG973" s="38"/>
      <c r="BH973" s="38"/>
      <c r="BI973" s="38"/>
      <c r="BJ973" s="38"/>
      <c r="BK973" s="38"/>
      <c r="BL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c r="AT974" s="38"/>
      <c r="AU974" s="38"/>
      <c r="AV974" s="38"/>
      <c r="AW974" s="38"/>
      <c r="AX974" s="38"/>
      <c r="AY974" s="38"/>
      <c r="AZ974" s="38"/>
      <c r="BA974" s="38"/>
      <c r="BB974" s="38"/>
      <c r="BC974" s="38"/>
      <c r="BD974" s="38"/>
      <c r="BE974" s="38"/>
      <c r="BF974" s="38"/>
      <c r="BG974" s="38"/>
      <c r="BH974" s="38"/>
      <c r="BI974" s="38"/>
      <c r="BJ974" s="38"/>
      <c r="BK974" s="38"/>
      <c r="BL974" s="38"/>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c r="AT975" s="38"/>
      <c r="AU975" s="38"/>
      <c r="AV975" s="38"/>
      <c r="AW975" s="38"/>
      <c r="AX975" s="38"/>
      <c r="AY975" s="38"/>
      <c r="AZ975" s="38"/>
      <c r="BA975" s="38"/>
      <c r="BB975" s="38"/>
      <c r="BC975" s="38"/>
      <c r="BD975" s="38"/>
      <c r="BE975" s="38"/>
      <c r="BF975" s="38"/>
      <c r="BG975" s="38"/>
      <c r="BH975" s="38"/>
      <c r="BI975" s="38"/>
      <c r="BJ975" s="38"/>
      <c r="BK975" s="38"/>
      <c r="BL975" s="38"/>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c r="AT976" s="38"/>
      <c r="AU976" s="38"/>
      <c r="AV976" s="38"/>
      <c r="AW976" s="38"/>
      <c r="AX976" s="38"/>
      <c r="AY976" s="38"/>
      <c r="AZ976" s="38"/>
      <c r="BA976" s="38"/>
      <c r="BB976" s="38"/>
      <c r="BC976" s="38"/>
      <c r="BD976" s="38"/>
      <c r="BE976" s="38"/>
      <c r="BF976" s="38"/>
      <c r="BG976" s="38"/>
      <c r="BH976" s="38"/>
      <c r="BI976" s="38"/>
      <c r="BJ976" s="38"/>
      <c r="BK976" s="38"/>
      <c r="BL976" s="38"/>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c r="AT977" s="38"/>
      <c r="AU977" s="38"/>
      <c r="AV977" s="38"/>
      <c r="AW977" s="38"/>
      <c r="AX977" s="38"/>
      <c r="AY977" s="38"/>
      <c r="AZ977" s="38"/>
      <c r="BA977" s="38"/>
      <c r="BB977" s="38"/>
      <c r="BC977" s="38"/>
      <c r="BD977" s="38"/>
      <c r="BE977" s="38"/>
      <c r="BF977" s="38"/>
      <c r="BG977" s="38"/>
      <c r="BH977" s="38"/>
      <c r="BI977" s="38"/>
      <c r="BJ977" s="38"/>
      <c r="BK977" s="38"/>
      <c r="BL977" s="38"/>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c r="AT978" s="38"/>
      <c r="AU978" s="38"/>
      <c r="AV978" s="38"/>
      <c r="AW978" s="38"/>
      <c r="AX978" s="38"/>
      <c r="AY978" s="38"/>
      <c r="AZ978" s="38"/>
      <c r="BA978" s="38"/>
      <c r="BB978" s="38"/>
      <c r="BC978" s="38"/>
      <c r="BD978" s="38"/>
      <c r="BE978" s="38"/>
      <c r="BF978" s="38"/>
      <c r="BG978" s="38"/>
      <c r="BH978" s="38"/>
      <c r="BI978" s="38"/>
      <c r="BJ978" s="38"/>
      <c r="BK978" s="38"/>
      <c r="BL978" s="38"/>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c r="AT979" s="38"/>
      <c r="AU979" s="38"/>
      <c r="AV979" s="38"/>
      <c r="AW979" s="38"/>
      <c r="AX979" s="38"/>
      <c r="AY979" s="38"/>
      <c r="AZ979" s="38"/>
      <c r="BA979" s="38"/>
      <c r="BB979" s="38"/>
      <c r="BC979" s="38"/>
      <c r="BD979" s="38"/>
      <c r="BE979" s="38"/>
      <c r="BF979" s="38"/>
      <c r="BG979" s="38"/>
      <c r="BH979" s="38"/>
      <c r="BI979" s="38"/>
      <c r="BJ979" s="38"/>
      <c r="BK979" s="38"/>
      <c r="BL979" s="38"/>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c r="AT980" s="38"/>
      <c r="AU980" s="38"/>
      <c r="AV980" s="38"/>
      <c r="AW980" s="38"/>
      <c r="AX980" s="38"/>
      <c r="AY980" s="38"/>
      <c r="AZ980" s="38"/>
      <c r="BA980" s="38"/>
      <c r="BB980" s="38"/>
      <c r="BC980" s="38"/>
      <c r="BD980" s="38"/>
      <c r="BE980" s="38"/>
      <c r="BF980" s="38"/>
      <c r="BG980" s="38"/>
      <c r="BH980" s="38"/>
      <c r="BI980" s="38"/>
      <c r="BJ980" s="38"/>
      <c r="BK980" s="38"/>
      <c r="BL980" s="38"/>
    </row>
    <row r="98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c r="AT981" s="38"/>
      <c r="AU981" s="38"/>
      <c r="AV981" s="38"/>
      <c r="AW981" s="38"/>
      <c r="AX981" s="38"/>
      <c r="AY981" s="38"/>
      <c r="AZ981" s="38"/>
      <c r="BA981" s="38"/>
      <c r="BB981" s="38"/>
      <c r="BC981" s="38"/>
      <c r="BD981" s="38"/>
      <c r="BE981" s="38"/>
      <c r="BF981" s="38"/>
      <c r="BG981" s="38"/>
      <c r="BH981" s="38"/>
      <c r="BI981" s="38"/>
      <c r="BJ981" s="38"/>
      <c r="BK981" s="38"/>
      <c r="BL981" s="38"/>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c r="AT982" s="38"/>
      <c r="AU982" s="38"/>
      <c r="AV982" s="38"/>
      <c r="AW982" s="38"/>
      <c r="AX982" s="38"/>
      <c r="AY982" s="38"/>
      <c r="AZ982" s="38"/>
      <c r="BA982" s="38"/>
      <c r="BB982" s="38"/>
      <c r="BC982" s="38"/>
      <c r="BD982" s="38"/>
      <c r="BE982" s="38"/>
      <c r="BF982" s="38"/>
      <c r="BG982" s="38"/>
      <c r="BH982" s="38"/>
      <c r="BI982" s="38"/>
      <c r="BJ982" s="38"/>
      <c r="BK982" s="38"/>
      <c r="BL982" s="38"/>
    </row>
    <row r="98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c r="AT983" s="38"/>
      <c r="AU983" s="38"/>
      <c r="AV983" s="38"/>
      <c r="AW983" s="38"/>
      <c r="AX983" s="38"/>
      <c r="AY983" s="38"/>
      <c r="AZ983" s="38"/>
      <c r="BA983" s="38"/>
      <c r="BB983" s="38"/>
      <c r="BC983" s="38"/>
      <c r="BD983" s="38"/>
      <c r="BE983" s="38"/>
      <c r="BF983" s="38"/>
      <c r="BG983" s="38"/>
      <c r="BH983" s="38"/>
      <c r="BI983" s="38"/>
      <c r="BJ983" s="38"/>
      <c r="BK983" s="38"/>
      <c r="BL983" s="38"/>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c r="AT984" s="38"/>
      <c r="AU984" s="38"/>
      <c r="AV984" s="38"/>
      <c r="AW984" s="38"/>
      <c r="AX984" s="38"/>
      <c r="AY984" s="38"/>
      <c r="AZ984" s="38"/>
      <c r="BA984" s="38"/>
      <c r="BB984" s="38"/>
      <c r="BC984" s="38"/>
      <c r="BD984" s="38"/>
      <c r="BE984" s="38"/>
      <c r="BF984" s="38"/>
      <c r="BG984" s="38"/>
      <c r="BH984" s="38"/>
      <c r="BI984" s="38"/>
      <c r="BJ984" s="38"/>
      <c r="BK984" s="38"/>
      <c r="BL984" s="38"/>
    </row>
    <row r="98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c r="AT985" s="38"/>
      <c r="AU985" s="38"/>
      <c r="AV985" s="38"/>
      <c r="AW985" s="38"/>
      <c r="AX985" s="38"/>
      <c r="AY985" s="38"/>
      <c r="AZ985" s="38"/>
      <c r="BA985" s="38"/>
      <c r="BB985" s="38"/>
      <c r="BC985" s="38"/>
      <c r="BD985" s="38"/>
      <c r="BE985" s="38"/>
      <c r="BF985" s="38"/>
      <c r="BG985" s="38"/>
      <c r="BH985" s="38"/>
      <c r="BI985" s="38"/>
      <c r="BJ985" s="38"/>
      <c r="BK985" s="38"/>
      <c r="BL985" s="38"/>
    </row>
    <row r="986">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c r="AT986" s="38"/>
      <c r="AU986" s="38"/>
      <c r="AV986" s="38"/>
      <c r="AW986" s="38"/>
      <c r="AX986" s="38"/>
      <c r="AY986" s="38"/>
      <c r="AZ986" s="38"/>
      <c r="BA986" s="38"/>
      <c r="BB986" s="38"/>
      <c r="BC986" s="38"/>
      <c r="BD986" s="38"/>
      <c r="BE986" s="38"/>
      <c r="BF986" s="38"/>
      <c r="BG986" s="38"/>
      <c r="BH986" s="38"/>
      <c r="BI986" s="38"/>
      <c r="BJ986" s="38"/>
      <c r="BK986" s="38"/>
      <c r="BL986" s="38"/>
    </row>
    <row r="987">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c r="AT987" s="38"/>
      <c r="AU987" s="38"/>
      <c r="AV987" s="38"/>
      <c r="AW987" s="38"/>
      <c r="AX987" s="38"/>
      <c r="AY987" s="38"/>
      <c r="AZ987" s="38"/>
      <c r="BA987" s="38"/>
      <c r="BB987" s="38"/>
      <c r="BC987" s="38"/>
      <c r="BD987" s="38"/>
      <c r="BE987" s="38"/>
      <c r="BF987" s="38"/>
      <c r="BG987" s="38"/>
      <c r="BH987" s="38"/>
      <c r="BI987" s="38"/>
      <c r="BJ987" s="38"/>
      <c r="BK987" s="38"/>
      <c r="BL987" s="38"/>
    </row>
    <row r="988">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c r="AT988" s="38"/>
      <c r="AU988" s="38"/>
      <c r="AV988" s="38"/>
      <c r="AW988" s="38"/>
      <c r="AX988" s="38"/>
      <c r="AY988" s="38"/>
      <c r="AZ988" s="38"/>
      <c r="BA988" s="38"/>
      <c r="BB988" s="38"/>
      <c r="BC988" s="38"/>
      <c r="BD988" s="38"/>
      <c r="BE988" s="38"/>
      <c r="BF988" s="38"/>
      <c r="BG988" s="38"/>
      <c r="BH988" s="38"/>
      <c r="BI988" s="38"/>
      <c r="BJ988" s="38"/>
      <c r="BK988" s="38"/>
      <c r="BL988" s="38"/>
    </row>
    <row r="989">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c r="AT989" s="38"/>
      <c r="AU989" s="38"/>
      <c r="AV989" s="38"/>
      <c r="AW989" s="38"/>
      <c r="AX989" s="38"/>
      <c r="AY989" s="38"/>
      <c r="AZ989" s="38"/>
      <c r="BA989" s="38"/>
      <c r="BB989" s="38"/>
      <c r="BC989" s="38"/>
      <c r="BD989" s="38"/>
      <c r="BE989" s="38"/>
      <c r="BF989" s="38"/>
      <c r="BG989" s="38"/>
      <c r="BH989" s="38"/>
      <c r="BI989" s="38"/>
      <c r="BJ989" s="38"/>
      <c r="BK989" s="38"/>
      <c r="BL989" s="38"/>
    </row>
    <row r="99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c r="AT990" s="38"/>
      <c r="AU990" s="38"/>
      <c r="AV990" s="38"/>
      <c r="AW990" s="38"/>
      <c r="AX990" s="38"/>
      <c r="AY990" s="38"/>
      <c r="AZ990" s="38"/>
      <c r="BA990" s="38"/>
      <c r="BB990" s="38"/>
      <c r="BC990" s="38"/>
      <c r="BD990" s="38"/>
      <c r="BE990" s="38"/>
      <c r="BF990" s="38"/>
      <c r="BG990" s="38"/>
      <c r="BH990" s="38"/>
      <c r="BI990" s="38"/>
      <c r="BJ990" s="38"/>
      <c r="BK990" s="38"/>
      <c r="BL990" s="38"/>
    </row>
    <row r="99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c r="AT991" s="38"/>
      <c r="AU991" s="38"/>
      <c r="AV991" s="38"/>
      <c r="AW991" s="38"/>
      <c r="AX991" s="38"/>
      <c r="AY991" s="38"/>
      <c r="AZ991" s="38"/>
      <c r="BA991" s="38"/>
      <c r="BB991" s="38"/>
      <c r="BC991" s="38"/>
      <c r="BD991" s="38"/>
      <c r="BE991" s="38"/>
      <c r="BF991" s="38"/>
      <c r="BG991" s="38"/>
      <c r="BH991" s="38"/>
      <c r="BI991" s="38"/>
      <c r="BJ991" s="38"/>
      <c r="BK991" s="38"/>
      <c r="BL991" s="38"/>
    </row>
    <row r="99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c r="AT992" s="38"/>
      <c r="AU992" s="38"/>
      <c r="AV992" s="38"/>
      <c r="AW992" s="38"/>
      <c r="AX992" s="38"/>
      <c r="AY992" s="38"/>
      <c r="AZ992" s="38"/>
      <c r="BA992" s="38"/>
      <c r="BB992" s="38"/>
      <c r="BC992" s="38"/>
      <c r="BD992" s="38"/>
      <c r="BE992" s="38"/>
      <c r="BF992" s="38"/>
      <c r="BG992" s="38"/>
      <c r="BH992" s="38"/>
      <c r="BI992" s="38"/>
      <c r="BJ992" s="38"/>
      <c r="BK992" s="38"/>
      <c r="BL992" s="38"/>
    </row>
    <row r="99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c r="AT993" s="38"/>
      <c r="AU993" s="38"/>
      <c r="AV993" s="38"/>
      <c r="AW993" s="38"/>
      <c r="AX993" s="38"/>
      <c r="AY993" s="38"/>
      <c r="AZ993" s="38"/>
      <c r="BA993" s="38"/>
      <c r="BB993" s="38"/>
      <c r="BC993" s="38"/>
      <c r="BD993" s="38"/>
      <c r="BE993" s="38"/>
      <c r="BF993" s="38"/>
      <c r="BG993" s="38"/>
      <c r="BH993" s="38"/>
      <c r="BI993" s="38"/>
      <c r="BJ993" s="38"/>
      <c r="BK993" s="38"/>
      <c r="BL993" s="38"/>
    </row>
    <row r="99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c r="AT994" s="38"/>
      <c r="AU994" s="38"/>
      <c r="AV994" s="38"/>
      <c r="AW994" s="38"/>
      <c r="AX994" s="38"/>
      <c r="AY994" s="38"/>
      <c r="AZ994" s="38"/>
      <c r="BA994" s="38"/>
      <c r="BB994" s="38"/>
      <c r="BC994" s="38"/>
      <c r="BD994" s="38"/>
      <c r="BE994" s="38"/>
      <c r="BF994" s="38"/>
      <c r="BG994" s="38"/>
      <c r="BH994" s="38"/>
      <c r="BI994" s="38"/>
      <c r="BJ994" s="38"/>
      <c r="BK994" s="38"/>
      <c r="BL994" s="38"/>
    </row>
    <row r="99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c r="AT995" s="38"/>
      <c r="AU995" s="38"/>
      <c r="AV995" s="38"/>
      <c r="AW995" s="38"/>
      <c r="AX995" s="38"/>
      <c r="AY995" s="38"/>
      <c r="AZ995" s="38"/>
      <c r="BA995" s="38"/>
      <c r="BB995" s="38"/>
      <c r="BC995" s="38"/>
      <c r="BD995" s="38"/>
      <c r="BE995" s="38"/>
      <c r="BF995" s="38"/>
      <c r="BG995" s="38"/>
      <c r="BH995" s="38"/>
      <c r="BI995" s="38"/>
      <c r="BJ995" s="38"/>
      <c r="BK995" s="38"/>
      <c r="BL995" s="38"/>
    </row>
    <row r="996">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c r="AT996" s="38"/>
      <c r="AU996" s="38"/>
      <c r="AV996" s="38"/>
      <c r="AW996" s="38"/>
      <c r="AX996" s="38"/>
      <c r="AY996" s="38"/>
      <c r="AZ996" s="38"/>
      <c r="BA996" s="38"/>
      <c r="BB996" s="38"/>
      <c r="BC996" s="38"/>
      <c r="BD996" s="38"/>
      <c r="BE996" s="38"/>
      <c r="BF996" s="38"/>
      <c r="BG996" s="38"/>
      <c r="BH996" s="38"/>
      <c r="BI996" s="38"/>
      <c r="BJ996" s="38"/>
      <c r="BK996" s="38"/>
      <c r="BL996" s="38"/>
    </row>
    <row r="997">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c r="AT997" s="38"/>
      <c r="AU997" s="38"/>
      <c r="AV997" s="38"/>
      <c r="AW997" s="38"/>
      <c r="AX997" s="38"/>
      <c r="AY997" s="38"/>
      <c r="AZ997" s="38"/>
      <c r="BA997" s="38"/>
      <c r="BB997" s="38"/>
      <c r="BC997" s="38"/>
      <c r="BD997" s="38"/>
      <c r="BE997" s="38"/>
      <c r="BF997" s="38"/>
      <c r="BG997" s="38"/>
      <c r="BH997" s="38"/>
      <c r="BI997" s="38"/>
      <c r="BJ997" s="38"/>
      <c r="BK997" s="38"/>
      <c r="BL997" s="38"/>
    </row>
    <row r="998">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c r="AT998" s="38"/>
      <c r="AU998" s="38"/>
      <c r="AV998" s="38"/>
      <c r="AW998" s="38"/>
      <c r="AX998" s="38"/>
      <c r="AY998" s="38"/>
      <c r="AZ998" s="38"/>
      <c r="BA998" s="38"/>
      <c r="BB998" s="38"/>
      <c r="BC998" s="38"/>
      <c r="BD998" s="38"/>
      <c r="BE998" s="38"/>
      <c r="BF998" s="38"/>
      <c r="BG998" s="38"/>
      <c r="BH998" s="38"/>
      <c r="BI998" s="38"/>
      <c r="BJ998" s="38"/>
      <c r="BK998" s="38"/>
      <c r="BL998" s="38"/>
    </row>
    <row r="999">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c r="AT999" s="38"/>
      <c r="AU999" s="38"/>
      <c r="AV999" s="38"/>
      <c r="AW999" s="38"/>
      <c r="AX999" s="38"/>
      <c r="AY999" s="38"/>
      <c r="AZ999" s="38"/>
      <c r="BA999" s="38"/>
      <c r="BB999" s="38"/>
      <c r="BC999" s="38"/>
      <c r="BD999" s="38"/>
      <c r="BE999" s="38"/>
      <c r="BF999" s="38"/>
      <c r="BG999" s="38"/>
      <c r="BH999" s="38"/>
      <c r="BI999" s="38"/>
      <c r="BJ999" s="38"/>
      <c r="BK999" s="38"/>
      <c r="BL999" s="38"/>
    </row>
    <row r="1000">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c r="AT1000" s="38"/>
      <c r="AU1000" s="38"/>
      <c r="AV1000" s="38"/>
      <c r="AW1000" s="38"/>
      <c r="AX1000" s="38"/>
      <c r="AY1000" s="38"/>
      <c r="AZ1000" s="38"/>
      <c r="BA1000" s="38"/>
      <c r="BB1000" s="38"/>
      <c r="BC1000" s="38"/>
      <c r="BD1000" s="38"/>
      <c r="BE1000" s="38"/>
      <c r="BF1000" s="38"/>
      <c r="BG1000" s="38"/>
      <c r="BH1000" s="38"/>
      <c r="BI1000" s="38"/>
      <c r="BJ1000" s="38"/>
      <c r="BK1000" s="38"/>
      <c r="BL1000" s="38"/>
    </row>
    <row r="1001">
      <c r="A1001" s="38"/>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c r="AE1001" s="38"/>
      <c r="AF1001" s="38"/>
      <c r="AG1001" s="38"/>
      <c r="AH1001" s="38"/>
      <c r="AI1001" s="38"/>
      <c r="AJ1001" s="38"/>
      <c r="AK1001" s="38"/>
      <c r="AL1001" s="38"/>
      <c r="AM1001" s="38"/>
      <c r="AN1001" s="38"/>
      <c r="AO1001" s="38"/>
      <c r="AP1001" s="38"/>
      <c r="AQ1001" s="38"/>
      <c r="AR1001" s="38"/>
      <c r="AS1001" s="38"/>
      <c r="AT1001" s="38"/>
      <c r="AU1001" s="38"/>
      <c r="AV1001" s="38"/>
      <c r="AW1001" s="38"/>
      <c r="AX1001" s="38"/>
      <c r="AY1001" s="38"/>
      <c r="AZ1001" s="38"/>
      <c r="BA1001" s="38"/>
      <c r="BB1001" s="38"/>
      <c r="BC1001" s="38"/>
      <c r="BD1001" s="38"/>
      <c r="BE1001" s="38"/>
      <c r="BF1001" s="38"/>
      <c r="BG1001" s="38"/>
      <c r="BH1001" s="38"/>
      <c r="BI1001" s="38"/>
      <c r="BJ1001" s="38"/>
      <c r="BK1001" s="38"/>
      <c r="BL1001" s="38"/>
    </row>
    <row r="1002">
      <c r="A1002" s="38"/>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c r="AA1002" s="38"/>
      <c r="AB1002" s="38"/>
      <c r="AC1002" s="38"/>
      <c r="AD1002" s="38"/>
      <c r="AE1002" s="38"/>
      <c r="AF1002" s="38"/>
      <c r="AG1002" s="38"/>
      <c r="AH1002" s="38"/>
      <c r="AI1002" s="38"/>
      <c r="AJ1002" s="38"/>
      <c r="AK1002" s="38"/>
      <c r="AL1002" s="38"/>
      <c r="AM1002" s="38"/>
      <c r="AN1002" s="38"/>
      <c r="AO1002" s="38"/>
      <c r="AP1002" s="38"/>
      <c r="AQ1002" s="38"/>
      <c r="AR1002" s="38"/>
      <c r="AS1002" s="38"/>
      <c r="AT1002" s="38"/>
      <c r="AU1002" s="38"/>
      <c r="AV1002" s="38"/>
      <c r="AW1002" s="38"/>
      <c r="AX1002" s="38"/>
      <c r="AY1002" s="38"/>
      <c r="AZ1002" s="38"/>
      <c r="BA1002" s="38"/>
      <c r="BB1002" s="38"/>
      <c r="BC1002" s="38"/>
      <c r="BD1002" s="38"/>
      <c r="BE1002" s="38"/>
      <c r="BF1002" s="38"/>
      <c r="BG1002" s="38"/>
      <c r="BH1002" s="38"/>
      <c r="BI1002" s="38"/>
      <c r="BJ1002" s="38"/>
      <c r="BK1002" s="38"/>
      <c r="BL1002" s="38"/>
    </row>
    <row r="1003">
      <c r="A1003" s="38"/>
      <c r="B1003" s="38"/>
      <c r="C1003" s="38"/>
      <c r="D1003" s="38"/>
      <c r="E1003" s="38"/>
      <c r="F1003" s="38"/>
      <c r="G1003" s="38"/>
      <c r="H1003" s="38"/>
      <c r="I1003" s="38"/>
      <c r="J1003" s="38"/>
      <c r="K1003" s="38"/>
      <c r="L1003" s="38"/>
      <c r="M1003" s="38"/>
      <c r="N1003" s="38"/>
      <c r="O1003" s="38"/>
      <c r="P1003" s="38"/>
      <c r="Q1003" s="38"/>
      <c r="R1003" s="38"/>
      <c r="S1003" s="38"/>
      <c r="T1003" s="38"/>
      <c r="U1003" s="38"/>
      <c r="V1003" s="38"/>
      <c r="W1003" s="38"/>
      <c r="X1003" s="38"/>
      <c r="Y1003" s="38"/>
      <c r="Z1003" s="38"/>
      <c r="AA1003" s="38"/>
      <c r="AB1003" s="38"/>
      <c r="AC1003" s="38"/>
      <c r="AD1003" s="38"/>
      <c r="AE1003" s="38"/>
      <c r="AF1003" s="38"/>
      <c r="AG1003" s="38"/>
      <c r="AH1003" s="38"/>
      <c r="AI1003" s="38"/>
      <c r="AJ1003" s="38"/>
      <c r="AK1003" s="38"/>
      <c r="AL1003" s="38"/>
      <c r="AM1003" s="38"/>
      <c r="AN1003" s="38"/>
      <c r="AO1003" s="38"/>
      <c r="AP1003" s="38"/>
      <c r="AQ1003" s="38"/>
      <c r="AR1003" s="38"/>
      <c r="AS1003" s="38"/>
      <c r="AT1003" s="38"/>
      <c r="AU1003" s="38"/>
      <c r="AV1003" s="38"/>
      <c r="AW1003" s="38"/>
      <c r="AX1003" s="38"/>
      <c r="AY1003" s="38"/>
      <c r="AZ1003" s="38"/>
      <c r="BA1003" s="38"/>
      <c r="BB1003" s="38"/>
      <c r="BC1003" s="38"/>
      <c r="BD1003" s="38"/>
      <c r="BE1003" s="38"/>
      <c r="BF1003" s="38"/>
      <c r="BG1003" s="38"/>
      <c r="BH1003" s="38"/>
      <c r="BI1003" s="38"/>
      <c r="BJ1003" s="38"/>
      <c r="BK1003" s="38"/>
      <c r="BL1003" s="38"/>
    </row>
    <row r="1004">
      <c r="A1004" s="38"/>
      <c r="B1004" s="38"/>
      <c r="C1004" s="38"/>
      <c r="D1004" s="38"/>
      <c r="E1004" s="38"/>
      <c r="F1004" s="38"/>
      <c r="G1004" s="38"/>
      <c r="H1004" s="38"/>
      <c r="I1004" s="38"/>
      <c r="J1004" s="38"/>
      <c r="K1004" s="38"/>
      <c r="L1004" s="38"/>
      <c r="M1004" s="38"/>
      <c r="N1004" s="38"/>
      <c r="O1004" s="38"/>
      <c r="P1004" s="38"/>
      <c r="Q1004" s="38"/>
      <c r="R1004" s="38"/>
      <c r="S1004" s="38"/>
      <c r="T1004" s="38"/>
      <c r="U1004" s="38"/>
      <c r="V1004" s="38"/>
      <c r="W1004" s="38"/>
      <c r="X1004" s="38"/>
      <c r="Y1004" s="38"/>
      <c r="Z1004" s="38"/>
      <c r="AA1004" s="38"/>
      <c r="AB1004" s="38"/>
      <c r="AC1004" s="38"/>
      <c r="AD1004" s="38"/>
      <c r="AE1004" s="38"/>
      <c r="AF1004" s="38"/>
      <c r="AG1004" s="38"/>
      <c r="AH1004" s="38"/>
      <c r="AI1004" s="38"/>
      <c r="AJ1004" s="38"/>
      <c r="AK1004" s="38"/>
      <c r="AL1004" s="38"/>
      <c r="AM1004" s="38"/>
      <c r="AN1004" s="38"/>
      <c r="AO1004" s="38"/>
      <c r="AP1004" s="38"/>
      <c r="AQ1004" s="38"/>
      <c r="AR1004" s="38"/>
      <c r="AS1004" s="38"/>
      <c r="AT1004" s="38"/>
      <c r="AU1004" s="38"/>
      <c r="AV1004" s="38"/>
      <c r="AW1004" s="38"/>
      <c r="AX1004" s="38"/>
      <c r="AY1004" s="38"/>
      <c r="AZ1004" s="38"/>
      <c r="BA1004" s="38"/>
      <c r="BB1004" s="38"/>
      <c r="BC1004" s="38"/>
      <c r="BD1004" s="38"/>
      <c r="BE1004" s="38"/>
      <c r="BF1004" s="38"/>
      <c r="BG1004" s="38"/>
      <c r="BH1004" s="38"/>
      <c r="BI1004" s="38"/>
      <c r="BJ1004" s="38"/>
      <c r="BK1004" s="38"/>
      <c r="BL1004" s="38"/>
    </row>
    <row r="1005">
      <c r="A1005" s="38"/>
      <c r="B1005" s="38"/>
      <c r="C1005" s="38"/>
      <c r="D1005" s="38"/>
      <c r="E1005" s="38"/>
      <c r="F1005" s="38"/>
      <c r="G1005" s="38"/>
      <c r="H1005" s="38"/>
      <c r="I1005" s="38"/>
      <c r="J1005" s="38"/>
      <c r="K1005" s="38"/>
      <c r="L1005" s="38"/>
      <c r="M1005" s="38"/>
      <c r="N1005" s="38"/>
      <c r="O1005" s="38"/>
      <c r="P1005" s="38"/>
      <c r="Q1005" s="38"/>
      <c r="R1005" s="38"/>
      <c r="S1005" s="38"/>
      <c r="T1005" s="38"/>
      <c r="U1005" s="38"/>
      <c r="V1005" s="38"/>
      <c r="W1005" s="38"/>
      <c r="X1005" s="38"/>
      <c r="Y1005" s="38"/>
      <c r="Z1005" s="38"/>
      <c r="AA1005" s="38"/>
      <c r="AB1005" s="38"/>
      <c r="AC1005" s="38"/>
      <c r="AD1005" s="38"/>
      <c r="AE1005" s="38"/>
      <c r="AF1005" s="38"/>
      <c r="AG1005" s="38"/>
      <c r="AH1005" s="38"/>
      <c r="AI1005" s="38"/>
      <c r="AJ1005" s="38"/>
      <c r="AK1005" s="38"/>
      <c r="AL1005" s="38"/>
      <c r="AM1005" s="38"/>
      <c r="AN1005" s="38"/>
      <c r="AO1005" s="38"/>
      <c r="AP1005" s="38"/>
      <c r="AQ1005" s="38"/>
      <c r="AR1005" s="38"/>
      <c r="AS1005" s="38"/>
      <c r="AT1005" s="38"/>
      <c r="AU1005" s="38"/>
      <c r="AV1005" s="38"/>
      <c r="AW1005" s="38"/>
      <c r="AX1005" s="38"/>
      <c r="AY1005" s="38"/>
      <c r="AZ1005" s="38"/>
      <c r="BA1005" s="38"/>
      <c r="BB1005" s="38"/>
      <c r="BC1005" s="38"/>
      <c r="BD1005" s="38"/>
      <c r="BE1005" s="38"/>
      <c r="BF1005" s="38"/>
      <c r="BG1005" s="38"/>
      <c r="BH1005" s="38"/>
      <c r="BI1005" s="38"/>
      <c r="BJ1005" s="38"/>
      <c r="BK1005" s="38"/>
      <c r="BL1005" s="38"/>
    </row>
    <row r="1006">
      <c r="A1006" s="38"/>
      <c r="B1006" s="38"/>
      <c r="C1006" s="38"/>
      <c r="D1006" s="38"/>
      <c r="E1006" s="38"/>
      <c r="F1006" s="38"/>
      <c r="G1006" s="38"/>
      <c r="H1006" s="38"/>
      <c r="I1006" s="38"/>
      <c r="J1006" s="38"/>
      <c r="K1006" s="38"/>
      <c r="L1006" s="38"/>
      <c r="M1006" s="38"/>
      <c r="N1006" s="38"/>
      <c r="O1006" s="38"/>
      <c r="P1006" s="38"/>
      <c r="Q1006" s="38"/>
      <c r="R1006" s="38"/>
      <c r="S1006" s="38"/>
      <c r="T1006" s="38"/>
      <c r="U1006" s="38"/>
      <c r="V1006" s="38"/>
      <c r="W1006" s="38"/>
      <c r="X1006" s="38"/>
      <c r="Y1006" s="38"/>
      <c r="Z1006" s="38"/>
      <c r="AA1006" s="38"/>
      <c r="AB1006" s="38"/>
      <c r="AC1006" s="38"/>
      <c r="AD1006" s="38"/>
      <c r="AE1006" s="38"/>
      <c r="AF1006" s="38"/>
      <c r="AG1006" s="38"/>
      <c r="AH1006" s="38"/>
      <c r="AI1006" s="38"/>
      <c r="AJ1006" s="38"/>
      <c r="AK1006" s="38"/>
      <c r="AL1006" s="38"/>
      <c r="AM1006" s="38"/>
      <c r="AN1006" s="38"/>
      <c r="AO1006" s="38"/>
      <c r="AP1006" s="38"/>
      <c r="AQ1006" s="38"/>
      <c r="AR1006" s="38"/>
      <c r="AS1006" s="38"/>
      <c r="AT1006" s="38"/>
      <c r="AU1006" s="38"/>
      <c r="AV1006" s="38"/>
      <c r="AW1006" s="38"/>
      <c r="AX1006" s="38"/>
      <c r="AY1006" s="38"/>
      <c r="AZ1006" s="38"/>
      <c r="BA1006" s="38"/>
      <c r="BB1006" s="38"/>
      <c r="BC1006" s="38"/>
      <c r="BD1006" s="38"/>
      <c r="BE1006" s="38"/>
      <c r="BF1006" s="38"/>
      <c r="BG1006" s="38"/>
      <c r="BH1006" s="38"/>
      <c r="BI1006" s="38"/>
      <c r="BJ1006" s="38"/>
      <c r="BK1006" s="38"/>
      <c r="BL1006" s="38"/>
    </row>
    <row r="1007">
      <c r="A1007" s="38"/>
      <c r="B1007" s="38"/>
      <c r="C1007" s="38"/>
      <c r="D1007" s="38"/>
      <c r="E1007" s="38"/>
      <c r="F1007" s="38"/>
      <c r="G1007" s="38"/>
      <c r="H1007" s="38"/>
      <c r="I1007" s="38"/>
      <c r="J1007" s="38"/>
      <c r="K1007" s="38"/>
      <c r="L1007" s="38"/>
      <c r="M1007" s="38"/>
      <c r="N1007" s="38"/>
      <c r="O1007" s="38"/>
      <c r="P1007" s="38"/>
      <c r="Q1007" s="38"/>
      <c r="R1007" s="38"/>
      <c r="S1007" s="38"/>
      <c r="T1007" s="38"/>
      <c r="U1007" s="38"/>
      <c r="V1007" s="38"/>
      <c r="W1007" s="38"/>
      <c r="X1007" s="38"/>
      <c r="Y1007" s="38"/>
      <c r="Z1007" s="38"/>
      <c r="AA1007" s="38"/>
      <c r="AB1007" s="38"/>
      <c r="AC1007" s="38"/>
      <c r="AD1007" s="38"/>
      <c r="AE1007" s="38"/>
      <c r="AF1007" s="38"/>
      <c r="AG1007" s="38"/>
      <c r="AH1007" s="38"/>
      <c r="AI1007" s="38"/>
      <c r="AJ1007" s="38"/>
      <c r="AK1007" s="38"/>
      <c r="AL1007" s="38"/>
      <c r="AM1007" s="38"/>
      <c r="AN1007" s="38"/>
      <c r="AO1007" s="38"/>
      <c r="AP1007" s="38"/>
      <c r="AQ1007" s="38"/>
      <c r="AR1007" s="38"/>
      <c r="AS1007" s="38"/>
      <c r="AT1007" s="38"/>
      <c r="AU1007" s="38"/>
      <c r="AV1007" s="38"/>
      <c r="AW1007" s="38"/>
      <c r="AX1007" s="38"/>
      <c r="AY1007" s="38"/>
      <c r="AZ1007" s="38"/>
      <c r="BA1007" s="38"/>
      <c r="BB1007" s="38"/>
      <c r="BC1007" s="38"/>
      <c r="BD1007" s="38"/>
      <c r="BE1007" s="38"/>
      <c r="BF1007" s="38"/>
      <c r="BG1007" s="38"/>
      <c r="BH1007" s="38"/>
      <c r="BI1007" s="38"/>
      <c r="BJ1007" s="38"/>
      <c r="BK1007" s="38"/>
      <c r="BL1007" s="3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16.13"/>
    <col customWidth="1" min="8" max="8" width="20.0"/>
    <col customWidth="1" min="9" max="16" width="18.88"/>
    <col customWidth="1" min="17" max="17" width="63.25"/>
    <col customWidth="1" min="18" max="23" width="18.88"/>
  </cols>
  <sheetData>
    <row r="1" ht="22.5" customHeight="1">
      <c r="A1" s="56" t="s">
        <v>120</v>
      </c>
      <c r="B1" s="57" t="s">
        <v>24</v>
      </c>
      <c r="C1" s="57" t="s">
        <v>121</v>
      </c>
      <c r="D1" s="56" t="s">
        <v>27</v>
      </c>
      <c r="E1" s="58" t="s">
        <v>123</v>
      </c>
      <c r="F1" s="59" t="s">
        <v>124</v>
      </c>
      <c r="G1" s="58" t="s">
        <v>125</v>
      </c>
      <c r="H1" s="58" t="s">
        <v>126</v>
      </c>
      <c r="I1" s="59" t="s">
        <v>127</v>
      </c>
      <c r="J1" s="59" t="s">
        <v>128</v>
      </c>
      <c r="K1" s="59" t="s">
        <v>129</v>
      </c>
      <c r="L1" s="59" t="s">
        <v>130</v>
      </c>
      <c r="M1" s="59" t="s">
        <v>131</v>
      </c>
      <c r="N1" s="59" t="s">
        <v>132</v>
      </c>
      <c r="O1" s="59" t="s">
        <v>133</v>
      </c>
      <c r="P1" s="59" t="s">
        <v>134</v>
      </c>
      <c r="Q1" s="59" t="s">
        <v>135</v>
      </c>
      <c r="R1" s="60" t="s">
        <v>137</v>
      </c>
    </row>
    <row r="2" ht="22.5" customHeight="1">
      <c r="A2" s="61">
        <v>45991.528166793985</v>
      </c>
      <c r="B2" s="62" t="s">
        <v>143</v>
      </c>
      <c r="C2" s="63" t="s">
        <v>144</v>
      </c>
      <c r="D2" s="64" t="s">
        <v>146</v>
      </c>
      <c r="E2" s="65">
        <v>46002.0</v>
      </c>
      <c r="F2" s="65">
        <v>46021.0</v>
      </c>
      <c r="G2" s="66" t="s">
        <v>147</v>
      </c>
      <c r="H2" s="66" t="s">
        <v>148</v>
      </c>
      <c r="I2" s="67"/>
      <c r="J2" s="67"/>
      <c r="K2" s="67"/>
      <c r="L2" s="67"/>
      <c r="M2" s="67"/>
      <c r="N2" s="67"/>
      <c r="O2" s="67"/>
      <c r="P2" s="67"/>
      <c r="Q2" s="67"/>
      <c r="R2" s="68"/>
    </row>
    <row r="3" ht="22.5" customHeight="1">
      <c r="A3" s="61">
        <v>45993.502988356486</v>
      </c>
      <c r="B3" s="62" t="s">
        <v>72</v>
      </c>
      <c r="C3" s="62">
        <v>8577287.0</v>
      </c>
      <c r="D3" s="64" t="s">
        <v>94</v>
      </c>
      <c r="E3" s="65">
        <v>46037.0</v>
      </c>
      <c r="F3" s="65">
        <v>46040.0</v>
      </c>
      <c r="G3" s="66" t="s">
        <v>155</v>
      </c>
      <c r="H3" s="66" t="s">
        <v>148</v>
      </c>
      <c r="I3" s="65">
        <v>45993.0</v>
      </c>
      <c r="J3" s="65">
        <v>45993.0</v>
      </c>
      <c r="L3" s="66" t="s">
        <v>148</v>
      </c>
      <c r="M3" s="65">
        <v>45993.0</v>
      </c>
      <c r="N3" s="65">
        <v>45993.0</v>
      </c>
      <c r="P3" s="66" t="s">
        <v>148</v>
      </c>
      <c r="Q3" s="69"/>
      <c r="R3" s="70" t="s">
        <v>158</v>
      </c>
    </row>
    <row r="4" ht="22.5" customHeight="1">
      <c r="A4" s="61">
        <v>45993.504783993056</v>
      </c>
      <c r="B4" s="62" t="s">
        <v>160</v>
      </c>
      <c r="C4" s="62">
        <v>8140590.0</v>
      </c>
      <c r="D4" s="64" t="s">
        <v>94</v>
      </c>
      <c r="E4" s="65">
        <v>46015.0</v>
      </c>
      <c r="F4" s="65">
        <v>46018.0</v>
      </c>
      <c r="G4" s="66" t="s">
        <v>162</v>
      </c>
      <c r="H4" s="66" t="s">
        <v>148</v>
      </c>
      <c r="I4" s="65">
        <v>46042.0</v>
      </c>
      <c r="J4" s="65">
        <v>46043.0</v>
      </c>
      <c r="K4" s="66" t="s">
        <v>163</v>
      </c>
      <c r="L4" s="66" t="s">
        <v>148</v>
      </c>
      <c r="M4" s="65">
        <v>46050.0</v>
      </c>
      <c r="N4" s="65">
        <v>46051.0</v>
      </c>
      <c r="O4" s="66" t="s">
        <v>164</v>
      </c>
      <c r="P4" s="66" t="s">
        <v>148</v>
      </c>
      <c r="Q4" s="69"/>
      <c r="R4" s="72"/>
    </row>
    <row r="5" ht="22.5" customHeight="1">
      <c r="A5" s="61">
        <v>45993.50599815972</v>
      </c>
      <c r="B5" s="62" t="s">
        <v>166</v>
      </c>
      <c r="C5" s="62">
        <v>5211617.0</v>
      </c>
      <c r="D5" s="64" t="s">
        <v>94</v>
      </c>
      <c r="E5" s="65">
        <v>46036.0</v>
      </c>
      <c r="F5" s="65">
        <v>46041.0</v>
      </c>
      <c r="G5" s="66" t="s">
        <v>167</v>
      </c>
      <c r="H5" s="66" t="s">
        <v>168</v>
      </c>
      <c r="I5" s="65">
        <v>46022.0</v>
      </c>
      <c r="J5" s="65">
        <v>46022.0</v>
      </c>
      <c r="K5" s="66" t="s">
        <v>169</v>
      </c>
      <c r="L5" s="66" t="s">
        <v>148</v>
      </c>
      <c r="M5" s="65">
        <v>46023.0</v>
      </c>
      <c r="N5" s="65">
        <v>46023.0</v>
      </c>
      <c r="O5" s="66" t="s">
        <v>169</v>
      </c>
      <c r="P5" s="66" t="s">
        <v>148</v>
      </c>
      <c r="Q5" s="69"/>
      <c r="R5" s="72"/>
    </row>
    <row r="6" ht="22.5" customHeight="1">
      <c r="A6" s="61">
        <v>45993.50660738426</v>
      </c>
      <c r="B6" s="62" t="s">
        <v>170</v>
      </c>
      <c r="C6" s="62">
        <v>4276047.0</v>
      </c>
      <c r="D6" s="64" t="s">
        <v>94</v>
      </c>
      <c r="E6" s="65">
        <v>46015.0</v>
      </c>
      <c r="F6" s="65">
        <v>46040.0</v>
      </c>
      <c r="G6" s="66" t="s">
        <v>171</v>
      </c>
      <c r="H6" s="66" t="s">
        <v>148</v>
      </c>
      <c r="I6" s="65"/>
      <c r="J6" s="65"/>
      <c r="K6" s="66"/>
      <c r="M6" s="65"/>
      <c r="N6" s="65"/>
      <c r="O6" s="66"/>
      <c r="R6" s="79"/>
    </row>
    <row r="7" ht="22.5" customHeight="1">
      <c r="A7" s="61">
        <v>45993.5092252662</v>
      </c>
      <c r="B7" s="62" t="s">
        <v>75</v>
      </c>
      <c r="C7" s="62">
        <v>7081804.0</v>
      </c>
      <c r="D7" s="64" t="s">
        <v>94</v>
      </c>
      <c r="E7" s="65">
        <v>46017.0</v>
      </c>
      <c r="F7" s="65">
        <v>46018.0</v>
      </c>
      <c r="G7" s="66" t="s">
        <v>172</v>
      </c>
      <c r="H7" s="66" t="s">
        <v>148</v>
      </c>
      <c r="I7" s="65">
        <v>46037.0</v>
      </c>
      <c r="J7" s="65">
        <v>46039.0</v>
      </c>
      <c r="K7" s="66" t="s">
        <v>172</v>
      </c>
      <c r="L7" s="66" t="s">
        <v>148</v>
      </c>
      <c r="M7" s="65">
        <v>46024.0</v>
      </c>
      <c r="N7" s="65">
        <v>46025.0</v>
      </c>
      <c r="O7" s="66" t="s">
        <v>172</v>
      </c>
      <c r="P7" s="66" t="s">
        <v>148</v>
      </c>
      <c r="Q7" s="69"/>
      <c r="R7" s="72"/>
    </row>
    <row r="8" ht="22.5" customHeight="1">
      <c r="A8" s="61">
        <v>45993.51892019676</v>
      </c>
      <c r="B8" s="62" t="s">
        <v>175</v>
      </c>
      <c r="C8" s="62">
        <v>5759919.0</v>
      </c>
      <c r="D8" s="64" t="s">
        <v>94</v>
      </c>
      <c r="E8" s="65">
        <v>46012.0</v>
      </c>
      <c r="F8" s="65">
        <v>46019.0</v>
      </c>
      <c r="G8" s="66" t="s">
        <v>176</v>
      </c>
      <c r="H8" s="66" t="s">
        <v>148</v>
      </c>
      <c r="I8" s="65">
        <v>46036.0</v>
      </c>
      <c r="J8" s="65">
        <v>46040.0</v>
      </c>
      <c r="K8" s="66" t="s">
        <v>177</v>
      </c>
      <c r="L8" s="66" t="s">
        <v>148</v>
      </c>
      <c r="M8" s="65">
        <v>46377.0</v>
      </c>
      <c r="N8" s="65">
        <v>46074.0</v>
      </c>
      <c r="O8" s="66" t="s">
        <v>178</v>
      </c>
      <c r="P8" s="66" t="s">
        <v>148</v>
      </c>
      <c r="Q8" s="69"/>
      <c r="R8" s="72"/>
    </row>
    <row r="9" ht="22.5" customHeight="1">
      <c r="A9" s="61">
        <v>45993.527810671294</v>
      </c>
      <c r="B9" s="62" t="s">
        <v>179</v>
      </c>
      <c r="C9" s="62">
        <v>7024334.0</v>
      </c>
      <c r="D9" s="64" t="s">
        <v>94</v>
      </c>
      <c r="E9" s="65">
        <v>46018.0</v>
      </c>
      <c r="F9" s="65">
        <v>46029.0</v>
      </c>
      <c r="G9" s="66" t="s">
        <v>180</v>
      </c>
      <c r="H9" s="66" t="s">
        <v>148</v>
      </c>
      <c r="I9" s="65">
        <v>46018.0</v>
      </c>
      <c r="J9" s="65">
        <v>46029.0</v>
      </c>
      <c r="M9" s="65">
        <v>46018.0</v>
      </c>
      <c r="N9" s="65">
        <v>46029.0</v>
      </c>
      <c r="R9" s="79"/>
    </row>
    <row r="10" ht="22.5" customHeight="1">
      <c r="A10" s="61">
        <v>45993.53906818287</v>
      </c>
      <c r="B10" s="62" t="s">
        <v>182</v>
      </c>
      <c r="C10" s="62">
        <v>7023922.0</v>
      </c>
      <c r="D10" s="64" t="s">
        <v>146</v>
      </c>
      <c r="E10" s="65">
        <v>46024.0</v>
      </c>
      <c r="F10" s="65">
        <v>46025.0</v>
      </c>
      <c r="G10" s="66" t="s">
        <v>183</v>
      </c>
      <c r="H10" s="66" t="s">
        <v>148</v>
      </c>
      <c r="I10" s="65">
        <v>46028.0</v>
      </c>
      <c r="J10" s="65">
        <v>46030.0</v>
      </c>
      <c r="K10" s="66" t="s">
        <v>183</v>
      </c>
      <c r="L10" s="66" t="s">
        <v>148</v>
      </c>
      <c r="M10" s="65">
        <v>46038.0</v>
      </c>
      <c r="N10" s="65">
        <v>46039.0</v>
      </c>
      <c r="O10" s="66" t="s">
        <v>183</v>
      </c>
      <c r="P10" s="66" t="s">
        <v>148</v>
      </c>
      <c r="Q10" s="69"/>
      <c r="R10" s="72"/>
    </row>
    <row r="11" ht="22.5" customHeight="1">
      <c r="A11" s="61">
        <v>45993.54084638889</v>
      </c>
      <c r="B11" s="62" t="s">
        <v>186</v>
      </c>
      <c r="C11" s="62">
        <v>7023922.0</v>
      </c>
      <c r="D11" s="64" t="s">
        <v>94</v>
      </c>
      <c r="E11" s="65">
        <v>46042.0</v>
      </c>
      <c r="F11" s="65">
        <v>46044.0</v>
      </c>
      <c r="G11" s="66" t="s">
        <v>183</v>
      </c>
      <c r="H11" s="66" t="s">
        <v>148</v>
      </c>
      <c r="I11" s="65">
        <v>46052.0</v>
      </c>
      <c r="J11" s="65">
        <v>46053.0</v>
      </c>
      <c r="K11" s="66" t="s">
        <v>183</v>
      </c>
      <c r="L11" s="66" t="s">
        <v>148</v>
      </c>
      <c r="M11" s="65">
        <v>46056.0</v>
      </c>
      <c r="N11" s="65">
        <v>46058.0</v>
      </c>
      <c r="O11" s="66" t="s">
        <v>183</v>
      </c>
      <c r="P11" s="66" t="s">
        <v>148</v>
      </c>
      <c r="Q11" s="69"/>
      <c r="R11" s="72"/>
    </row>
    <row r="12" ht="22.5" customHeight="1">
      <c r="A12" s="61">
        <v>45993.542339374995</v>
      </c>
      <c r="B12" s="62" t="s">
        <v>186</v>
      </c>
      <c r="C12" s="62">
        <v>7023922.0</v>
      </c>
      <c r="D12" s="64" t="s">
        <v>94</v>
      </c>
      <c r="E12" s="65">
        <v>46066.0</v>
      </c>
      <c r="F12" s="65">
        <v>46067.0</v>
      </c>
      <c r="G12" s="66" t="s">
        <v>183</v>
      </c>
      <c r="H12" s="66" t="s">
        <v>148</v>
      </c>
      <c r="I12" s="65">
        <v>46070.0</v>
      </c>
      <c r="J12" s="65">
        <v>46072.0</v>
      </c>
      <c r="K12" s="66" t="s">
        <v>183</v>
      </c>
      <c r="L12" s="66" t="s">
        <v>148</v>
      </c>
      <c r="M12" s="65">
        <v>46080.0</v>
      </c>
      <c r="N12" s="65">
        <v>46081.0</v>
      </c>
      <c r="O12" s="66" t="s">
        <v>183</v>
      </c>
      <c r="P12" s="66" t="s">
        <v>148</v>
      </c>
      <c r="Q12" s="69"/>
      <c r="R12" s="72"/>
    </row>
    <row r="13" ht="22.5" customHeight="1">
      <c r="A13" s="61">
        <v>45993.56530342593</v>
      </c>
      <c r="B13" s="62" t="s">
        <v>119</v>
      </c>
      <c r="C13" s="62">
        <v>7301390.0</v>
      </c>
      <c r="D13" s="64" t="s">
        <v>94</v>
      </c>
      <c r="E13" s="65">
        <v>46049.0</v>
      </c>
      <c r="F13" s="65">
        <v>46051.0</v>
      </c>
      <c r="G13" s="66" t="s">
        <v>194</v>
      </c>
      <c r="H13" s="66" t="s">
        <v>148</v>
      </c>
      <c r="R13" s="79"/>
    </row>
    <row r="14" ht="22.5" customHeight="1">
      <c r="A14" s="61">
        <v>45993.574288090276</v>
      </c>
      <c r="B14" s="62" t="s">
        <v>191</v>
      </c>
      <c r="C14" s="62">
        <v>5999668.0</v>
      </c>
      <c r="D14" s="64" t="s">
        <v>94</v>
      </c>
      <c r="E14" s="65">
        <v>46016.0</v>
      </c>
      <c r="F14" s="65">
        <v>46025.0</v>
      </c>
      <c r="G14" s="66" t="s">
        <v>197</v>
      </c>
      <c r="H14" s="66" t="s">
        <v>148</v>
      </c>
      <c r="I14" s="65">
        <v>46033.0</v>
      </c>
      <c r="J14" s="65">
        <v>46051.0</v>
      </c>
      <c r="K14" s="66" t="s">
        <v>197</v>
      </c>
      <c r="L14" s="66" t="s">
        <v>148</v>
      </c>
      <c r="Q14" s="66" t="s">
        <v>200</v>
      </c>
      <c r="R14" s="72"/>
    </row>
    <row r="15" ht="22.5" customHeight="1">
      <c r="A15" s="61">
        <v>45993.578482337965</v>
      </c>
      <c r="B15" s="62" t="s">
        <v>140</v>
      </c>
      <c r="C15" s="62">
        <v>8125678.0</v>
      </c>
      <c r="D15" s="64" t="s">
        <v>94</v>
      </c>
      <c r="E15" s="65">
        <v>46012.0</v>
      </c>
      <c r="F15" s="65">
        <v>46013.0</v>
      </c>
      <c r="G15" s="66" t="s">
        <v>201</v>
      </c>
      <c r="H15" s="66" t="s">
        <v>148</v>
      </c>
      <c r="I15" s="65">
        <v>46043.0</v>
      </c>
      <c r="J15" s="65">
        <v>46044.0</v>
      </c>
      <c r="K15" s="66" t="s">
        <v>202</v>
      </c>
      <c r="L15" s="66" t="s">
        <v>148</v>
      </c>
      <c r="R15" s="79"/>
    </row>
    <row r="16" ht="22.5" customHeight="1">
      <c r="A16" s="61">
        <v>45993.641332824074</v>
      </c>
      <c r="B16" s="62" t="s">
        <v>203</v>
      </c>
      <c r="C16" s="62">
        <v>6977337.0</v>
      </c>
      <c r="D16" s="64" t="s">
        <v>94</v>
      </c>
      <c r="E16" s="65">
        <v>46040.0</v>
      </c>
      <c r="F16" s="65">
        <v>46051.0</v>
      </c>
      <c r="G16" s="66" t="s">
        <v>206</v>
      </c>
      <c r="H16" s="66" t="s">
        <v>148</v>
      </c>
      <c r="R16" s="79"/>
    </row>
    <row r="17" ht="22.5" customHeight="1">
      <c r="A17" s="61">
        <v>45993.707384849535</v>
      </c>
      <c r="B17" s="62" t="s">
        <v>207</v>
      </c>
      <c r="C17" s="62">
        <v>3782633.0</v>
      </c>
      <c r="D17" s="64" t="s">
        <v>94</v>
      </c>
      <c r="E17" s="65">
        <v>46021.0</v>
      </c>
      <c r="F17" s="65">
        <v>46026.0</v>
      </c>
      <c r="G17" s="66" t="s">
        <v>208</v>
      </c>
      <c r="H17" s="66" t="s">
        <v>148</v>
      </c>
      <c r="L17" s="66" t="s">
        <v>148</v>
      </c>
      <c r="P17" s="66" t="s">
        <v>148</v>
      </c>
      <c r="R17" s="79"/>
    </row>
    <row r="18" ht="22.5" customHeight="1">
      <c r="A18" s="61">
        <v>45993.78747818287</v>
      </c>
      <c r="B18" s="62" t="s">
        <v>209</v>
      </c>
      <c r="C18" s="62">
        <v>8115729.0</v>
      </c>
      <c r="D18" s="64" t="s">
        <v>94</v>
      </c>
      <c r="E18" s="65">
        <v>46009.0</v>
      </c>
      <c r="F18" s="65">
        <v>46012.0</v>
      </c>
      <c r="G18" s="66" t="s">
        <v>210</v>
      </c>
      <c r="H18" s="66" t="s">
        <v>148</v>
      </c>
      <c r="I18" s="65">
        <v>46022.0</v>
      </c>
      <c r="J18" s="65">
        <v>46026.0</v>
      </c>
      <c r="K18" s="66" t="s">
        <v>211</v>
      </c>
      <c r="R18" s="79"/>
    </row>
    <row r="19" ht="22.5" customHeight="1">
      <c r="A19" s="61">
        <v>45993.82300377315</v>
      </c>
      <c r="B19" s="62" t="s">
        <v>67</v>
      </c>
      <c r="C19" s="62">
        <v>5222292.0</v>
      </c>
      <c r="D19" s="64" t="s">
        <v>94</v>
      </c>
      <c r="E19" s="65">
        <v>46035.0</v>
      </c>
      <c r="F19" s="65">
        <v>46056.0</v>
      </c>
      <c r="G19" s="66" t="s">
        <v>212</v>
      </c>
      <c r="H19" s="66" t="s">
        <v>148</v>
      </c>
      <c r="R19" s="79"/>
    </row>
    <row r="20" ht="22.5" customHeight="1">
      <c r="A20" s="61">
        <v>45993.853129490744</v>
      </c>
      <c r="B20" s="62" t="s">
        <v>213</v>
      </c>
      <c r="C20" s="62">
        <v>4604692.0</v>
      </c>
      <c r="D20" s="64" t="s">
        <v>214</v>
      </c>
      <c r="E20" s="65">
        <v>46028.0</v>
      </c>
      <c r="F20" s="65">
        <v>46028.0</v>
      </c>
      <c r="G20" s="66" t="s">
        <v>215</v>
      </c>
      <c r="H20" s="66" t="s">
        <v>148</v>
      </c>
      <c r="R20" s="79"/>
    </row>
    <row r="21" ht="22.5" customHeight="1">
      <c r="A21" s="61">
        <v>45993.8748935301</v>
      </c>
      <c r="B21" s="62" t="s">
        <v>68</v>
      </c>
      <c r="C21" s="62">
        <v>5126913.0</v>
      </c>
      <c r="D21" s="64" t="s">
        <v>94</v>
      </c>
      <c r="E21" s="65">
        <v>46020.0</v>
      </c>
      <c r="F21" s="65">
        <v>46026.0</v>
      </c>
      <c r="G21" s="66" t="s">
        <v>216</v>
      </c>
      <c r="H21" s="66" t="s">
        <v>148</v>
      </c>
      <c r="I21" s="65">
        <v>46036.0</v>
      </c>
      <c r="J21" s="65">
        <v>46041.0</v>
      </c>
      <c r="K21" s="66" t="s">
        <v>216</v>
      </c>
      <c r="L21" s="66" t="s">
        <v>148</v>
      </c>
      <c r="M21" s="65">
        <v>46044.0</v>
      </c>
      <c r="N21" s="65">
        <v>46049.0</v>
      </c>
      <c r="O21" s="66" t="s">
        <v>216</v>
      </c>
      <c r="P21" s="66" t="s">
        <v>148</v>
      </c>
      <c r="Q21" s="66" t="s">
        <v>217</v>
      </c>
      <c r="R21" s="72"/>
    </row>
    <row r="22" ht="22.5" customHeight="1">
      <c r="A22" s="61">
        <v>45993.89580211806</v>
      </c>
      <c r="B22" s="62" t="s">
        <v>218</v>
      </c>
      <c r="C22" s="62">
        <v>4382868.0</v>
      </c>
      <c r="D22" s="64" t="s">
        <v>94</v>
      </c>
      <c r="E22" s="65">
        <v>46026.0</v>
      </c>
      <c r="F22" s="65">
        <v>46033.0</v>
      </c>
      <c r="G22" s="66" t="s">
        <v>219</v>
      </c>
      <c r="H22" s="66" t="s">
        <v>148</v>
      </c>
      <c r="I22" s="65">
        <v>46040.0</v>
      </c>
      <c r="J22" s="65">
        <v>46047.0</v>
      </c>
      <c r="K22" s="66" t="s">
        <v>219</v>
      </c>
      <c r="L22" s="66" t="s">
        <v>148</v>
      </c>
      <c r="Q22" s="66" t="s">
        <v>220</v>
      </c>
      <c r="R22" s="72"/>
    </row>
    <row r="23" ht="22.5" customHeight="1">
      <c r="A23" s="61">
        <v>45993.91581744213</v>
      </c>
      <c r="B23" s="62" t="s">
        <v>222</v>
      </c>
      <c r="C23" s="62">
        <v>4635553.0</v>
      </c>
      <c r="D23" s="64" t="s">
        <v>94</v>
      </c>
      <c r="E23" s="65">
        <v>46037.0</v>
      </c>
      <c r="F23" s="65">
        <v>46064.0</v>
      </c>
      <c r="G23" s="66" t="s">
        <v>223</v>
      </c>
      <c r="H23" s="66" t="s">
        <v>148</v>
      </c>
      <c r="Q23" s="66" t="s">
        <v>224</v>
      </c>
      <c r="R23" s="72"/>
    </row>
    <row r="24" ht="22.5" customHeight="1">
      <c r="A24" s="61">
        <v>45994.55055539352</v>
      </c>
      <c r="B24" s="62" t="s">
        <v>225</v>
      </c>
      <c r="C24" s="62">
        <v>7157051.0</v>
      </c>
      <c r="D24" s="64" t="s">
        <v>94</v>
      </c>
      <c r="E24" s="65">
        <v>46022.0</v>
      </c>
      <c r="F24" s="65">
        <v>46025.0</v>
      </c>
      <c r="G24" s="66" t="s">
        <v>226</v>
      </c>
      <c r="H24" s="66" t="s">
        <v>148</v>
      </c>
      <c r="I24" s="65">
        <v>46033.0</v>
      </c>
      <c r="J24" s="65">
        <v>46036.0</v>
      </c>
      <c r="K24" s="66" t="s">
        <v>227</v>
      </c>
      <c r="L24" s="66" t="s">
        <v>148</v>
      </c>
      <c r="M24" s="65">
        <v>46044.0</v>
      </c>
      <c r="N24" s="65">
        <v>46046.0</v>
      </c>
      <c r="P24" s="66" t="s">
        <v>148</v>
      </c>
      <c r="R24" s="79"/>
    </row>
    <row r="25" ht="22.5" customHeight="1">
      <c r="A25" s="61">
        <v>45994.678488460646</v>
      </c>
      <c r="B25" s="62" t="s">
        <v>228</v>
      </c>
      <c r="C25" s="62">
        <v>5682069.0</v>
      </c>
      <c r="D25" s="64" t="s">
        <v>94</v>
      </c>
      <c r="E25" s="65">
        <v>46034.0</v>
      </c>
      <c r="F25" s="65">
        <v>46035.0</v>
      </c>
      <c r="G25" s="66" t="s">
        <v>230</v>
      </c>
      <c r="H25" s="66" t="s">
        <v>148</v>
      </c>
      <c r="I25" s="65">
        <v>46025.0</v>
      </c>
      <c r="J25" s="65">
        <v>46026.0</v>
      </c>
      <c r="K25" s="66" t="s">
        <v>231</v>
      </c>
      <c r="L25" s="66" t="s">
        <v>148</v>
      </c>
      <c r="R25" s="79"/>
    </row>
    <row r="26" ht="22.5" customHeight="1">
      <c r="A26" s="61">
        <v>45994.76481163195</v>
      </c>
      <c r="B26" s="62" t="s">
        <v>232</v>
      </c>
      <c r="C26" s="62">
        <v>5085966.0</v>
      </c>
      <c r="D26" s="64" t="s">
        <v>87</v>
      </c>
      <c r="E26" s="65">
        <v>46013.0</v>
      </c>
      <c r="F26" s="65">
        <v>45999.0</v>
      </c>
      <c r="G26" s="66" t="s">
        <v>233</v>
      </c>
      <c r="H26" s="66" t="s">
        <v>148</v>
      </c>
      <c r="I26" s="65">
        <v>46017.0</v>
      </c>
      <c r="J26" s="65">
        <v>46017.0</v>
      </c>
      <c r="K26" s="66" t="s">
        <v>234</v>
      </c>
      <c r="L26" s="66" t="s">
        <v>148</v>
      </c>
      <c r="M26" s="65">
        <v>46019.0</v>
      </c>
      <c r="N26" s="65">
        <v>46019.0</v>
      </c>
      <c r="Q26" s="66" t="s">
        <v>235</v>
      </c>
      <c r="R26" s="72"/>
    </row>
    <row r="27" ht="22.5" customHeight="1">
      <c r="A27" s="61">
        <v>45994.82011547453</v>
      </c>
      <c r="B27" s="62" t="s">
        <v>236</v>
      </c>
      <c r="C27" s="62">
        <v>8202000.0</v>
      </c>
      <c r="D27" s="64" t="s">
        <v>94</v>
      </c>
      <c r="E27" s="65">
        <v>46040.0</v>
      </c>
      <c r="F27" s="65">
        <v>46040.0</v>
      </c>
      <c r="G27" s="66" t="s">
        <v>237</v>
      </c>
      <c r="H27" s="66" t="s">
        <v>148</v>
      </c>
      <c r="R27" s="79"/>
    </row>
    <row r="28" ht="22.5" customHeight="1">
      <c r="A28" s="61">
        <v>45994.86448128472</v>
      </c>
      <c r="B28" s="62" t="s">
        <v>238</v>
      </c>
      <c r="C28" s="62">
        <v>5146385.0</v>
      </c>
      <c r="D28" s="64" t="s">
        <v>87</v>
      </c>
      <c r="E28" s="65">
        <v>46042.0</v>
      </c>
      <c r="F28" s="65">
        <v>46043.0</v>
      </c>
      <c r="G28" s="66" t="s">
        <v>239</v>
      </c>
      <c r="H28" s="66" t="s">
        <v>148</v>
      </c>
      <c r="R28" s="79"/>
    </row>
    <row r="29" ht="22.5" customHeight="1">
      <c r="A29" s="61">
        <v>45994.96777040509</v>
      </c>
      <c r="B29" s="62" t="s">
        <v>117</v>
      </c>
      <c r="C29" s="62">
        <v>5372450.0</v>
      </c>
      <c r="D29" s="64" t="s">
        <v>94</v>
      </c>
      <c r="E29" s="65">
        <v>46019.0</v>
      </c>
      <c r="F29" s="65">
        <v>46021.0</v>
      </c>
      <c r="G29" s="66" t="s">
        <v>172</v>
      </c>
      <c r="H29" s="66" t="s">
        <v>148</v>
      </c>
      <c r="I29" s="65">
        <v>46027.0</v>
      </c>
      <c r="J29" s="65">
        <v>46033.0</v>
      </c>
      <c r="K29" s="66" t="s">
        <v>240</v>
      </c>
      <c r="L29" s="66" t="s">
        <v>148</v>
      </c>
      <c r="M29" s="65">
        <v>46042.0</v>
      </c>
      <c r="N29" s="65">
        <v>46047.0</v>
      </c>
      <c r="O29" s="66" t="s">
        <v>241</v>
      </c>
      <c r="P29" s="66" t="s">
        <v>148</v>
      </c>
      <c r="R29" s="79"/>
    </row>
    <row r="30" ht="22.5" customHeight="1">
      <c r="A30" s="61">
        <v>45994.97136739583</v>
      </c>
      <c r="B30" s="62" t="s">
        <v>242</v>
      </c>
      <c r="C30" s="62">
        <v>5103212.0</v>
      </c>
      <c r="D30" s="64" t="s">
        <v>94</v>
      </c>
      <c r="E30" s="65">
        <v>46036.0</v>
      </c>
      <c r="F30" s="65">
        <v>46041.0</v>
      </c>
      <c r="G30" s="66" t="s">
        <v>244</v>
      </c>
      <c r="H30" s="66" t="s">
        <v>168</v>
      </c>
      <c r="R30" s="79"/>
    </row>
    <row r="31" ht="22.5" customHeight="1">
      <c r="A31" s="61">
        <v>45995.17120967593</v>
      </c>
      <c r="B31" s="62" t="s">
        <v>86</v>
      </c>
      <c r="C31" s="62">
        <v>5151252.0</v>
      </c>
      <c r="D31" s="64" t="s">
        <v>94</v>
      </c>
      <c r="E31" s="65">
        <v>46031.0</v>
      </c>
      <c r="F31" s="65">
        <v>46032.0</v>
      </c>
      <c r="G31" s="66" t="s">
        <v>246</v>
      </c>
      <c r="H31" s="66" t="s">
        <v>148</v>
      </c>
      <c r="R31" s="79"/>
    </row>
    <row r="32" ht="22.5" customHeight="1">
      <c r="A32" s="61">
        <v>45995.391273217596</v>
      </c>
      <c r="B32" s="62" t="s">
        <v>243</v>
      </c>
      <c r="C32" s="62">
        <v>7236705.0</v>
      </c>
      <c r="D32" s="64" t="s">
        <v>112</v>
      </c>
      <c r="E32" s="65">
        <v>46047.0</v>
      </c>
      <c r="F32" s="65">
        <v>46051.0</v>
      </c>
      <c r="G32" s="66" t="s">
        <v>247</v>
      </c>
      <c r="H32" s="66" t="s">
        <v>168</v>
      </c>
      <c r="I32" s="65">
        <v>46058.0</v>
      </c>
      <c r="J32" s="65">
        <v>46062.0</v>
      </c>
      <c r="K32" s="66" t="s">
        <v>247</v>
      </c>
      <c r="L32" s="66" t="s">
        <v>168</v>
      </c>
      <c r="Q32" s="66" t="s">
        <v>248</v>
      </c>
      <c r="R32" s="72"/>
    </row>
    <row r="33" ht="22.5" customHeight="1">
      <c r="A33" s="61">
        <v>45995.428983564816</v>
      </c>
      <c r="B33" s="62" t="s">
        <v>249</v>
      </c>
      <c r="C33" s="62">
        <v>4667148.0</v>
      </c>
      <c r="D33" s="64" t="s">
        <v>116</v>
      </c>
      <c r="E33" s="65">
        <v>46026.0</v>
      </c>
      <c r="F33" s="65">
        <v>46030.0</v>
      </c>
      <c r="G33" s="66" t="s">
        <v>241</v>
      </c>
      <c r="H33" s="66" t="s">
        <v>148</v>
      </c>
      <c r="Q33" s="66" t="s">
        <v>250</v>
      </c>
      <c r="R33" s="72"/>
    </row>
    <row r="34" ht="22.5" customHeight="1">
      <c r="A34" s="61">
        <v>45995.575431793986</v>
      </c>
      <c r="B34" s="62" t="s">
        <v>56</v>
      </c>
      <c r="C34" s="62">
        <v>8621107.0</v>
      </c>
      <c r="D34" s="64" t="s">
        <v>116</v>
      </c>
      <c r="E34" s="65">
        <v>46041.0</v>
      </c>
      <c r="F34" s="65">
        <v>46044.0</v>
      </c>
      <c r="G34" s="66" t="s">
        <v>251</v>
      </c>
      <c r="H34" s="66" t="s">
        <v>148</v>
      </c>
      <c r="I34" s="65">
        <v>46026.0</v>
      </c>
      <c r="J34" s="65">
        <v>46026.0</v>
      </c>
      <c r="K34" s="66" t="s">
        <v>201</v>
      </c>
      <c r="L34" s="66" t="s">
        <v>148</v>
      </c>
      <c r="R34" s="79"/>
    </row>
    <row r="35" ht="22.5" customHeight="1">
      <c r="A35" s="61">
        <v>45995.583707638885</v>
      </c>
      <c r="B35" s="62" t="s">
        <v>252</v>
      </c>
      <c r="C35" s="62">
        <v>7489746.0</v>
      </c>
      <c r="D35" s="64" t="s">
        <v>94</v>
      </c>
      <c r="E35" s="65">
        <v>46033.0</v>
      </c>
      <c r="F35" s="65">
        <v>46051.0</v>
      </c>
      <c r="G35" s="66" t="s">
        <v>253</v>
      </c>
      <c r="H35" s="66" t="s">
        <v>148</v>
      </c>
      <c r="Q35" s="66" t="s">
        <v>253</v>
      </c>
      <c r="R35" s="72"/>
    </row>
    <row r="36" ht="22.5" customHeight="1">
      <c r="A36" s="61">
        <v>45995.59736300926</v>
      </c>
      <c r="B36" s="62" t="s">
        <v>254</v>
      </c>
      <c r="C36" s="62">
        <v>5645367.0</v>
      </c>
      <c r="D36" s="64" t="s">
        <v>94</v>
      </c>
      <c r="E36" s="65">
        <v>46040.0</v>
      </c>
      <c r="F36" s="65">
        <v>46040.0</v>
      </c>
      <c r="G36" s="66" t="s">
        <v>255</v>
      </c>
      <c r="H36" s="66" t="s">
        <v>148</v>
      </c>
      <c r="I36" s="65">
        <v>46024.0</v>
      </c>
      <c r="J36" s="65">
        <v>46025.0</v>
      </c>
      <c r="K36" s="66" t="s">
        <v>256</v>
      </c>
      <c r="L36" s="66" t="s">
        <v>148</v>
      </c>
      <c r="M36" s="65">
        <v>46031.0</v>
      </c>
      <c r="N36" s="65">
        <v>46032.0</v>
      </c>
      <c r="O36" s="66" t="s">
        <v>257</v>
      </c>
      <c r="P36" s="66" t="s">
        <v>148</v>
      </c>
      <c r="R36" s="79"/>
    </row>
    <row r="37" ht="22.5" customHeight="1">
      <c r="A37" s="61">
        <v>45993.67981434028</v>
      </c>
      <c r="B37" s="62" t="s">
        <v>258</v>
      </c>
      <c r="C37" s="62">
        <v>7379602.0</v>
      </c>
      <c r="D37" s="64" t="s">
        <v>94</v>
      </c>
      <c r="E37" s="65">
        <v>46016.0</v>
      </c>
      <c r="F37" s="65">
        <v>46017.0</v>
      </c>
      <c r="G37" s="66" t="s">
        <v>259</v>
      </c>
      <c r="H37" s="66" t="s">
        <v>148</v>
      </c>
      <c r="R37" s="79"/>
    </row>
    <row r="38" ht="22.5" customHeight="1">
      <c r="A38" s="61">
        <v>45995.8218816088</v>
      </c>
      <c r="B38" s="62" t="s">
        <v>258</v>
      </c>
      <c r="C38" s="62">
        <v>7379602.0</v>
      </c>
      <c r="D38" s="64" t="s">
        <v>94</v>
      </c>
      <c r="E38" s="65">
        <v>46016.0</v>
      </c>
      <c r="F38" s="65">
        <v>46017.0</v>
      </c>
      <c r="G38" s="66" t="s">
        <v>260</v>
      </c>
      <c r="H38" s="66" t="s">
        <v>148</v>
      </c>
      <c r="I38" s="65">
        <v>46026.0</v>
      </c>
      <c r="J38" s="65">
        <v>46027.0</v>
      </c>
      <c r="K38" s="66" t="s">
        <v>261</v>
      </c>
      <c r="L38" s="66" t="s">
        <v>148</v>
      </c>
      <c r="R38" s="79"/>
    </row>
    <row r="39" ht="22.5" customHeight="1">
      <c r="A39" s="61">
        <v>45995.93277428241</v>
      </c>
      <c r="B39" s="62" t="s">
        <v>262</v>
      </c>
      <c r="C39" s="62">
        <v>6428995.0</v>
      </c>
      <c r="D39" s="64" t="s">
        <v>94</v>
      </c>
      <c r="E39" s="65">
        <v>46046.0</v>
      </c>
      <c r="F39" s="65">
        <v>46022.0</v>
      </c>
      <c r="G39" s="66" t="s">
        <v>264</v>
      </c>
      <c r="H39" s="66" t="s">
        <v>148</v>
      </c>
      <c r="I39" s="65">
        <v>46054.0</v>
      </c>
      <c r="J39" s="65">
        <v>46002.0</v>
      </c>
      <c r="K39" s="66" t="s">
        <v>265</v>
      </c>
      <c r="L39" s="66" t="s">
        <v>168</v>
      </c>
      <c r="R39" s="79"/>
    </row>
    <row r="40" ht="22.5" customHeight="1">
      <c r="A40" s="61">
        <v>45995.95733542824</v>
      </c>
      <c r="B40" s="62" t="s">
        <v>174</v>
      </c>
      <c r="C40" s="62">
        <v>5112996.0</v>
      </c>
      <c r="D40" s="64" t="s">
        <v>94</v>
      </c>
      <c r="E40" s="65">
        <v>46012.0</v>
      </c>
      <c r="F40" s="65">
        <v>46013.0</v>
      </c>
      <c r="G40" s="66" t="s">
        <v>266</v>
      </c>
      <c r="H40" s="66" t="s">
        <v>148</v>
      </c>
      <c r="I40" s="65">
        <v>46037.0</v>
      </c>
      <c r="J40" s="65">
        <v>46041.0</v>
      </c>
      <c r="K40" s="66" t="s">
        <v>267</v>
      </c>
      <c r="L40" s="66" t="s">
        <v>148</v>
      </c>
      <c r="M40" s="65">
        <v>46032.0</v>
      </c>
      <c r="N40" s="65">
        <v>46037.0</v>
      </c>
      <c r="O40" s="66" t="s">
        <v>241</v>
      </c>
      <c r="P40" s="66" t="s">
        <v>148</v>
      </c>
      <c r="R40" s="79"/>
    </row>
    <row r="41" ht="22.5" customHeight="1">
      <c r="A41" s="61">
        <v>45996.23809694445</v>
      </c>
      <c r="B41" s="62" t="s">
        <v>268</v>
      </c>
      <c r="C41" s="62">
        <v>5757009.0</v>
      </c>
      <c r="D41" s="64" t="s">
        <v>94</v>
      </c>
      <c r="E41" s="65">
        <v>46013.0</v>
      </c>
      <c r="F41" s="65">
        <v>46014.0</v>
      </c>
      <c r="G41" s="66" t="s">
        <v>269</v>
      </c>
      <c r="H41" s="66" t="s">
        <v>148</v>
      </c>
      <c r="I41" s="65">
        <v>46035.0</v>
      </c>
      <c r="J41" s="65">
        <v>46036.0</v>
      </c>
      <c r="K41" s="66" t="s">
        <v>271</v>
      </c>
      <c r="L41" s="66" t="s">
        <v>148</v>
      </c>
      <c r="R41" s="79"/>
    </row>
    <row r="42" ht="22.5" customHeight="1">
      <c r="A42" s="61">
        <v>45996.38142447917</v>
      </c>
      <c r="B42" s="62" t="s">
        <v>229</v>
      </c>
      <c r="C42" s="62">
        <v>6392386.0</v>
      </c>
      <c r="D42" s="64" t="s">
        <v>94</v>
      </c>
      <c r="E42" s="65">
        <v>46019.0</v>
      </c>
      <c r="F42" s="65">
        <v>46019.0</v>
      </c>
      <c r="G42" s="66" t="s">
        <v>272</v>
      </c>
      <c r="H42" s="66" t="s">
        <v>148</v>
      </c>
      <c r="I42" s="65">
        <v>46022.0</v>
      </c>
      <c r="J42" s="65">
        <v>46022.0</v>
      </c>
      <c r="K42" s="66" t="s">
        <v>273</v>
      </c>
      <c r="L42" s="66" t="s">
        <v>148</v>
      </c>
      <c r="Q42" s="66" t="s">
        <v>274</v>
      </c>
      <c r="R42" s="72"/>
    </row>
    <row r="43" ht="22.5" customHeight="1">
      <c r="A43" s="61">
        <v>45996.49180716435</v>
      </c>
      <c r="B43" s="62" t="s">
        <v>275</v>
      </c>
      <c r="C43" s="62">
        <v>6874858.0</v>
      </c>
      <c r="D43" s="64" t="s">
        <v>214</v>
      </c>
      <c r="E43" s="65">
        <v>46020.0</v>
      </c>
      <c r="F43" s="65">
        <v>46053.0</v>
      </c>
      <c r="G43" s="66" t="s">
        <v>276</v>
      </c>
      <c r="H43" s="66" t="s">
        <v>148</v>
      </c>
      <c r="Q43" s="66" t="s">
        <v>277</v>
      </c>
      <c r="R43" s="72"/>
    </row>
    <row r="44" ht="22.5" customHeight="1">
      <c r="A44" s="61">
        <v>45996.63208793981</v>
      </c>
      <c r="B44" s="62" t="s">
        <v>78</v>
      </c>
      <c r="C44" s="62">
        <v>5003391.0</v>
      </c>
      <c r="D44" s="64" t="s">
        <v>94</v>
      </c>
      <c r="E44" s="65">
        <v>46042.0</v>
      </c>
      <c r="F44" s="65">
        <v>46042.0</v>
      </c>
      <c r="G44" s="66" t="s">
        <v>278</v>
      </c>
      <c r="H44" s="66" t="s">
        <v>148</v>
      </c>
      <c r="R44" s="79"/>
    </row>
    <row r="45" ht="22.5" customHeight="1">
      <c r="A45" s="61">
        <v>45996.83637820602</v>
      </c>
      <c r="B45" s="62" t="s">
        <v>114</v>
      </c>
      <c r="C45" s="62">
        <v>4388611.0</v>
      </c>
      <c r="D45" s="64" t="s">
        <v>146</v>
      </c>
      <c r="E45" s="65">
        <v>46018.0</v>
      </c>
      <c r="F45" s="65">
        <v>46020.0</v>
      </c>
      <c r="G45" s="66" t="s">
        <v>279</v>
      </c>
      <c r="H45" s="66" t="s">
        <v>148</v>
      </c>
      <c r="I45" s="65">
        <v>46023.0</v>
      </c>
      <c r="J45" s="65">
        <v>46024.0</v>
      </c>
      <c r="K45" s="66" t="s">
        <v>280</v>
      </c>
      <c r="L45" s="66" t="s">
        <v>148</v>
      </c>
      <c r="M45" s="65">
        <v>46025.0</v>
      </c>
      <c r="N45" s="65">
        <v>46027.0</v>
      </c>
      <c r="O45" s="66" t="s">
        <v>279</v>
      </c>
      <c r="P45" s="66" t="s">
        <v>148</v>
      </c>
      <c r="Q45" s="66" t="s">
        <v>279</v>
      </c>
      <c r="R45" s="72"/>
    </row>
    <row r="46" ht="22.5" customHeight="1">
      <c r="A46" s="61">
        <v>45997.82427106482</v>
      </c>
      <c r="B46" s="62" t="s">
        <v>281</v>
      </c>
      <c r="C46" s="62">
        <v>8789129.0</v>
      </c>
      <c r="D46" s="64" t="s">
        <v>94</v>
      </c>
      <c r="E46" s="65">
        <v>46029.0</v>
      </c>
      <c r="F46" s="65">
        <v>46034.0</v>
      </c>
      <c r="G46" s="66" t="s">
        <v>282</v>
      </c>
      <c r="H46" s="66" t="s">
        <v>168</v>
      </c>
      <c r="I46" s="65">
        <v>46027.0</v>
      </c>
      <c r="J46" s="65">
        <v>46027.0</v>
      </c>
      <c r="K46" s="66" t="s">
        <v>283</v>
      </c>
      <c r="L46" s="66" t="s">
        <v>148</v>
      </c>
      <c r="R46" s="79"/>
    </row>
    <row r="47" ht="22.5" customHeight="1">
      <c r="A47" s="61">
        <v>45997.76566737269</v>
      </c>
      <c r="B47" s="62" t="s">
        <v>284</v>
      </c>
      <c r="C47" s="62">
        <v>6977049.0</v>
      </c>
      <c r="D47" s="64" t="s">
        <v>94</v>
      </c>
      <c r="E47" s="65">
        <v>46029.0</v>
      </c>
      <c r="F47" s="65">
        <v>46032.0</v>
      </c>
      <c r="G47" s="66" t="s">
        <v>285</v>
      </c>
      <c r="H47" s="66" t="s">
        <v>148</v>
      </c>
      <c r="I47" s="65">
        <v>46038.0</v>
      </c>
      <c r="J47" s="65">
        <v>46042.0</v>
      </c>
      <c r="K47" s="66" t="s">
        <v>286</v>
      </c>
      <c r="L47" s="66" t="s">
        <v>148</v>
      </c>
      <c r="M47" s="65">
        <v>46050.0</v>
      </c>
      <c r="N47" s="65">
        <v>46051.0</v>
      </c>
      <c r="O47" s="66" t="s">
        <v>287</v>
      </c>
      <c r="P47" s="66" t="s">
        <v>148</v>
      </c>
      <c r="Q47" s="66" t="s">
        <v>288</v>
      </c>
      <c r="R47" s="72"/>
    </row>
    <row r="48" ht="22.5" customHeight="1">
      <c r="A48" s="61">
        <v>45997.83615042824</v>
      </c>
      <c r="B48" s="62" t="s">
        <v>66</v>
      </c>
      <c r="C48" s="62">
        <v>7256596.0</v>
      </c>
      <c r="D48" s="64" t="s">
        <v>94</v>
      </c>
      <c r="E48" s="65">
        <v>46014.0</v>
      </c>
      <c r="F48" s="65">
        <v>46020.0</v>
      </c>
      <c r="G48" s="66" t="s">
        <v>289</v>
      </c>
      <c r="H48" s="66" t="s">
        <v>168</v>
      </c>
      <c r="R48" s="79"/>
    </row>
    <row r="49" ht="22.5" customHeight="1">
      <c r="A49" s="61"/>
      <c r="B49" s="62"/>
      <c r="C49" s="93"/>
      <c r="D49" s="65"/>
      <c r="E49" s="65"/>
      <c r="F49" s="65"/>
      <c r="G49" s="66"/>
      <c r="H49" s="66"/>
      <c r="I49" s="65"/>
      <c r="J49" s="65"/>
      <c r="K49" s="66"/>
      <c r="L49" s="66"/>
      <c r="R49" s="79"/>
    </row>
    <row r="50" ht="22.5" customHeight="1">
      <c r="A50" s="61">
        <v>45997.88041204862</v>
      </c>
      <c r="B50" s="62" t="s">
        <v>151</v>
      </c>
      <c r="C50" s="62">
        <v>6068607.0</v>
      </c>
      <c r="D50" s="64" t="s">
        <v>94</v>
      </c>
      <c r="E50" s="65">
        <v>46027.0</v>
      </c>
      <c r="F50" s="65">
        <v>46029.0</v>
      </c>
      <c r="G50" s="66" t="s">
        <v>292</v>
      </c>
      <c r="H50" s="66" t="s">
        <v>148</v>
      </c>
      <c r="I50" s="65">
        <v>46022.0</v>
      </c>
      <c r="J50" s="65">
        <v>46025.0</v>
      </c>
      <c r="K50" s="66" t="s">
        <v>293</v>
      </c>
      <c r="L50" s="66" t="s">
        <v>148</v>
      </c>
      <c r="M50" s="65">
        <v>46048.0</v>
      </c>
      <c r="N50" s="65">
        <v>46050.0</v>
      </c>
      <c r="P50" s="66" t="s">
        <v>148</v>
      </c>
      <c r="R50" s="79"/>
    </row>
    <row r="51" ht="22.5" customHeight="1">
      <c r="A51" s="61">
        <v>45993.61803798611</v>
      </c>
      <c r="B51" s="62" t="s">
        <v>294</v>
      </c>
      <c r="C51" s="62">
        <v>5249134.0</v>
      </c>
      <c r="D51" s="64" t="s">
        <v>94</v>
      </c>
      <c r="E51" s="65">
        <v>46047.0</v>
      </c>
      <c r="F51" s="65">
        <v>46050.0</v>
      </c>
      <c r="G51" s="66" t="s">
        <v>295</v>
      </c>
      <c r="H51" s="66" t="s">
        <v>148</v>
      </c>
      <c r="I51" s="65">
        <v>46036.0</v>
      </c>
      <c r="J51" s="65">
        <v>46041.0</v>
      </c>
      <c r="K51" s="66" t="s">
        <v>296</v>
      </c>
      <c r="L51" s="66" t="s">
        <v>148</v>
      </c>
      <c r="R51" s="79"/>
    </row>
    <row r="52" ht="22.5" customHeight="1">
      <c r="A52" s="61">
        <v>45997.96085694444</v>
      </c>
      <c r="B52" s="62" t="s">
        <v>294</v>
      </c>
      <c r="C52" s="62">
        <v>5249134.0</v>
      </c>
      <c r="D52" s="64" t="s">
        <v>94</v>
      </c>
      <c r="E52" s="65">
        <v>46047.0</v>
      </c>
      <c r="F52" s="65">
        <v>46050.0</v>
      </c>
      <c r="G52" s="66" t="s">
        <v>297</v>
      </c>
      <c r="H52" s="66" t="s">
        <v>148</v>
      </c>
      <c r="I52" s="65">
        <v>46033.0</v>
      </c>
      <c r="J52" s="65">
        <v>46033.0</v>
      </c>
      <c r="K52" s="66" t="s">
        <v>298</v>
      </c>
      <c r="L52" s="66" t="s">
        <v>148</v>
      </c>
      <c r="M52" s="65">
        <v>46040.0</v>
      </c>
      <c r="N52" s="65">
        <v>46041.0</v>
      </c>
      <c r="O52" s="66" t="s">
        <v>299</v>
      </c>
      <c r="P52" s="66" t="s">
        <v>148</v>
      </c>
      <c r="Q52" s="66" t="s">
        <v>300</v>
      </c>
      <c r="R52" s="72"/>
    </row>
    <row r="53" ht="22.5" customHeight="1">
      <c r="A53" s="61">
        <v>45998.50604045139</v>
      </c>
      <c r="B53" s="62" t="s">
        <v>301</v>
      </c>
      <c r="C53" s="62">
        <v>6910712.0</v>
      </c>
      <c r="D53" s="64" t="s">
        <v>116</v>
      </c>
      <c r="E53" s="65">
        <v>46025.0</v>
      </c>
      <c r="F53" s="65">
        <v>46041.0</v>
      </c>
      <c r="G53" s="66" t="s">
        <v>303</v>
      </c>
      <c r="H53" s="66" t="s">
        <v>168</v>
      </c>
    </row>
    <row r="54" ht="22.5" customHeight="1">
      <c r="A54" s="61">
        <v>45998.60171368056</v>
      </c>
      <c r="B54" s="62" t="s">
        <v>304</v>
      </c>
      <c r="C54" s="62">
        <v>6031430.0</v>
      </c>
      <c r="D54" s="64" t="s">
        <v>94</v>
      </c>
      <c r="E54" s="65">
        <v>46016.0</v>
      </c>
      <c r="F54" s="65">
        <v>46018.0</v>
      </c>
      <c r="G54" s="66" t="s">
        <v>306</v>
      </c>
      <c r="H54" s="66" t="s">
        <v>148</v>
      </c>
      <c r="I54" s="65">
        <v>46031.0</v>
      </c>
      <c r="J54" s="65">
        <v>46032.0</v>
      </c>
      <c r="K54" s="66" t="s">
        <v>308</v>
      </c>
      <c r="L54" s="66" t="s">
        <v>148</v>
      </c>
      <c r="M54" s="65">
        <v>46038.0</v>
      </c>
      <c r="N54" s="65">
        <v>46039.0</v>
      </c>
      <c r="O54" s="66" t="s">
        <v>309</v>
      </c>
      <c r="P54" s="66" t="s">
        <v>148</v>
      </c>
    </row>
    <row r="55" ht="22.5" customHeight="1">
      <c r="A55" s="61">
        <v>45998.93823315972</v>
      </c>
      <c r="B55" s="62" t="s">
        <v>58</v>
      </c>
      <c r="C55" s="62">
        <v>6153853.0</v>
      </c>
      <c r="D55" s="64" t="s">
        <v>94</v>
      </c>
      <c r="E55" s="65">
        <v>46016.0</v>
      </c>
      <c r="F55" s="65">
        <v>46019.0</v>
      </c>
      <c r="G55" s="66" t="s">
        <v>311</v>
      </c>
      <c r="H55" s="66" t="s">
        <v>148</v>
      </c>
      <c r="I55" s="65">
        <v>46028.0</v>
      </c>
      <c r="J55" s="65">
        <v>46033.0</v>
      </c>
      <c r="K55" s="66" t="s">
        <v>312</v>
      </c>
      <c r="L55" s="66" t="s">
        <v>148</v>
      </c>
      <c r="M55" s="65">
        <v>46042.0</v>
      </c>
      <c r="N55" s="65">
        <v>46047.0</v>
      </c>
      <c r="O55" s="66" t="s">
        <v>313</v>
      </c>
      <c r="P55" s="66" t="s">
        <v>148</v>
      </c>
      <c r="Q55" s="66" t="s">
        <v>314</v>
      </c>
    </row>
    <row r="56" ht="22.5" customHeight="1">
      <c r="A56" s="61">
        <v>45999.47400244213</v>
      </c>
      <c r="B56" s="62" t="s">
        <v>174</v>
      </c>
      <c r="C56" s="62">
        <v>5112996.0</v>
      </c>
      <c r="D56" s="64" t="s">
        <v>94</v>
      </c>
      <c r="E56" s="65">
        <v>46012.0</v>
      </c>
      <c r="F56" s="65">
        <v>46013.0</v>
      </c>
      <c r="G56" s="66" t="s">
        <v>315</v>
      </c>
      <c r="H56" s="66" t="s">
        <v>148</v>
      </c>
    </row>
    <row r="57" ht="22.5" customHeight="1">
      <c r="A57" s="61">
        <v>46001.88054407407</v>
      </c>
      <c r="B57" s="66" t="s">
        <v>85</v>
      </c>
      <c r="C57" s="64">
        <v>5071665.0</v>
      </c>
      <c r="E57" s="65">
        <v>46023.0</v>
      </c>
      <c r="F57" s="65">
        <v>46027.0</v>
      </c>
      <c r="G57" s="66" t="s">
        <v>316</v>
      </c>
      <c r="H57" s="66" t="s">
        <v>148</v>
      </c>
      <c r="I57" s="65">
        <v>46037.0</v>
      </c>
      <c r="J57" s="65">
        <v>46041.0</v>
      </c>
      <c r="K57" s="66" t="s">
        <v>317</v>
      </c>
      <c r="L57" s="66" t="s">
        <v>148</v>
      </c>
      <c r="Q57" s="66" t="s">
        <v>319</v>
      </c>
    </row>
    <row r="58" ht="22.5" customHeight="1">
      <c r="A58" s="61">
        <v>46002.96179770833</v>
      </c>
      <c r="B58" s="66" t="s">
        <v>320</v>
      </c>
      <c r="C58" s="64">
        <v>6370712.0</v>
      </c>
      <c r="E58" s="65">
        <v>46023.0</v>
      </c>
      <c r="F58" s="65">
        <v>46033.0</v>
      </c>
      <c r="G58" s="66" t="s">
        <v>321</v>
      </c>
      <c r="H58" s="66" t="s">
        <v>148</v>
      </c>
      <c r="I58" s="65">
        <v>46037.0</v>
      </c>
      <c r="J58" s="65">
        <v>46037.0</v>
      </c>
      <c r="K58" s="66" t="s">
        <v>322</v>
      </c>
      <c r="L58" s="66" t="s">
        <v>148</v>
      </c>
      <c r="Q58" s="66" t="s">
        <v>323</v>
      </c>
    </row>
    <row r="59" ht="22.5" customHeight="1">
      <c r="A59" s="61">
        <v>46006.81791070601</v>
      </c>
      <c r="B59" s="66" t="s">
        <v>304</v>
      </c>
      <c r="C59" s="64">
        <v>6031430.0</v>
      </c>
      <c r="E59" s="65">
        <v>46016.0</v>
      </c>
      <c r="F59" s="65">
        <v>46018.0</v>
      </c>
      <c r="G59" s="66" t="s">
        <v>325</v>
      </c>
      <c r="H59" s="66" t="s">
        <v>148</v>
      </c>
    </row>
    <row r="60" ht="22.5" customHeight="1">
      <c r="A60" s="61">
        <v>46009.92942299768</v>
      </c>
      <c r="B60" s="66" t="s">
        <v>326</v>
      </c>
      <c r="C60" s="64">
        <v>8708706.0</v>
      </c>
      <c r="E60" s="65">
        <v>46022.0</v>
      </c>
      <c r="F60" s="65">
        <v>46023.0</v>
      </c>
      <c r="G60" s="66" t="s">
        <v>251</v>
      </c>
      <c r="H60" s="66" t="s">
        <v>148</v>
      </c>
      <c r="I60" s="65">
        <v>46040.0</v>
      </c>
      <c r="J60" s="65">
        <v>46041.0</v>
      </c>
      <c r="K60" s="66" t="s">
        <v>327</v>
      </c>
      <c r="L60" s="66" t="s">
        <v>148</v>
      </c>
    </row>
    <row r="61">
      <c r="B61" s="94"/>
      <c r="C61" s="94"/>
    </row>
    <row r="62">
      <c r="A62" s="95">
        <v>45999.625</v>
      </c>
      <c r="B62" s="94" t="s">
        <v>60</v>
      </c>
      <c r="C62" s="96">
        <v>5152068.0</v>
      </c>
      <c r="D62" s="7" t="s">
        <v>87</v>
      </c>
    </row>
    <row r="63">
      <c r="A63" s="95">
        <v>45999.625</v>
      </c>
      <c r="B63" s="94" t="s">
        <v>329</v>
      </c>
      <c r="C63" s="96">
        <v>6068858.0</v>
      </c>
      <c r="D63" s="7" t="s">
        <v>94</v>
      </c>
    </row>
    <row r="64">
      <c r="A64" s="95">
        <v>45999.625</v>
      </c>
      <c r="B64" s="94" t="s">
        <v>74</v>
      </c>
      <c r="C64" s="96">
        <v>5896011.0</v>
      </c>
      <c r="D64" s="7" t="s">
        <v>94</v>
      </c>
    </row>
    <row r="65">
      <c r="A65" s="95">
        <v>45999.625</v>
      </c>
      <c r="B65" s="94" t="s">
        <v>245</v>
      </c>
      <c r="C65" s="96">
        <v>7444240.0</v>
      </c>
      <c r="D65" s="7" t="s">
        <v>94</v>
      </c>
    </row>
    <row r="66">
      <c r="A66" s="95">
        <v>45999.625</v>
      </c>
      <c r="B66" s="94" t="s">
        <v>65</v>
      </c>
      <c r="C66" s="96">
        <v>4634057.0</v>
      </c>
      <c r="D66" s="7" t="s">
        <v>87</v>
      </c>
    </row>
    <row r="67">
      <c r="A67" s="95">
        <v>45999.625</v>
      </c>
      <c r="B67" s="94" t="s">
        <v>184</v>
      </c>
      <c r="C67" s="96">
        <v>6381240.0</v>
      </c>
      <c r="D67" s="7" t="s">
        <v>185</v>
      </c>
      <c r="E67" s="97">
        <v>46012.0</v>
      </c>
      <c r="F67" s="97">
        <v>46016.0</v>
      </c>
    </row>
    <row r="68">
      <c r="A68" s="95">
        <v>45999.625</v>
      </c>
      <c r="B68" s="94" t="s">
        <v>187</v>
      </c>
      <c r="C68" s="96">
        <v>4687808.0</v>
      </c>
      <c r="D68" s="7" t="s">
        <v>188</v>
      </c>
    </row>
    <row r="69">
      <c r="A69" s="95">
        <v>45999.625</v>
      </c>
      <c r="B69" s="94" t="s">
        <v>71</v>
      </c>
      <c r="C69" s="96">
        <v>8655973.0</v>
      </c>
      <c r="D69" s="7" t="s">
        <v>94</v>
      </c>
    </row>
    <row r="70">
      <c r="A70" s="95">
        <v>45999.625</v>
      </c>
      <c r="B70" s="94" t="s">
        <v>204</v>
      </c>
      <c r="C70" s="96">
        <v>4319295.0</v>
      </c>
      <c r="D70" s="7" t="s">
        <v>94</v>
      </c>
    </row>
    <row r="71">
      <c r="A71" s="95">
        <v>45999.625</v>
      </c>
      <c r="B71" s="94" t="s">
        <v>221</v>
      </c>
      <c r="C71" s="96">
        <v>5821173.0</v>
      </c>
      <c r="D71" s="7" t="s">
        <v>94</v>
      </c>
    </row>
    <row r="72">
      <c r="A72" s="95">
        <v>45999.625</v>
      </c>
      <c r="B72" s="94" t="s">
        <v>59</v>
      </c>
      <c r="C72" s="96">
        <v>5785566.0</v>
      </c>
      <c r="D72" s="7" t="s">
        <v>87</v>
      </c>
    </row>
    <row r="73">
      <c r="A73" s="95">
        <v>45999.625</v>
      </c>
      <c r="B73" s="94" t="s">
        <v>263</v>
      </c>
      <c r="C73" s="96">
        <v>5895057.0</v>
      </c>
      <c r="D73" s="7" t="s">
        <v>94</v>
      </c>
    </row>
    <row r="74">
      <c r="A74" s="95">
        <v>45999.625</v>
      </c>
      <c r="B74" s="94" t="s">
        <v>270</v>
      </c>
      <c r="C74" s="96">
        <v>5821097.0</v>
      </c>
      <c r="D74" s="7" t="s">
        <v>94</v>
      </c>
    </row>
    <row r="75">
      <c r="A75" s="95">
        <v>45999.625</v>
      </c>
      <c r="B75" s="94" t="s">
        <v>291</v>
      </c>
      <c r="C75" s="96">
        <v>7144025.0</v>
      </c>
      <c r="D75" s="7" t="s">
        <v>94</v>
      </c>
    </row>
    <row r="76">
      <c r="A76" s="95">
        <v>45999.625</v>
      </c>
      <c r="B76" s="94" t="s">
        <v>83</v>
      </c>
      <c r="C76" s="96">
        <v>8357953.0</v>
      </c>
      <c r="D76" s="7" t="s">
        <v>87</v>
      </c>
    </row>
    <row r="77">
      <c r="A77" s="95">
        <v>45999.625</v>
      </c>
      <c r="B77" s="94" t="s">
        <v>302</v>
      </c>
      <c r="C77" s="96">
        <v>4383619.0</v>
      </c>
      <c r="D77" s="7" t="s">
        <v>188</v>
      </c>
    </row>
    <row r="78">
      <c r="A78" s="95">
        <v>45999.625</v>
      </c>
      <c r="B78" s="94" t="s">
        <v>305</v>
      </c>
      <c r="C78" s="96">
        <v>5064080.0</v>
      </c>
      <c r="D78" s="7" t="s">
        <v>214</v>
      </c>
    </row>
    <row r="79">
      <c r="A79" s="95">
        <v>45999.625</v>
      </c>
      <c r="B79" s="94" t="s">
        <v>307</v>
      </c>
      <c r="C79" s="96">
        <v>5203697.0</v>
      </c>
      <c r="D79" s="7" t="s">
        <v>94</v>
      </c>
    </row>
    <row r="80">
      <c r="A80" s="95">
        <v>45999.625</v>
      </c>
      <c r="B80" s="94" t="s">
        <v>310</v>
      </c>
      <c r="C80" s="96">
        <v>4683682.0</v>
      </c>
      <c r="D80" s="7" t="s">
        <v>94</v>
      </c>
    </row>
    <row r="81">
      <c r="A81" s="95">
        <v>45999.625</v>
      </c>
      <c r="B81" s="94" t="s">
        <v>328</v>
      </c>
      <c r="C81" s="96">
        <v>1.231231E8</v>
      </c>
      <c r="D81" s="7" t="s">
        <v>94</v>
      </c>
    </row>
    <row r="82">
      <c r="A82" s="95">
        <v>45999.625</v>
      </c>
      <c r="B82" s="94" t="s">
        <v>331</v>
      </c>
      <c r="C82" s="96">
        <v>8015196.0</v>
      </c>
      <c r="D82" s="7" t="s">
        <v>94</v>
      </c>
      <c r="E82" s="97">
        <v>46012.0</v>
      </c>
      <c r="F82" s="97">
        <v>46068.0</v>
      </c>
    </row>
    <row r="83">
      <c r="A83" s="95">
        <v>45999.625</v>
      </c>
      <c r="B83" s="94" t="s">
        <v>330</v>
      </c>
      <c r="C83" s="96">
        <v>8689198.0</v>
      </c>
      <c r="D83" s="7" t="s">
        <v>94</v>
      </c>
    </row>
    <row r="84">
      <c r="A84" s="95">
        <v>45999.625</v>
      </c>
      <c r="B84" s="94" t="s">
        <v>332</v>
      </c>
      <c r="C84" s="96">
        <v>7593462.0</v>
      </c>
      <c r="D84" s="7" t="s">
        <v>94</v>
      </c>
    </row>
    <row r="85">
      <c r="A85" s="95">
        <v>45999.625</v>
      </c>
      <c r="B85" s="94" t="s">
        <v>333</v>
      </c>
      <c r="C85" s="96">
        <v>3779457.0</v>
      </c>
      <c r="D85" s="7" t="s">
        <v>188</v>
      </c>
    </row>
    <row r="86">
      <c r="A86" s="95">
        <v>45999.625</v>
      </c>
      <c r="B86" s="94" t="s">
        <v>84</v>
      </c>
      <c r="C86" s="96">
        <v>5075673.0</v>
      </c>
      <c r="D86" s="7" t="s">
        <v>94</v>
      </c>
    </row>
    <row r="87">
      <c r="A87" s="95">
        <v>45999.625</v>
      </c>
      <c r="B87" s="94" t="s">
        <v>334</v>
      </c>
      <c r="C87" s="98" t="s">
        <v>335</v>
      </c>
      <c r="D87" s="7" t="s">
        <v>94</v>
      </c>
    </row>
    <row r="88">
      <c r="A88" s="95">
        <v>45999.625</v>
      </c>
      <c r="B88" s="94" t="s">
        <v>336</v>
      </c>
      <c r="C88" s="96">
        <v>6357677.0</v>
      </c>
      <c r="D88" s="7" t="s">
        <v>87</v>
      </c>
    </row>
    <row r="89">
      <c r="A89" s="95">
        <v>45999.625</v>
      </c>
      <c r="B89" s="94" t="s">
        <v>337</v>
      </c>
      <c r="C89" s="96">
        <v>7563119.0</v>
      </c>
      <c r="D89" s="7" t="s">
        <v>94</v>
      </c>
    </row>
    <row r="90">
      <c r="A90" s="95">
        <v>45999.625</v>
      </c>
      <c r="B90" s="94" t="s">
        <v>338</v>
      </c>
      <c r="C90" s="96">
        <v>5000933.0</v>
      </c>
      <c r="D90" s="7" t="s">
        <v>185</v>
      </c>
    </row>
    <row r="91">
      <c r="A91" s="95">
        <v>45999.625</v>
      </c>
      <c r="B91" s="94" t="s">
        <v>339</v>
      </c>
      <c r="C91" s="96">
        <v>7082818.0</v>
      </c>
      <c r="D91" s="7" t="s">
        <v>87</v>
      </c>
    </row>
    <row r="92">
      <c r="A92" s="95">
        <v>45999.625</v>
      </c>
      <c r="B92" s="94" t="s">
        <v>340</v>
      </c>
      <c r="C92" s="96">
        <v>6349422.0</v>
      </c>
      <c r="D92" s="7" t="s">
        <v>94</v>
      </c>
      <c r="E92" s="97">
        <v>46012.0</v>
      </c>
      <c r="F92" s="97">
        <v>46068.0</v>
      </c>
    </row>
    <row r="93">
      <c r="A93" s="95">
        <v>45999.625</v>
      </c>
      <c r="B93" s="94" t="s">
        <v>85</v>
      </c>
      <c r="C93" s="96">
        <v>5071665.0</v>
      </c>
      <c r="D93" s="7" t="s">
        <v>94</v>
      </c>
    </row>
    <row r="94">
      <c r="A94" s="95">
        <v>45999.625</v>
      </c>
      <c r="B94" s="94" t="s">
        <v>341</v>
      </c>
      <c r="C94" s="96">
        <v>8276502.0</v>
      </c>
      <c r="D94" s="7" t="s">
        <v>94</v>
      </c>
    </row>
    <row r="95">
      <c r="A95" s="95">
        <v>45999.625</v>
      </c>
      <c r="B95" s="94" t="s">
        <v>342</v>
      </c>
      <c r="C95" s="96">
        <v>4357123.0</v>
      </c>
      <c r="D95" s="7" t="s">
        <v>112</v>
      </c>
    </row>
    <row r="96">
      <c r="A96" s="95">
        <v>45999.625</v>
      </c>
      <c r="B96" s="94" t="s">
        <v>320</v>
      </c>
      <c r="C96" s="96">
        <v>6370712.0</v>
      </c>
      <c r="D96" s="7" t="s">
        <v>87</v>
      </c>
    </row>
    <row r="97">
      <c r="A97" s="95">
        <v>45999.625</v>
      </c>
      <c r="B97" s="94" t="s">
        <v>343</v>
      </c>
      <c r="C97" s="96">
        <v>5811600.0</v>
      </c>
      <c r="D97" s="7" t="s">
        <v>94</v>
      </c>
    </row>
    <row r="98">
      <c r="A98" s="95">
        <v>45999.625</v>
      </c>
      <c r="B98" s="96" t="s">
        <v>344</v>
      </c>
      <c r="C98" s="98" t="s">
        <v>345</v>
      </c>
      <c r="D98" s="7" t="s">
        <v>146</v>
      </c>
    </row>
    <row r="99">
      <c r="B99" s="96" t="s">
        <v>346</v>
      </c>
      <c r="C99" s="94"/>
      <c r="D99" s="7" t="s">
        <v>112</v>
      </c>
      <c r="G99" s="3" t="s">
        <v>347</v>
      </c>
    </row>
    <row r="100">
      <c r="B100" s="96" t="s">
        <v>140</v>
      </c>
      <c r="C100" s="94"/>
      <c r="E100" s="3" t="s">
        <v>348</v>
      </c>
    </row>
    <row r="101">
      <c r="B101" s="94"/>
      <c r="C101" s="94"/>
    </row>
    <row r="102">
      <c r="B102" s="94"/>
      <c r="C102" s="94"/>
    </row>
    <row r="103">
      <c r="B103" s="94"/>
      <c r="C103" s="94"/>
    </row>
    <row r="104">
      <c r="B104" s="94"/>
      <c r="C104" s="94"/>
    </row>
    <row r="105">
      <c r="B105" s="94"/>
      <c r="C105" s="94"/>
    </row>
    <row r="106">
      <c r="B106" s="94"/>
      <c r="C106" s="94"/>
    </row>
    <row r="107">
      <c r="B107" s="94"/>
      <c r="C107" s="94"/>
    </row>
    <row r="108">
      <c r="B108" s="94"/>
      <c r="C108" s="94"/>
    </row>
    <row r="109">
      <c r="B109" s="94"/>
      <c r="C109" s="94"/>
    </row>
    <row r="110">
      <c r="B110" s="94"/>
      <c r="C110" s="94"/>
    </row>
    <row r="111">
      <c r="B111" s="94"/>
      <c r="C111" s="94"/>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1.0"/>
    <col customWidth="1" min="2" max="2" width="12.88"/>
    <col customWidth="1" min="3" max="3" width="6.38"/>
    <col customWidth="1" min="4" max="4" width="7.13"/>
    <col customWidth="1" min="5" max="15" width="7.63"/>
    <col customWidth="1" min="16" max="24" width="5.88"/>
    <col customWidth="1" min="25" max="25" width="6.75"/>
    <col customWidth="1" min="26" max="26" width="6.63"/>
    <col customWidth="1" min="27" max="44" width="6.75"/>
    <col customWidth="1" min="45" max="45" width="7.75"/>
    <col customWidth="1" min="46" max="46" width="10.13"/>
    <col customWidth="1" min="47" max="50" width="6.88"/>
  </cols>
  <sheetData>
    <row r="1" ht="28.5" customHeight="1">
      <c r="A1" s="3" t="s">
        <v>121</v>
      </c>
      <c r="B1" s="3" t="s">
        <v>24</v>
      </c>
      <c r="C1" s="10" t="s">
        <v>25</v>
      </c>
      <c r="D1" s="7" t="s">
        <v>27</v>
      </c>
      <c r="E1" s="84">
        <v>46012.0</v>
      </c>
      <c r="F1" s="85">
        <v>46013.0</v>
      </c>
      <c r="G1" s="85">
        <v>46014.0</v>
      </c>
      <c r="H1" s="85">
        <v>46015.0</v>
      </c>
      <c r="I1" s="86">
        <v>46016.0</v>
      </c>
      <c r="J1" s="87">
        <v>46017.0</v>
      </c>
      <c r="K1" s="87">
        <v>46018.0</v>
      </c>
      <c r="L1" s="87">
        <v>46019.0</v>
      </c>
      <c r="M1" s="87">
        <v>46020.0</v>
      </c>
      <c r="N1" s="87">
        <v>46021.0</v>
      </c>
      <c r="O1" s="87">
        <v>46022.0</v>
      </c>
      <c r="P1" s="87">
        <v>46023.0</v>
      </c>
      <c r="Q1" s="87">
        <v>46024.0</v>
      </c>
      <c r="R1" s="87">
        <v>46025.0</v>
      </c>
      <c r="S1" s="87">
        <v>46026.0</v>
      </c>
      <c r="T1" s="87">
        <v>46027.0</v>
      </c>
      <c r="U1" s="87">
        <v>46028.0</v>
      </c>
      <c r="V1" s="87">
        <v>46029.0</v>
      </c>
      <c r="W1" s="87">
        <v>46030.0</v>
      </c>
      <c r="X1" s="87">
        <v>46031.0</v>
      </c>
      <c r="Y1" s="87">
        <v>46032.0</v>
      </c>
      <c r="Z1" s="87">
        <v>46033.0</v>
      </c>
      <c r="AA1" s="87">
        <v>46034.0</v>
      </c>
      <c r="AB1" s="87">
        <v>46035.0</v>
      </c>
      <c r="AC1" s="87">
        <v>46036.0</v>
      </c>
      <c r="AD1" s="87">
        <v>46037.0</v>
      </c>
      <c r="AE1" s="87">
        <v>46038.0</v>
      </c>
      <c r="AF1" s="87">
        <v>46039.0</v>
      </c>
      <c r="AG1" s="87">
        <v>46040.0</v>
      </c>
      <c r="AH1" s="87">
        <v>46041.0</v>
      </c>
      <c r="AI1" s="87">
        <v>46042.0</v>
      </c>
      <c r="AJ1" s="87">
        <v>46043.0</v>
      </c>
      <c r="AK1" s="87">
        <v>46044.0</v>
      </c>
      <c r="AL1" s="87">
        <v>46045.0</v>
      </c>
      <c r="AM1" s="87">
        <v>46046.0</v>
      </c>
      <c r="AN1" s="87">
        <v>46047.0</v>
      </c>
      <c r="AO1" s="87">
        <v>46048.0</v>
      </c>
      <c r="AP1" s="87">
        <v>46049.0</v>
      </c>
      <c r="AQ1" s="87">
        <v>46050.0</v>
      </c>
      <c r="AR1" s="87">
        <v>46051.0</v>
      </c>
      <c r="AS1" s="3" t="s">
        <v>26</v>
      </c>
      <c r="AT1" s="3" t="s">
        <v>79</v>
      </c>
      <c r="AU1" s="22"/>
      <c r="AV1" s="22"/>
      <c r="AW1" s="22"/>
      <c r="AX1" s="22"/>
    </row>
    <row r="2">
      <c r="A2" s="7">
        <v>5152068.0</v>
      </c>
      <c r="B2" s="23" t="s">
        <v>60</v>
      </c>
      <c r="C2" s="24">
        <v>3.0</v>
      </c>
      <c r="D2" s="25" t="s">
        <v>87</v>
      </c>
      <c r="E2" s="30">
        <v>1.0</v>
      </c>
      <c r="F2" s="25">
        <v>1.0</v>
      </c>
      <c r="G2" s="25">
        <v>1.0</v>
      </c>
      <c r="H2" s="25">
        <v>1.0</v>
      </c>
      <c r="I2" s="88">
        <v>1.0</v>
      </c>
      <c r="J2" s="25">
        <v>1.0</v>
      </c>
      <c r="K2" s="25">
        <v>1.0</v>
      </c>
      <c r="L2" s="25">
        <v>1.0</v>
      </c>
      <c r="M2" s="25">
        <v>1.0</v>
      </c>
      <c r="N2" s="25">
        <v>0.0</v>
      </c>
      <c r="O2" s="25">
        <v>0.0</v>
      </c>
      <c r="P2" s="25">
        <v>0.0</v>
      </c>
      <c r="Q2" s="25">
        <v>0.0</v>
      </c>
      <c r="R2" s="25">
        <v>0.0</v>
      </c>
      <c r="S2" s="25">
        <v>1.0</v>
      </c>
      <c r="T2" s="25">
        <v>1.0</v>
      </c>
      <c r="U2" s="25">
        <v>1.0</v>
      </c>
      <c r="V2" s="25">
        <v>1.0</v>
      </c>
      <c r="W2" s="25">
        <v>1.0</v>
      </c>
      <c r="X2" s="25">
        <v>1.0</v>
      </c>
      <c r="Y2" s="25">
        <v>1.0</v>
      </c>
      <c r="Z2" s="25">
        <v>1.0</v>
      </c>
      <c r="AA2" s="25">
        <v>0.0</v>
      </c>
      <c r="AB2" s="25">
        <v>0.0</v>
      </c>
      <c r="AC2" s="25">
        <v>0.0</v>
      </c>
      <c r="AD2" s="25">
        <v>0.0</v>
      </c>
      <c r="AE2" s="25">
        <v>0.0</v>
      </c>
      <c r="AF2" s="25">
        <v>1.0</v>
      </c>
      <c r="AG2" s="25">
        <v>1.0</v>
      </c>
      <c r="AH2" s="25">
        <v>1.0</v>
      </c>
      <c r="AI2" s="25">
        <v>1.0</v>
      </c>
      <c r="AJ2" s="25">
        <v>1.0</v>
      </c>
      <c r="AK2" s="25">
        <v>0.0</v>
      </c>
      <c r="AL2" s="25">
        <v>0.0</v>
      </c>
      <c r="AM2" s="25">
        <v>0.0</v>
      </c>
      <c r="AN2" s="25">
        <v>1.0</v>
      </c>
      <c r="AO2" s="25">
        <v>1.0</v>
      </c>
      <c r="AP2" s="25">
        <v>1.0</v>
      </c>
      <c r="AQ2" s="25">
        <v>1.0</v>
      </c>
      <c r="AR2" s="25">
        <v>1.0</v>
      </c>
      <c r="AS2" s="25">
        <f t="shared" ref="AS2:AS82" si="1">SUM(E2:AR2)</f>
        <v>27</v>
      </c>
      <c r="AT2" s="29">
        <f t="shared" ref="AT2:AT81" si="2">40-AS2</f>
        <v>13</v>
      </c>
      <c r="AU2" s="29"/>
      <c r="AV2" s="29"/>
      <c r="AW2" s="29"/>
      <c r="AX2" s="29"/>
    </row>
    <row r="3">
      <c r="A3" s="7">
        <v>5757009.0</v>
      </c>
      <c r="B3" s="23" t="s">
        <v>93</v>
      </c>
      <c r="C3" s="24">
        <v>2.0</v>
      </c>
      <c r="D3" s="25" t="s">
        <v>94</v>
      </c>
      <c r="E3" s="30">
        <v>0.5</v>
      </c>
      <c r="F3" s="25">
        <v>0.0</v>
      </c>
      <c r="G3" s="25">
        <v>0.0</v>
      </c>
      <c r="H3" s="25">
        <v>0.5</v>
      </c>
      <c r="I3" s="88">
        <v>1.0</v>
      </c>
      <c r="J3" s="25">
        <v>1.0</v>
      </c>
      <c r="K3" s="25">
        <v>1.0</v>
      </c>
      <c r="L3" s="25">
        <v>1.0</v>
      </c>
      <c r="M3" s="25">
        <v>1.0</v>
      </c>
      <c r="N3" s="25">
        <v>1.0</v>
      </c>
      <c r="O3" s="25">
        <v>1.0</v>
      </c>
      <c r="P3" s="25">
        <v>0.0</v>
      </c>
      <c r="Q3" s="25">
        <v>0.0</v>
      </c>
      <c r="R3" s="25">
        <v>0.0</v>
      </c>
      <c r="S3" s="25">
        <v>0.0</v>
      </c>
      <c r="T3" s="25">
        <v>1.0</v>
      </c>
      <c r="U3" s="25">
        <v>1.0</v>
      </c>
      <c r="V3" s="25">
        <v>1.0</v>
      </c>
      <c r="W3" s="25">
        <v>1.0</v>
      </c>
      <c r="X3" s="25">
        <v>1.0</v>
      </c>
      <c r="Y3" s="25">
        <v>1.0</v>
      </c>
      <c r="Z3" s="25">
        <v>1.0</v>
      </c>
      <c r="AA3" s="25">
        <v>0.5</v>
      </c>
      <c r="AB3" s="25">
        <v>0.0</v>
      </c>
      <c r="AC3" s="25">
        <v>0.0</v>
      </c>
      <c r="AD3" s="25">
        <v>0.5</v>
      </c>
      <c r="AE3" s="25">
        <v>1.0</v>
      </c>
      <c r="AF3" s="25">
        <v>1.0</v>
      </c>
      <c r="AG3" s="25">
        <v>1.0</v>
      </c>
      <c r="AH3" s="25">
        <v>1.0</v>
      </c>
      <c r="AI3" s="25">
        <v>1.0</v>
      </c>
      <c r="AJ3" s="25">
        <v>1.0</v>
      </c>
      <c r="AK3" s="25">
        <v>0.0</v>
      </c>
      <c r="AL3" s="25">
        <v>0.0</v>
      </c>
      <c r="AM3" s="25">
        <v>0.0</v>
      </c>
      <c r="AN3" s="25">
        <v>1.0</v>
      </c>
      <c r="AO3" s="25">
        <v>1.0</v>
      </c>
      <c r="AP3" s="25">
        <v>1.0</v>
      </c>
      <c r="AQ3" s="25">
        <v>1.0</v>
      </c>
      <c r="AR3" s="25">
        <v>1.0</v>
      </c>
      <c r="AS3" s="25">
        <f t="shared" si="1"/>
        <v>27</v>
      </c>
      <c r="AT3" s="29">
        <f t="shared" si="2"/>
        <v>13</v>
      </c>
      <c r="AU3" s="29"/>
      <c r="AV3" s="29"/>
      <c r="AW3" s="29"/>
      <c r="AX3" s="29"/>
    </row>
    <row r="4">
      <c r="A4" s="7">
        <v>7444240.0</v>
      </c>
      <c r="B4" s="23" t="s">
        <v>245</v>
      </c>
      <c r="C4" s="24">
        <v>2.0</v>
      </c>
      <c r="D4" s="25" t="s">
        <v>94</v>
      </c>
      <c r="E4" s="30">
        <v>1.0</v>
      </c>
      <c r="F4" s="25">
        <v>1.0</v>
      </c>
      <c r="G4" s="25">
        <v>1.0</v>
      </c>
      <c r="H4" s="25">
        <v>1.0</v>
      </c>
      <c r="I4" s="88">
        <v>1.0</v>
      </c>
      <c r="J4" s="25">
        <v>1.0</v>
      </c>
      <c r="K4" s="25">
        <v>1.0</v>
      </c>
      <c r="L4" s="25">
        <v>1.0</v>
      </c>
      <c r="M4" s="25">
        <v>1.0</v>
      </c>
      <c r="N4" s="25">
        <v>1.0</v>
      </c>
      <c r="O4" s="25">
        <v>1.0</v>
      </c>
      <c r="P4" s="25">
        <v>0.0</v>
      </c>
      <c r="Q4" s="25">
        <v>0.0</v>
      </c>
      <c r="R4" s="25">
        <v>0.0</v>
      </c>
      <c r="S4" s="25">
        <v>0.0</v>
      </c>
      <c r="T4" s="25">
        <v>1.0</v>
      </c>
      <c r="U4" s="25">
        <v>1.0</v>
      </c>
      <c r="V4" s="25">
        <v>1.0</v>
      </c>
      <c r="W4" s="25">
        <v>1.0</v>
      </c>
      <c r="X4" s="25">
        <v>1.0</v>
      </c>
      <c r="Y4" s="25">
        <v>1.0</v>
      </c>
      <c r="Z4" s="25">
        <v>1.0</v>
      </c>
      <c r="AA4" s="25">
        <v>0.0</v>
      </c>
      <c r="AB4" s="25">
        <v>0.0</v>
      </c>
      <c r="AC4" s="25">
        <v>0.0</v>
      </c>
      <c r="AD4" s="25">
        <v>0.0</v>
      </c>
      <c r="AE4" s="25">
        <v>0.0</v>
      </c>
      <c r="AF4" s="25">
        <v>1.0</v>
      </c>
      <c r="AG4" s="25">
        <v>1.0</v>
      </c>
      <c r="AH4" s="25">
        <v>1.0</v>
      </c>
      <c r="AI4" s="25">
        <v>1.0</v>
      </c>
      <c r="AJ4" s="25">
        <v>1.0</v>
      </c>
      <c r="AK4" s="25">
        <v>0.0</v>
      </c>
      <c r="AL4" s="25">
        <v>0.0</v>
      </c>
      <c r="AM4" s="25">
        <v>0.0</v>
      </c>
      <c r="AN4" s="25">
        <v>1.0</v>
      </c>
      <c r="AO4" s="25">
        <v>1.0</v>
      </c>
      <c r="AP4" s="25">
        <v>1.0</v>
      </c>
      <c r="AQ4" s="25">
        <v>1.0</v>
      </c>
      <c r="AR4" s="25">
        <v>1.0</v>
      </c>
      <c r="AS4" s="25">
        <f t="shared" si="1"/>
        <v>28</v>
      </c>
      <c r="AT4" s="29">
        <f t="shared" si="2"/>
        <v>12</v>
      </c>
      <c r="AU4" s="29"/>
      <c r="AV4" s="29"/>
      <c r="AW4" s="29"/>
      <c r="AX4" s="29"/>
    </row>
    <row r="5">
      <c r="A5" s="7">
        <v>5896011.0</v>
      </c>
      <c r="B5" s="23" t="s">
        <v>74</v>
      </c>
      <c r="C5" s="24">
        <v>1.0</v>
      </c>
      <c r="D5" s="25" t="s">
        <v>94</v>
      </c>
      <c r="E5" s="30">
        <v>1.0</v>
      </c>
      <c r="F5" s="25">
        <v>1.0</v>
      </c>
      <c r="G5" s="25">
        <v>1.0</v>
      </c>
      <c r="H5" s="25">
        <v>1.0</v>
      </c>
      <c r="I5" s="88">
        <v>1.0</v>
      </c>
      <c r="J5" s="25">
        <v>1.0</v>
      </c>
      <c r="K5" s="25">
        <v>1.0</v>
      </c>
      <c r="L5" s="25">
        <v>1.0</v>
      </c>
      <c r="M5" s="25">
        <v>1.0</v>
      </c>
      <c r="N5" s="25">
        <v>1.0</v>
      </c>
      <c r="O5" s="25">
        <v>1.0</v>
      </c>
      <c r="P5" s="25">
        <v>1.0</v>
      </c>
      <c r="Q5" s="25">
        <v>1.0</v>
      </c>
      <c r="R5" s="25">
        <v>0.0</v>
      </c>
      <c r="S5" s="25">
        <v>0.0</v>
      </c>
      <c r="T5" s="25">
        <v>0.0</v>
      </c>
      <c r="U5" s="25">
        <v>0.0</v>
      </c>
      <c r="V5" s="25">
        <v>1.0</v>
      </c>
      <c r="W5" s="25">
        <v>1.0</v>
      </c>
      <c r="X5" s="25">
        <v>1.0</v>
      </c>
      <c r="Y5" s="25">
        <v>1.0</v>
      </c>
      <c r="Z5" s="25">
        <v>1.0</v>
      </c>
      <c r="AA5" s="25">
        <v>1.0</v>
      </c>
      <c r="AB5" s="25">
        <v>0.0</v>
      </c>
      <c r="AC5" s="25">
        <v>0.0</v>
      </c>
      <c r="AD5" s="25">
        <v>0.0</v>
      </c>
      <c r="AE5" s="25">
        <v>0.0</v>
      </c>
      <c r="AF5" s="25">
        <v>0.0</v>
      </c>
      <c r="AG5" s="25">
        <v>1.0</v>
      </c>
      <c r="AH5" s="25">
        <v>1.0</v>
      </c>
      <c r="AI5" s="25">
        <v>1.0</v>
      </c>
      <c r="AJ5" s="25">
        <v>1.0</v>
      </c>
      <c r="AK5" s="25">
        <v>1.0</v>
      </c>
      <c r="AL5" s="25">
        <v>1.0</v>
      </c>
      <c r="AM5" s="25">
        <v>1.0</v>
      </c>
      <c r="AN5" s="25">
        <v>1.0</v>
      </c>
      <c r="AO5" s="25">
        <v>0.0</v>
      </c>
      <c r="AP5" s="25">
        <v>0.0</v>
      </c>
      <c r="AQ5" s="25">
        <v>0.0</v>
      </c>
      <c r="AR5" s="25">
        <v>1.0</v>
      </c>
      <c r="AS5" s="25">
        <f t="shared" si="1"/>
        <v>28</v>
      </c>
      <c r="AT5" s="29">
        <f t="shared" si="2"/>
        <v>12</v>
      </c>
      <c r="AU5" s="29"/>
      <c r="AV5" s="29"/>
      <c r="AW5" s="29"/>
      <c r="AX5" s="29"/>
    </row>
    <row r="6">
      <c r="A6" s="7">
        <v>4388611.0</v>
      </c>
      <c r="B6" s="23" t="s">
        <v>114</v>
      </c>
      <c r="C6" s="24">
        <v>5.0</v>
      </c>
      <c r="D6" s="25" t="s">
        <v>146</v>
      </c>
      <c r="E6" s="30">
        <v>1.0</v>
      </c>
      <c r="F6" s="25">
        <v>1.0</v>
      </c>
      <c r="G6" s="25">
        <v>1.0</v>
      </c>
      <c r="H6" s="25">
        <v>1.0</v>
      </c>
      <c r="I6" s="88">
        <v>1.0</v>
      </c>
      <c r="J6" s="25">
        <v>0.5</v>
      </c>
      <c r="K6" s="25">
        <v>0.0</v>
      </c>
      <c r="L6" s="25">
        <v>0.0</v>
      </c>
      <c r="M6" s="25">
        <v>0.0</v>
      </c>
      <c r="N6" s="25">
        <v>0.5</v>
      </c>
      <c r="O6" s="25">
        <v>0.5</v>
      </c>
      <c r="P6" s="25">
        <v>0.0</v>
      </c>
      <c r="Q6" s="25">
        <v>0.0</v>
      </c>
      <c r="R6" s="25">
        <v>0.0</v>
      </c>
      <c r="S6" s="25">
        <v>0.0</v>
      </c>
      <c r="T6" s="25">
        <v>0.0</v>
      </c>
      <c r="U6" s="25">
        <v>0.5</v>
      </c>
      <c r="V6" s="25">
        <v>1.0</v>
      </c>
      <c r="W6" s="25">
        <v>1.0</v>
      </c>
      <c r="X6" s="25">
        <v>1.0</v>
      </c>
      <c r="Y6" s="25">
        <v>1.0</v>
      </c>
      <c r="Z6" s="25">
        <v>1.0</v>
      </c>
      <c r="AA6" s="25">
        <v>1.0</v>
      </c>
      <c r="AB6" s="25">
        <v>1.0</v>
      </c>
      <c r="AC6" s="25">
        <v>1.0</v>
      </c>
      <c r="AD6" s="25">
        <v>1.0</v>
      </c>
      <c r="AE6" s="25">
        <v>1.0</v>
      </c>
      <c r="AF6" s="25">
        <v>1.0</v>
      </c>
      <c r="AG6" s="25">
        <v>1.0</v>
      </c>
      <c r="AH6" s="25">
        <v>1.0</v>
      </c>
      <c r="AI6" s="25">
        <v>1.0</v>
      </c>
      <c r="AJ6" s="25">
        <v>1.0</v>
      </c>
      <c r="AK6" s="25">
        <v>1.0</v>
      </c>
      <c r="AL6" s="25">
        <v>1.0</v>
      </c>
      <c r="AM6" s="25">
        <v>1.0</v>
      </c>
      <c r="AN6" s="25">
        <v>1.0</v>
      </c>
      <c r="AO6" s="25">
        <v>1.0</v>
      </c>
      <c r="AP6" s="25">
        <v>1.0</v>
      </c>
      <c r="AQ6" s="25">
        <v>1.0</v>
      </c>
      <c r="AR6" s="25">
        <v>1.0</v>
      </c>
      <c r="AS6" s="25">
        <f t="shared" si="1"/>
        <v>30</v>
      </c>
      <c r="AT6" s="29">
        <f t="shared" si="2"/>
        <v>10</v>
      </c>
      <c r="AU6" s="29"/>
      <c r="AV6" s="29"/>
      <c r="AW6" s="29"/>
      <c r="AX6" s="29"/>
    </row>
    <row r="7">
      <c r="A7" s="7">
        <v>5372450.0</v>
      </c>
      <c r="B7" s="23" t="s">
        <v>117</v>
      </c>
      <c r="C7" s="24">
        <v>1.0</v>
      </c>
      <c r="D7" s="25" t="s">
        <v>94</v>
      </c>
      <c r="E7" s="30">
        <v>1.0</v>
      </c>
      <c r="F7" s="25">
        <v>1.0</v>
      </c>
      <c r="G7" s="25">
        <v>1.0</v>
      </c>
      <c r="H7" s="25">
        <v>1.0</v>
      </c>
      <c r="I7" s="88">
        <v>1.0</v>
      </c>
      <c r="J7" s="25">
        <v>1.0</v>
      </c>
      <c r="K7" s="25">
        <v>0.5</v>
      </c>
      <c r="L7" s="25">
        <v>0.0</v>
      </c>
      <c r="M7" s="25">
        <v>0.0</v>
      </c>
      <c r="N7" s="25">
        <v>0.0</v>
      </c>
      <c r="O7" s="25">
        <v>0.5</v>
      </c>
      <c r="P7" s="25">
        <v>1.0</v>
      </c>
      <c r="Q7" s="25">
        <v>1.0</v>
      </c>
      <c r="R7" s="25">
        <v>1.0</v>
      </c>
      <c r="S7" s="25">
        <v>0.5</v>
      </c>
      <c r="T7" s="25">
        <v>0.0</v>
      </c>
      <c r="U7" s="25">
        <v>0.0</v>
      </c>
      <c r="V7" s="25">
        <v>0.0</v>
      </c>
      <c r="W7" s="25">
        <v>0.0</v>
      </c>
      <c r="X7" s="25">
        <v>0.0</v>
      </c>
      <c r="Y7" s="25">
        <v>0.0</v>
      </c>
      <c r="Z7" s="25">
        <v>0.0</v>
      </c>
      <c r="AA7" s="25">
        <v>0.5</v>
      </c>
      <c r="AB7" s="25">
        <v>1.0</v>
      </c>
      <c r="AC7" s="25">
        <v>1.0</v>
      </c>
      <c r="AD7" s="25">
        <v>1.0</v>
      </c>
      <c r="AE7" s="25">
        <v>1.0</v>
      </c>
      <c r="AF7" s="25">
        <v>1.0</v>
      </c>
      <c r="AG7" s="25">
        <v>1.0</v>
      </c>
      <c r="AH7" s="25">
        <v>0.5</v>
      </c>
      <c r="AI7" s="25">
        <v>0.0</v>
      </c>
      <c r="AJ7" s="25">
        <v>0.0</v>
      </c>
      <c r="AK7" s="25">
        <v>0.0</v>
      </c>
      <c r="AL7" s="25">
        <v>0.0</v>
      </c>
      <c r="AM7" s="25">
        <v>0.0</v>
      </c>
      <c r="AN7" s="25">
        <v>0.0</v>
      </c>
      <c r="AO7" s="25">
        <v>0.5</v>
      </c>
      <c r="AP7" s="25">
        <v>1.0</v>
      </c>
      <c r="AQ7" s="25">
        <v>1.0</v>
      </c>
      <c r="AR7" s="25">
        <v>1.0</v>
      </c>
      <c r="AS7" s="25">
        <f t="shared" si="1"/>
        <v>21</v>
      </c>
      <c r="AT7" s="29">
        <f t="shared" si="2"/>
        <v>19</v>
      </c>
      <c r="AU7" s="29"/>
      <c r="AV7" s="29"/>
      <c r="AW7" s="29"/>
      <c r="AX7" s="29"/>
    </row>
    <row r="8">
      <c r="A8" s="7">
        <v>7301390.0</v>
      </c>
      <c r="B8" s="23" t="s">
        <v>119</v>
      </c>
      <c r="C8" s="24">
        <v>3.0</v>
      </c>
      <c r="D8" s="25" t="s">
        <v>94</v>
      </c>
      <c r="E8" s="30">
        <v>1.0</v>
      </c>
      <c r="F8" s="25">
        <v>1.0</v>
      </c>
      <c r="G8" s="25">
        <v>1.0</v>
      </c>
      <c r="H8" s="25">
        <v>1.0</v>
      </c>
      <c r="I8" s="88">
        <v>1.0</v>
      </c>
      <c r="J8" s="25">
        <v>1.0</v>
      </c>
      <c r="K8" s="25">
        <v>1.0</v>
      </c>
      <c r="L8" s="25">
        <v>1.0</v>
      </c>
      <c r="M8" s="25">
        <v>1.0</v>
      </c>
      <c r="N8" s="25">
        <v>1.0</v>
      </c>
      <c r="O8" s="25">
        <v>1.0</v>
      </c>
      <c r="P8" s="25">
        <v>1.0</v>
      </c>
      <c r="Q8" s="25">
        <v>1.0</v>
      </c>
      <c r="R8" s="25">
        <v>1.0</v>
      </c>
      <c r="S8" s="25">
        <v>1.0</v>
      </c>
      <c r="T8" s="25">
        <v>1.0</v>
      </c>
      <c r="U8" s="25">
        <v>1.0</v>
      </c>
      <c r="V8" s="25">
        <v>1.0</v>
      </c>
      <c r="W8" s="25">
        <v>1.0</v>
      </c>
      <c r="X8" s="25">
        <v>1.0</v>
      </c>
      <c r="Y8" s="25">
        <v>1.0</v>
      </c>
      <c r="Z8" s="25">
        <v>1.0</v>
      </c>
      <c r="AA8" s="25">
        <v>0.0</v>
      </c>
      <c r="AB8" s="25">
        <v>0.0</v>
      </c>
      <c r="AC8" s="25">
        <v>0.0</v>
      </c>
      <c r="AD8" s="25">
        <v>0.0</v>
      </c>
      <c r="AE8" s="25">
        <v>0.0</v>
      </c>
      <c r="AF8" s="25">
        <v>0.0</v>
      </c>
      <c r="AG8" s="25">
        <v>0.0</v>
      </c>
      <c r="AH8" s="25">
        <v>0.0</v>
      </c>
      <c r="AI8" s="25">
        <v>1.0</v>
      </c>
      <c r="AJ8" s="25">
        <v>1.0</v>
      </c>
      <c r="AK8" s="25">
        <v>1.0</v>
      </c>
      <c r="AL8" s="25">
        <v>1.0</v>
      </c>
      <c r="AM8" s="25">
        <v>1.0</v>
      </c>
      <c r="AN8" s="25">
        <v>1.0</v>
      </c>
      <c r="AO8" s="25">
        <v>0.5</v>
      </c>
      <c r="AP8" s="25">
        <v>0.0</v>
      </c>
      <c r="AQ8" s="25">
        <v>0.0</v>
      </c>
      <c r="AR8" s="25">
        <v>0.0</v>
      </c>
      <c r="AS8" s="25">
        <f t="shared" si="1"/>
        <v>28.5</v>
      </c>
      <c r="AT8" s="29">
        <f t="shared" si="2"/>
        <v>11.5</v>
      </c>
      <c r="AU8" s="29"/>
      <c r="AV8" s="29"/>
      <c r="AW8" s="29"/>
      <c r="AX8" s="29"/>
    </row>
    <row r="9">
      <c r="A9" s="7">
        <v>8125678.0</v>
      </c>
      <c r="B9" s="23" t="s">
        <v>140</v>
      </c>
      <c r="C9" s="24">
        <v>3.0</v>
      </c>
      <c r="D9" s="25" t="s">
        <v>94</v>
      </c>
      <c r="E9" s="30">
        <v>0.0</v>
      </c>
      <c r="F9" s="25">
        <v>0.0</v>
      </c>
      <c r="G9" s="25">
        <v>0.5</v>
      </c>
      <c r="H9" s="25">
        <v>1.0</v>
      </c>
      <c r="I9" s="88">
        <v>1.0</v>
      </c>
      <c r="J9" s="25">
        <v>1.0</v>
      </c>
      <c r="K9" s="25">
        <v>1.0</v>
      </c>
      <c r="L9" s="25">
        <v>1.0</v>
      </c>
      <c r="M9" s="25">
        <v>1.0</v>
      </c>
      <c r="N9" s="25">
        <v>1.0</v>
      </c>
      <c r="O9" s="25">
        <v>1.0</v>
      </c>
      <c r="P9" s="25">
        <v>1.0</v>
      </c>
      <c r="Q9" s="25">
        <v>1.0</v>
      </c>
      <c r="R9" s="25">
        <v>1.0</v>
      </c>
      <c r="S9" s="25">
        <v>1.0</v>
      </c>
      <c r="T9" s="25">
        <v>1.0</v>
      </c>
      <c r="U9" s="25">
        <v>1.0</v>
      </c>
      <c r="V9" s="25">
        <v>1.0</v>
      </c>
      <c r="W9" s="25">
        <v>1.0</v>
      </c>
      <c r="X9" s="25">
        <v>1.0</v>
      </c>
      <c r="Y9" s="25">
        <v>1.0</v>
      </c>
      <c r="Z9" s="25">
        <v>1.0</v>
      </c>
      <c r="AA9" s="25">
        <v>1.0</v>
      </c>
      <c r="AB9" s="25">
        <v>1.0</v>
      </c>
      <c r="AC9" s="25">
        <v>1.0</v>
      </c>
      <c r="AD9" s="25">
        <v>1.0</v>
      </c>
      <c r="AE9" s="25">
        <v>1.0</v>
      </c>
      <c r="AF9" s="25">
        <v>1.0</v>
      </c>
      <c r="AG9" s="25">
        <v>1.0</v>
      </c>
      <c r="AH9" s="25">
        <v>1.0</v>
      </c>
      <c r="AI9" s="25">
        <v>0.5</v>
      </c>
      <c r="AJ9" s="25">
        <v>0.0</v>
      </c>
      <c r="AK9" s="25">
        <v>0.0</v>
      </c>
      <c r="AL9" s="25">
        <v>0.5</v>
      </c>
      <c r="AM9" s="25">
        <v>0.0</v>
      </c>
      <c r="AN9" s="25">
        <v>0.0</v>
      </c>
      <c r="AO9" s="25">
        <v>0.0</v>
      </c>
      <c r="AP9" s="25">
        <v>0.0</v>
      </c>
      <c r="AQ9" s="25">
        <v>0.0</v>
      </c>
      <c r="AR9" s="25">
        <v>0.0</v>
      </c>
      <c r="AS9" s="25">
        <f t="shared" si="1"/>
        <v>28.5</v>
      </c>
      <c r="AT9" s="29">
        <f t="shared" si="2"/>
        <v>11.5</v>
      </c>
      <c r="AU9" s="29"/>
      <c r="AV9" s="29"/>
      <c r="AW9" s="29"/>
      <c r="AX9" s="29"/>
    </row>
    <row r="10">
      <c r="A10" s="7">
        <v>6068607.0</v>
      </c>
      <c r="B10" s="23" t="s">
        <v>151</v>
      </c>
      <c r="C10" s="24">
        <v>2.0</v>
      </c>
      <c r="D10" s="25" t="s">
        <v>94</v>
      </c>
      <c r="E10" s="30">
        <v>1.0</v>
      </c>
      <c r="F10" s="25">
        <v>1.0</v>
      </c>
      <c r="G10" s="25">
        <v>1.0</v>
      </c>
      <c r="H10" s="25">
        <v>1.0</v>
      </c>
      <c r="I10" s="88">
        <v>1.0</v>
      </c>
      <c r="J10" s="25">
        <v>1.0</v>
      </c>
      <c r="K10" s="25">
        <v>1.0</v>
      </c>
      <c r="L10" s="25">
        <v>1.0</v>
      </c>
      <c r="M10" s="25">
        <v>1.0</v>
      </c>
      <c r="N10" s="25">
        <v>0.5</v>
      </c>
      <c r="O10" s="25">
        <v>0.0</v>
      </c>
      <c r="P10" s="25">
        <v>0.0</v>
      </c>
      <c r="Q10" s="25">
        <v>0.0</v>
      </c>
      <c r="R10" s="25">
        <v>0.0</v>
      </c>
      <c r="S10" s="25">
        <v>0.5</v>
      </c>
      <c r="T10" s="25">
        <v>0.0</v>
      </c>
      <c r="U10" s="25">
        <v>0.0</v>
      </c>
      <c r="V10" s="25">
        <v>0.0</v>
      </c>
      <c r="W10" s="25">
        <v>0.5</v>
      </c>
      <c r="X10" s="25">
        <v>1.0</v>
      </c>
      <c r="Y10" s="25">
        <v>1.0</v>
      </c>
      <c r="Z10" s="25">
        <v>1.0</v>
      </c>
      <c r="AA10" s="25">
        <v>1.0</v>
      </c>
      <c r="AB10" s="25">
        <v>1.0</v>
      </c>
      <c r="AC10" s="25">
        <v>1.0</v>
      </c>
      <c r="AD10" s="25">
        <v>1.0</v>
      </c>
      <c r="AE10" s="25">
        <v>1.0</v>
      </c>
      <c r="AF10" s="25">
        <v>1.0</v>
      </c>
      <c r="AG10" s="25">
        <v>1.0</v>
      </c>
      <c r="AH10" s="25">
        <v>1.0</v>
      </c>
      <c r="AI10" s="25">
        <v>1.0</v>
      </c>
      <c r="AJ10" s="25">
        <v>1.0</v>
      </c>
      <c r="AK10" s="25">
        <v>1.0</v>
      </c>
      <c r="AL10" s="25">
        <v>1.0</v>
      </c>
      <c r="AM10" s="25">
        <v>1.0</v>
      </c>
      <c r="AN10" s="25">
        <v>0.5</v>
      </c>
      <c r="AO10" s="25">
        <v>0.0</v>
      </c>
      <c r="AP10" s="25">
        <v>0.0</v>
      </c>
      <c r="AQ10" s="25">
        <v>0.0</v>
      </c>
      <c r="AR10" s="25">
        <v>0.5</v>
      </c>
      <c r="AS10" s="25">
        <f t="shared" si="1"/>
        <v>27.5</v>
      </c>
      <c r="AT10" s="29">
        <f t="shared" si="2"/>
        <v>12.5</v>
      </c>
      <c r="AU10" s="29"/>
      <c r="AV10" s="29"/>
      <c r="AW10" s="29"/>
      <c r="AX10" s="29"/>
    </row>
    <row r="11">
      <c r="A11" s="7">
        <v>4634057.0</v>
      </c>
      <c r="B11" s="23" t="s">
        <v>65</v>
      </c>
      <c r="C11" s="24">
        <v>3.0</v>
      </c>
      <c r="D11" s="25" t="s">
        <v>87</v>
      </c>
      <c r="E11" s="30">
        <v>1.0</v>
      </c>
      <c r="F11" s="25">
        <v>1.0</v>
      </c>
      <c r="G11" s="25">
        <v>1.0</v>
      </c>
      <c r="H11" s="25">
        <v>1.0</v>
      </c>
      <c r="I11" s="88">
        <v>1.0</v>
      </c>
      <c r="J11" s="25">
        <v>1.0</v>
      </c>
      <c r="K11" s="25">
        <v>1.0</v>
      </c>
      <c r="L11" s="25">
        <v>1.0</v>
      </c>
      <c r="M11" s="25">
        <v>1.0</v>
      </c>
      <c r="N11" s="25">
        <v>1.0</v>
      </c>
      <c r="O11" s="25">
        <v>1.0</v>
      </c>
      <c r="P11" s="25">
        <v>1.0</v>
      </c>
      <c r="Q11" s="25">
        <v>1.0</v>
      </c>
      <c r="R11" s="25">
        <v>1.0</v>
      </c>
      <c r="S11" s="25">
        <v>1.0</v>
      </c>
      <c r="T11" s="25">
        <v>1.0</v>
      </c>
      <c r="U11" s="25">
        <v>1.0</v>
      </c>
      <c r="V11" s="25">
        <v>1.0</v>
      </c>
      <c r="W11" s="25">
        <v>1.0</v>
      </c>
      <c r="X11" s="25">
        <v>1.0</v>
      </c>
      <c r="Y11" s="25">
        <v>1.0</v>
      </c>
      <c r="Z11" s="25">
        <v>1.0</v>
      </c>
      <c r="AA11" s="25">
        <v>1.0</v>
      </c>
      <c r="AB11" s="25">
        <v>1.0</v>
      </c>
      <c r="AC11" s="25">
        <v>1.0</v>
      </c>
      <c r="AD11" s="25">
        <v>1.0</v>
      </c>
      <c r="AE11" s="25">
        <v>1.0</v>
      </c>
      <c r="AF11" s="25">
        <v>1.0</v>
      </c>
      <c r="AG11" s="25">
        <v>0.0</v>
      </c>
      <c r="AH11" s="25">
        <v>0.0</v>
      </c>
      <c r="AI11" s="25">
        <v>0.0</v>
      </c>
      <c r="AJ11" s="25">
        <v>0.0</v>
      </c>
      <c r="AK11" s="25">
        <v>0.0</v>
      </c>
      <c r="AL11" s="25">
        <v>0.0</v>
      </c>
      <c r="AM11" s="25">
        <v>0.0</v>
      </c>
      <c r="AN11" s="25">
        <v>0.0</v>
      </c>
      <c r="AO11" s="25">
        <v>0.0</v>
      </c>
      <c r="AP11" s="25">
        <v>0.0</v>
      </c>
      <c r="AQ11" s="25">
        <v>0.0</v>
      </c>
      <c r="AR11" s="25">
        <v>0.0</v>
      </c>
      <c r="AS11" s="25">
        <f t="shared" si="1"/>
        <v>28</v>
      </c>
      <c r="AT11" s="29">
        <f t="shared" si="2"/>
        <v>12</v>
      </c>
      <c r="AU11" s="29"/>
      <c r="AV11" s="29"/>
      <c r="AW11" s="29"/>
      <c r="AX11" s="29"/>
    </row>
    <row r="12">
      <c r="A12" s="7">
        <v>5103212.0</v>
      </c>
      <c r="B12" s="23" t="s">
        <v>165</v>
      </c>
      <c r="C12" s="24">
        <v>3.0</v>
      </c>
      <c r="D12" s="25" t="s">
        <v>94</v>
      </c>
      <c r="E12" s="30">
        <v>1.0</v>
      </c>
      <c r="F12" s="25">
        <v>1.0</v>
      </c>
      <c r="G12" s="25">
        <v>1.0</v>
      </c>
      <c r="H12" s="25">
        <v>1.0</v>
      </c>
      <c r="I12" s="88">
        <v>1.0</v>
      </c>
      <c r="J12" s="25">
        <v>1.0</v>
      </c>
      <c r="K12" s="25">
        <v>1.0</v>
      </c>
      <c r="L12" s="25">
        <v>1.0</v>
      </c>
      <c r="M12" s="25">
        <v>1.0</v>
      </c>
      <c r="N12" s="25">
        <v>1.0</v>
      </c>
      <c r="O12" s="25">
        <v>1.0</v>
      </c>
      <c r="P12" s="25">
        <v>1.0</v>
      </c>
      <c r="Q12" s="25">
        <v>1.0</v>
      </c>
      <c r="R12" s="25">
        <v>1.0</v>
      </c>
      <c r="S12" s="25">
        <v>1.0</v>
      </c>
      <c r="T12" s="25">
        <v>1.0</v>
      </c>
      <c r="U12" s="25">
        <v>1.0</v>
      </c>
      <c r="V12" s="25">
        <v>1.0</v>
      </c>
      <c r="W12" s="25">
        <v>1.0</v>
      </c>
      <c r="X12" s="25">
        <v>1.0</v>
      </c>
      <c r="Y12" s="25">
        <v>1.0</v>
      </c>
      <c r="Z12" s="25">
        <v>1.0</v>
      </c>
      <c r="AA12" s="25">
        <v>1.0</v>
      </c>
      <c r="AB12" s="25">
        <v>0.5</v>
      </c>
      <c r="AC12" s="25">
        <v>0.0</v>
      </c>
      <c r="AD12" s="25">
        <v>0.0</v>
      </c>
      <c r="AE12" s="25">
        <v>0.0</v>
      </c>
      <c r="AF12" s="25">
        <v>0.0</v>
      </c>
      <c r="AG12" s="25">
        <v>0.0</v>
      </c>
      <c r="AH12" s="25">
        <v>0.0</v>
      </c>
      <c r="AI12" s="25">
        <v>0.5</v>
      </c>
      <c r="AJ12" s="25">
        <v>1.0</v>
      </c>
      <c r="AK12" s="25">
        <v>1.0</v>
      </c>
      <c r="AL12" s="25">
        <v>1.0</v>
      </c>
      <c r="AM12" s="25">
        <v>1.0</v>
      </c>
      <c r="AN12" s="25">
        <v>0.0</v>
      </c>
      <c r="AO12" s="25">
        <v>0.0</v>
      </c>
      <c r="AP12" s="25">
        <v>0.0</v>
      </c>
      <c r="AQ12" s="25">
        <v>0.0</v>
      </c>
      <c r="AR12" s="25">
        <v>0.0</v>
      </c>
      <c r="AS12" s="25">
        <f t="shared" si="1"/>
        <v>28</v>
      </c>
      <c r="AT12" s="29">
        <f t="shared" si="2"/>
        <v>12</v>
      </c>
      <c r="AU12" s="29"/>
      <c r="AV12" s="29"/>
      <c r="AW12" s="29"/>
      <c r="AX12" s="29"/>
    </row>
    <row r="13">
      <c r="A13" s="7">
        <v>5211617.0</v>
      </c>
      <c r="B13" s="23" t="s">
        <v>166</v>
      </c>
      <c r="C13" s="24">
        <v>1.0</v>
      </c>
      <c r="D13" s="25" t="s">
        <v>94</v>
      </c>
      <c r="E13" s="30">
        <v>1.0</v>
      </c>
      <c r="F13" s="25">
        <v>1.0</v>
      </c>
      <c r="G13" s="25">
        <v>1.0</v>
      </c>
      <c r="H13" s="25">
        <v>1.0</v>
      </c>
      <c r="I13" s="88">
        <v>1.0</v>
      </c>
      <c r="J13" s="25">
        <v>1.0</v>
      </c>
      <c r="K13" s="25">
        <v>1.0</v>
      </c>
      <c r="L13" s="25">
        <v>1.0</v>
      </c>
      <c r="M13" s="25">
        <v>1.0</v>
      </c>
      <c r="N13" s="25">
        <v>0.5</v>
      </c>
      <c r="O13" s="25">
        <v>0.0</v>
      </c>
      <c r="P13" s="25">
        <v>0.0</v>
      </c>
      <c r="Q13" s="25">
        <v>0.5</v>
      </c>
      <c r="R13" s="25">
        <v>1.0</v>
      </c>
      <c r="S13" s="25">
        <v>1.0</v>
      </c>
      <c r="T13" s="25">
        <v>1.0</v>
      </c>
      <c r="U13" s="25">
        <v>1.0</v>
      </c>
      <c r="V13" s="25">
        <v>1.0</v>
      </c>
      <c r="W13" s="25">
        <v>1.0</v>
      </c>
      <c r="X13" s="25">
        <v>1.0</v>
      </c>
      <c r="Y13" s="25">
        <v>1.0</v>
      </c>
      <c r="Z13" s="25">
        <v>1.0</v>
      </c>
      <c r="AA13" s="25">
        <v>1.0</v>
      </c>
      <c r="AB13" s="25">
        <v>0.5</v>
      </c>
      <c r="AC13" s="25">
        <v>0.0</v>
      </c>
      <c r="AD13" s="25">
        <v>0.0</v>
      </c>
      <c r="AE13" s="25">
        <v>0.0</v>
      </c>
      <c r="AF13" s="25">
        <v>0.0</v>
      </c>
      <c r="AG13" s="25">
        <v>0.0</v>
      </c>
      <c r="AH13" s="25">
        <v>0.0</v>
      </c>
      <c r="AI13" s="25">
        <v>0.5</v>
      </c>
      <c r="AJ13" s="25">
        <v>1.0</v>
      </c>
      <c r="AK13" s="25">
        <v>1.0</v>
      </c>
      <c r="AL13" s="25">
        <v>1.0</v>
      </c>
      <c r="AM13" s="25">
        <v>1.0</v>
      </c>
      <c r="AN13" s="25">
        <v>1.0</v>
      </c>
      <c r="AO13" s="25">
        <v>1.0</v>
      </c>
      <c r="AP13" s="25">
        <v>1.0</v>
      </c>
      <c r="AQ13" s="25">
        <v>0.0</v>
      </c>
      <c r="AR13" s="25">
        <v>0.0</v>
      </c>
      <c r="AS13" s="25">
        <f t="shared" si="1"/>
        <v>28</v>
      </c>
      <c r="AT13" s="29">
        <f t="shared" si="2"/>
        <v>12</v>
      </c>
      <c r="AU13" s="29"/>
      <c r="AV13" s="29"/>
      <c r="AW13" s="29"/>
      <c r="AX13" s="29"/>
    </row>
    <row r="14">
      <c r="A14" s="7">
        <v>5112996.0</v>
      </c>
      <c r="B14" s="23" t="s">
        <v>174</v>
      </c>
      <c r="C14" s="24">
        <v>2.0</v>
      </c>
      <c r="D14" s="25" t="s">
        <v>94</v>
      </c>
      <c r="E14" s="30">
        <v>0.0</v>
      </c>
      <c r="F14" s="25">
        <v>0.0</v>
      </c>
      <c r="G14" s="25">
        <v>0.5</v>
      </c>
      <c r="H14" s="25">
        <v>1.0</v>
      </c>
      <c r="I14" s="88">
        <v>1.0</v>
      </c>
      <c r="J14" s="25">
        <v>1.0</v>
      </c>
      <c r="K14" s="25">
        <v>1.0</v>
      </c>
      <c r="L14" s="25">
        <v>1.0</v>
      </c>
      <c r="M14" s="25">
        <v>1.0</v>
      </c>
      <c r="N14" s="25">
        <v>1.0</v>
      </c>
      <c r="O14" s="25">
        <v>1.0</v>
      </c>
      <c r="P14" s="25">
        <v>1.0</v>
      </c>
      <c r="Q14" s="25">
        <v>1.0</v>
      </c>
      <c r="R14" s="25">
        <v>1.0</v>
      </c>
      <c r="S14" s="25">
        <v>1.0</v>
      </c>
      <c r="T14" s="25">
        <v>1.0</v>
      </c>
      <c r="U14" s="25">
        <v>1.0</v>
      </c>
      <c r="V14" s="25">
        <v>1.0</v>
      </c>
      <c r="W14" s="25">
        <v>1.0</v>
      </c>
      <c r="X14" s="25">
        <v>0.5</v>
      </c>
      <c r="Y14" s="25">
        <v>0.0</v>
      </c>
      <c r="Z14" s="25">
        <v>0.0</v>
      </c>
      <c r="AA14" s="25">
        <v>0.0</v>
      </c>
      <c r="AB14" s="25">
        <v>0.0</v>
      </c>
      <c r="AC14" s="25">
        <v>0.0</v>
      </c>
      <c r="AD14" s="25">
        <v>0.0</v>
      </c>
      <c r="AE14" s="25">
        <v>0.0</v>
      </c>
      <c r="AF14" s="25">
        <v>0.0</v>
      </c>
      <c r="AG14" s="25">
        <v>0.0</v>
      </c>
      <c r="AH14" s="25">
        <v>0.0</v>
      </c>
      <c r="AI14" s="25">
        <v>0.5</v>
      </c>
      <c r="AJ14" s="25">
        <v>1.0</v>
      </c>
      <c r="AK14" s="25">
        <v>1.0</v>
      </c>
      <c r="AL14" s="25">
        <v>1.0</v>
      </c>
      <c r="AM14" s="25">
        <v>1.0</v>
      </c>
      <c r="AN14" s="25">
        <v>1.0</v>
      </c>
      <c r="AO14" s="25">
        <v>1.0</v>
      </c>
      <c r="AP14" s="25">
        <v>1.0</v>
      </c>
      <c r="AQ14" s="25">
        <v>1.0</v>
      </c>
      <c r="AR14" s="25">
        <v>1.0</v>
      </c>
      <c r="AS14" s="25">
        <f t="shared" si="1"/>
        <v>26.5</v>
      </c>
      <c r="AT14" s="29">
        <f t="shared" si="2"/>
        <v>13.5</v>
      </c>
      <c r="AU14" s="29"/>
      <c r="AV14" s="29"/>
      <c r="AW14" s="29"/>
      <c r="AX14" s="29"/>
    </row>
    <row r="15">
      <c r="A15" s="7">
        <v>6153853.0</v>
      </c>
      <c r="B15" s="23" t="s">
        <v>58</v>
      </c>
      <c r="C15" s="24">
        <v>1.0</v>
      </c>
      <c r="D15" s="25" t="s">
        <v>94</v>
      </c>
      <c r="E15" s="30">
        <v>1.0</v>
      </c>
      <c r="F15" s="25">
        <v>1.0</v>
      </c>
      <c r="G15" s="25">
        <v>1.0</v>
      </c>
      <c r="H15" s="25">
        <v>0.5</v>
      </c>
      <c r="I15" s="88">
        <v>0.0</v>
      </c>
      <c r="J15" s="25">
        <v>0.0</v>
      </c>
      <c r="K15" s="25">
        <v>0.0</v>
      </c>
      <c r="L15" s="25">
        <v>0.0</v>
      </c>
      <c r="M15" s="25">
        <v>0.5</v>
      </c>
      <c r="N15" s="25">
        <v>1.0</v>
      </c>
      <c r="O15" s="25">
        <v>1.0</v>
      </c>
      <c r="P15" s="25">
        <v>1.0</v>
      </c>
      <c r="Q15" s="25">
        <v>1.0</v>
      </c>
      <c r="R15" s="25">
        <v>1.0</v>
      </c>
      <c r="S15" s="25">
        <v>1.0</v>
      </c>
      <c r="T15" s="25">
        <v>0.5</v>
      </c>
      <c r="U15" s="25">
        <v>0.0</v>
      </c>
      <c r="V15" s="25">
        <v>0.0</v>
      </c>
      <c r="W15" s="25">
        <v>0.0</v>
      </c>
      <c r="X15" s="25">
        <v>0.0</v>
      </c>
      <c r="Y15" s="25">
        <v>0.0</v>
      </c>
      <c r="Z15" s="25">
        <v>0.0</v>
      </c>
      <c r="AA15" s="25">
        <v>0.5</v>
      </c>
      <c r="AB15" s="25">
        <v>1.0</v>
      </c>
      <c r="AC15" s="25">
        <v>1.0</v>
      </c>
      <c r="AD15" s="25">
        <v>1.0</v>
      </c>
      <c r="AE15" s="25">
        <v>1.0</v>
      </c>
      <c r="AF15" s="25">
        <v>1.0</v>
      </c>
      <c r="AG15" s="25">
        <v>1.0</v>
      </c>
      <c r="AH15" s="25">
        <v>0.5</v>
      </c>
      <c r="AI15" s="25">
        <v>0.0</v>
      </c>
      <c r="AJ15" s="25">
        <v>0.0</v>
      </c>
      <c r="AK15" s="25">
        <v>0.0</v>
      </c>
      <c r="AL15" s="25">
        <v>0.0</v>
      </c>
      <c r="AM15" s="25">
        <v>0.0</v>
      </c>
      <c r="AN15" s="25">
        <v>0.0</v>
      </c>
      <c r="AO15" s="25">
        <v>0.5</v>
      </c>
      <c r="AP15" s="25">
        <v>1.0</v>
      </c>
      <c r="AQ15" s="25">
        <v>1.0</v>
      </c>
      <c r="AR15" s="25">
        <v>1.0</v>
      </c>
      <c r="AS15" s="25">
        <f t="shared" si="1"/>
        <v>21</v>
      </c>
      <c r="AT15" s="29">
        <f t="shared" si="2"/>
        <v>19</v>
      </c>
      <c r="AU15" s="29"/>
      <c r="AV15" s="29"/>
      <c r="AW15" s="29"/>
      <c r="AX15" s="29"/>
    </row>
    <row r="16">
      <c r="A16" s="7">
        <v>6381240.0</v>
      </c>
      <c r="B16" s="23" t="s">
        <v>184</v>
      </c>
      <c r="C16" s="24">
        <v>5.0</v>
      </c>
      <c r="D16" s="25" t="s">
        <v>185</v>
      </c>
      <c r="E16" s="30">
        <v>0.0</v>
      </c>
      <c r="F16" s="25">
        <v>0.0</v>
      </c>
      <c r="G16" s="25">
        <v>0.0</v>
      </c>
      <c r="H16" s="25">
        <v>0.0</v>
      </c>
      <c r="I16" s="88">
        <v>0.0</v>
      </c>
      <c r="J16" s="25">
        <v>0.5</v>
      </c>
      <c r="K16" s="25">
        <v>1.0</v>
      </c>
      <c r="L16" s="25">
        <v>1.0</v>
      </c>
      <c r="M16" s="25">
        <v>1.0</v>
      </c>
      <c r="N16" s="25">
        <v>1.0</v>
      </c>
      <c r="O16" s="25">
        <v>1.0</v>
      </c>
      <c r="P16" s="25">
        <v>1.0</v>
      </c>
      <c r="Q16" s="25">
        <v>1.0</v>
      </c>
      <c r="R16" s="25">
        <v>1.0</v>
      </c>
      <c r="S16" s="25">
        <v>1.0</v>
      </c>
      <c r="T16" s="25">
        <v>1.0</v>
      </c>
      <c r="U16" s="25">
        <v>1.0</v>
      </c>
      <c r="V16" s="25">
        <v>1.0</v>
      </c>
      <c r="W16" s="25">
        <v>1.0</v>
      </c>
      <c r="X16" s="25">
        <v>1.0</v>
      </c>
      <c r="Y16" s="25">
        <v>1.0</v>
      </c>
      <c r="Z16" s="25">
        <v>1.0</v>
      </c>
      <c r="AA16" s="25">
        <v>1.0</v>
      </c>
      <c r="AB16" s="25">
        <v>1.0</v>
      </c>
      <c r="AC16" s="25">
        <v>1.0</v>
      </c>
      <c r="AD16" s="25">
        <v>1.0</v>
      </c>
      <c r="AE16" s="25">
        <v>1.0</v>
      </c>
      <c r="AF16" s="25">
        <v>1.0</v>
      </c>
      <c r="AG16" s="25">
        <v>1.0</v>
      </c>
      <c r="AH16" s="25">
        <v>1.0</v>
      </c>
      <c r="AI16" s="25">
        <v>1.0</v>
      </c>
      <c r="AJ16" s="25">
        <v>1.0</v>
      </c>
      <c r="AK16" s="25">
        <v>1.0</v>
      </c>
      <c r="AL16" s="25">
        <v>1.0</v>
      </c>
      <c r="AM16" s="25">
        <v>1.0</v>
      </c>
      <c r="AN16" s="25">
        <v>1.0</v>
      </c>
      <c r="AO16" s="25">
        <v>1.0</v>
      </c>
      <c r="AP16" s="25">
        <v>1.0</v>
      </c>
      <c r="AQ16" s="25">
        <v>1.0</v>
      </c>
      <c r="AR16" s="25">
        <v>1.0</v>
      </c>
      <c r="AS16" s="25">
        <f t="shared" si="1"/>
        <v>34.5</v>
      </c>
      <c r="AT16" s="29">
        <f t="shared" si="2"/>
        <v>5.5</v>
      </c>
      <c r="AU16" s="29"/>
      <c r="AV16" s="29"/>
      <c r="AW16" s="29"/>
      <c r="AX16" s="29"/>
    </row>
    <row r="17">
      <c r="A17" s="7">
        <v>4687808.0</v>
      </c>
      <c r="B17" s="23" t="s">
        <v>187</v>
      </c>
      <c r="C17" s="24">
        <v>4.0</v>
      </c>
      <c r="D17" s="25" t="s">
        <v>188</v>
      </c>
      <c r="E17" s="30">
        <v>1.0</v>
      </c>
      <c r="F17" s="25">
        <v>1.0</v>
      </c>
      <c r="G17" s="25">
        <v>1.0</v>
      </c>
      <c r="H17" s="25">
        <v>1.0</v>
      </c>
      <c r="I17" s="88">
        <v>1.0</v>
      </c>
      <c r="J17" s="25">
        <v>1.0</v>
      </c>
      <c r="K17" s="25">
        <v>1.0</v>
      </c>
      <c r="L17" s="25">
        <v>1.0</v>
      </c>
      <c r="M17" s="25">
        <v>1.0</v>
      </c>
      <c r="N17" s="25">
        <v>1.0</v>
      </c>
      <c r="O17" s="25">
        <v>1.0</v>
      </c>
      <c r="P17" s="25">
        <v>1.0</v>
      </c>
      <c r="Q17" s="25">
        <v>1.0</v>
      </c>
      <c r="R17" s="25">
        <v>1.0</v>
      </c>
      <c r="S17" s="25">
        <v>1.0</v>
      </c>
      <c r="T17" s="25">
        <v>1.0</v>
      </c>
      <c r="U17" s="25">
        <v>1.0</v>
      </c>
      <c r="V17" s="25">
        <v>1.0</v>
      </c>
      <c r="W17" s="25">
        <v>1.0</v>
      </c>
      <c r="X17" s="25">
        <v>1.0</v>
      </c>
      <c r="Y17" s="25">
        <v>1.0</v>
      </c>
      <c r="Z17" s="25">
        <v>1.0</v>
      </c>
      <c r="AA17" s="25">
        <v>1.0</v>
      </c>
      <c r="AB17" s="25">
        <v>1.0</v>
      </c>
      <c r="AC17" s="25">
        <v>1.0</v>
      </c>
      <c r="AD17" s="25">
        <v>1.0</v>
      </c>
      <c r="AE17" s="25">
        <v>1.0</v>
      </c>
      <c r="AF17" s="25">
        <v>1.0</v>
      </c>
      <c r="AG17" s="25">
        <v>1.0</v>
      </c>
      <c r="AH17" s="25">
        <v>1.0</v>
      </c>
      <c r="AI17" s="25">
        <v>1.0</v>
      </c>
      <c r="AJ17" s="25">
        <v>1.0</v>
      </c>
      <c r="AK17" s="25">
        <v>1.0</v>
      </c>
      <c r="AL17" s="25">
        <v>1.0</v>
      </c>
      <c r="AM17" s="25">
        <v>1.0</v>
      </c>
      <c r="AN17" s="25">
        <v>1.0</v>
      </c>
      <c r="AO17" s="25">
        <v>1.0</v>
      </c>
      <c r="AP17" s="25">
        <v>1.0</v>
      </c>
      <c r="AQ17" s="25">
        <v>1.0</v>
      </c>
      <c r="AR17" s="25">
        <v>1.0</v>
      </c>
      <c r="AS17" s="25">
        <f t="shared" si="1"/>
        <v>40</v>
      </c>
      <c r="AT17" s="29">
        <f t="shared" si="2"/>
        <v>0</v>
      </c>
      <c r="AU17" s="29"/>
      <c r="AV17" s="29"/>
      <c r="AW17" s="29"/>
      <c r="AX17" s="29"/>
    </row>
    <row r="18">
      <c r="A18" s="7">
        <v>5999668.0</v>
      </c>
      <c r="B18" s="23" t="s">
        <v>191</v>
      </c>
      <c r="C18" s="24">
        <v>3.0</v>
      </c>
      <c r="D18" s="25" t="s">
        <v>94</v>
      </c>
      <c r="E18" s="30">
        <v>1.0</v>
      </c>
      <c r="F18" s="25">
        <v>1.0</v>
      </c>
      <c r="G18" s="25">
        <v>1.0</v>
      </c>
      <c r="H18" s="25">
        <v>0.5</v>
      </c>
      <c r="I18" s="88">
        <v>0.0</v>
      </c>
      <c r="J18" s="25">
        <v>0.0</v>
      </c>
      <c r="K18" s="25">
        <v>0.0</v>
      </c>
      <c r="L18" s="25">
        <v>0.0</v>
      </c>
      <c r="M18" s="25">
        <v>0.0</v>
      </c>
      <c r="N18" s="25">
        <v>0.0</v>
      </c>
      <c r="O18" s="25">
        <v>0.0</v>
      </c>
      <c r="P18" s="25">
        <v>0.0</v>
      </c>
      <c r="Q18" s="25">
        <v>0.0</v>
      </c>
      <c r="R18" s="25">
        <v>0.0</v>
      </c>
      <c r="S18" s="25">
        <v>0.5</v>
      </c>
      <c r="T18" s="25">
        <v>1.0</v>
      </c>
      <c r="U18" s="25">
        <v>1.0</v>
      </c>
      <c r="V18" s="25">
        <v>1.0</v>
      </c>
      <c r="W18" s="25">
        <v>1.0</v>
      </c>
      <c r="X18" s="25">
        <v>1.0</v>
      </c>
      <c r="Y18" s="25">
        <v>0.5</v>
      </c>
      <c r="Z18" s="25">
        <v>0.0</v>
      </c>
      <c r="AA18" s="25">
        <v>0.0</v>
      </c>
      <c r="AB18" s="25">
        <v>0.0</v>
      </c>
      <c r="AC18" s="25">
        <v>0.0</v>
      </c>
      <c r="AD18" s="25">
        <v>0.0</v>
      </c>
      <c r="AE18" s="25">
        <v>0.0</v>
      </c>
      <c r="AF18" s="25">
        <v>0.0</v>
      </c>
      <c r="AG18" s="25">
        <v>0.0</v>
      </c>
      <c r="AH18" s="25">
        <v>0.0</v>
      </c>
      <c r="AI18" s="25">
        <v>0.0</v>
      </c>
      <c r="AJ18" s="25">
        <v>0.0</v>
      </c>
      <c r="AK18" s="25">
        <v>0.0</v>
      </c>
      <c r="AL18" s="25">
        <v>0.0</v>
      </c>
      <c r="AM18" s="25">
        <v>0.0</v>
      </c>
      <c r="AN18" s="25">
        <v>0.0</v>
      </c>
      <c r="AO18" s="25">
        <v>0.0</v>
      </c>
      <c r="AP18" s="25">
        <v>0.0</v>
      </c>
      <c r="AQ18" s="25">
        <v>0.0</v>
      </c>
      <c r="AR18" s="25">
        <v>0.0</v>
      </c>
      <c r="AS18" s="25">
        <f t="shared" si="1"/>
        <v>9.5</v>
      </c>
      <c r="AT18" s="29">
        <f t="shared" si="2"/>
        <v>30.5</v>
      </c>
      <c r="AU18" s="29"/>
      <c r="AV18" s="29"/>
      <c r="AW18" s="29"/>
      <c r="AX18" s="29"/>
    </row>
    <row r="19">
      <c r="A19" s="7">
        <v>8655973.0</v>
      </c>
      <c r="B19" s="23" t="s">
        <v>71</v>
      </c>
      <c r="C19" s="24">
        <v>3.0</v>
      </c>
      <c r="D19" s="25" t="s">
        <v>94</v>
      </c>
      <c r="E19" s="30">
        <v>1.0</v>
      </c>
      <c r="F19" s="25">
        <v>1.0</v>
      </c>
      <c r="G19" s="25">
        <v>1.0</v>
      </c>
      <c r="H19" s="25">
        <v>1.0</v>
      </c>
      <c r="I19" s="88">
        <v>1.0</v>
      </c>
      <c r="J19" s="25">
        <v>1.0</v>
      </c>
      <c r="K19" s="25">
        <v>1.0</v>
      </c>
      <c r="L19" s="25">
        <v>1.0</v>
      </c>
      <c r="M19" s="25">
        <v>1.0</v>
      </c>
      <c r="N19" s="25">
        <v>1.0</v>
      </c>
      <c r="O19" s="25">
        <v>1.0</v>
      </c>
      <c r="P19" s="25">
        <v>1.0</v>
      </c>
      <c r="Q19" s="25">
        <v>1.0</v>
      </c>
      <c r="R19" s="25">
        <v>1.0</v>
      </c>
      <c r="S19" s="25">
        <v>1.0</v>
      </c>
      <c r="T19" s="25">
        <v>1.0</v>
      </c>
      <c r="U19" s="25">
        <v>1.0</v>
      </c>
      <c r="V19" s="25">
        <v>1.0</v>
      </c>
      <c r="W19" s="25">
        <v>1.0</v>
      </c>
      <c r="X19" s="25">
        <v>1.0</v>
      </c>
      <c r="Y19" s="25">
        <v>1.0</v>
      </c>
      <c r="Z19" s="25">
        <v>1.0</v>
      </c>
      <c r="AA19" s="25">
        <v>1.0</v>
      </c>
      <c r="AB19" s="25">
        <v>1.0</v>
      </c>
      <c r="AC19" s="25">
        <v>1.0</v>
      </c>
      <c r="AD19" s="25">
        <v>1.0</v>
      </c>
      <c r="AE19" s="25">
        <v>1.0</v>
      </c>
      <c r="AF19" s="25">
        <v>1.0</v>
      </c>
      <c r="AG19" s="25">
        <v>0.0</v>
      </c>
      <c r="AH19" s="25">
        <v>0.0</v>
      </c>
      <c r="AI19" s="25">
        <v>0.0</v>
      </c>
      <c r="AJ19" s="25">
        <v>0.0</v>
      </c>
      <c r="AK19" s="25">
        <v>0.0</v>
      </c>
      <c r="AL19" s="25">
        <v>0.0</v>
      </c>
      <c r="AM19" s="25">
        <v>0.0</v>
      </c>
      <c r="AN19" s="25">
        <v>0.0</v>
      </c>
      <c r="AO19" s="25">
        <v>0.0</v>
      </c>
      <c r="AP19" s="25">
        <v>0.0</v>
      </c>
      <c r="AQ19" s="25">
        <v>0.0</v>
      </c>
      <c r="AR19" s="25">
        <v>0.0</v>
      </c>
      <c r="AS19" s="25">
        <f t="shared" si="1"/>
        <v>28</v>
      </c>
      <c r="AT19" s="29">
        <f t="shared" si="2"/>
        <v>12</v>
      </c>
      <c r="AU19" s="29"/>
      <c r="AV19" s="29"/>
      <c r="AW19" s="29"/>
      <c r="AX19" s="29"/>
    </row>
    <row r="20">
      <c r="A20" s="7">
        <v>4319295.0</v>
      </c>
      <c r="B20" s="23" t="s">
        <v>204</v>
      </c>
      <c r="C20" s="24">
        <v>2.0</v>
      </c>
      <c r="D20" s="25" t="s">
        <v>94</v>
      </c>
      <c r="E20" s="30">
        <v>1.0</v>
      </c>
      <c r="F20" s="25">
        <v>1.0</v>
      </c>
      <c r="G20" s="25">
        <v>1.0</v>
      </c>
      <c r="H20" s="25">
        <v>1.0</v>
      </c>
      <c r="I20" s="88">
        <v>1.0</v>
      </c>
      <c r="J20" s="25">
        <v>1.0</v>
      </c>
      <c r="K20" s="25">
        <v>1.0</v>
      </c>
      <c r="L20" s="25">
        <v>1.0</v>
      </c>
      <c r="M20" s="25">
        <v>1.0</v>
      </c>
      <c r="N20" s="25">
        <v>1.0</v>
      </c>
      <c r="O20" s="25">
        <v>1.0</v>
      </c>
      <c r="P20" s="25">
        <v>1.0</v>
      </c>
      <c r="Q20" s="25">
        <v>1.0</v>
      </c>
      <c r="R20" s="25">
        <v>1.0</v>
      </c>
      <c r="S20" s="25">
        <v>1.0</v>
      </c>
      <c r="T20" s="25">
        <v>1.0</v>
      </c>
      <c r="U20" s="25">
        <v>1.0</v>
      </c>
      <c r="V20" s="25">
        <v>1.0</v>
      </c>
      <c r="W20" s="25">
        <v>1.0</v>
      </c>
      <c r="X20" s="25">
        <v>1.0</v>
      </c>
      <c r="Y20" s="25">
        <v>1.0</v>
      </c>
      <c r="Z20" s="25">
        <v>1.0</v>
      </c>
      <c r="AA20" s="25">
        <v>1.0</v>
      </c>
      <c r="AB20" s="25">
        <v>1.0</v>
      </c>
      <c r="AC20" s="25">
        <v>1.0</v>
      </c>
      <c r="AD20" s="25">
        <v>1.0</v>
      </c>
      <c r="AE20" s="25">
        <v>1.0</v>
      </c>
      <c r="AF20" s="25">
        <v>1.0</v>
      </c>
      <c r="AG20" s="25">
        <v>0.0</v>
      </c>
      <c r="AH20" s="25">
        <v>0.0</v>
      </c>
      <c r="AI20" s="25">
        <v>0.0</v>
      </c>
      <c r="AJ20" s="25">
        <v>0.0</v>
      </c>
      <c r="AK20" s="25">
        <v>0.0</v>
      </c>
      <c r="AL20" s="25">
        <v>0.0</v>
      </c>
      <c r="AM20" s="25">
        <v>0.0</v>
      </c>
      <c r="AN20" s="25">
        <v>0.0</v>
      </c>
      <c r="AO20" s="25">
        <v>0.0</v>
      </c>
      <c r="AP20" s="25">
        <v>0.0</v>
      </c>
      <c r="AQ20" s="25">
        <v>0.0</v>
      </c>
      <c r="AR20" s="25">
        <v>0.0</v>
      </c>
      <c r="AS20" s="25">
        <f t="shared" si="1"/>
        <v>28</v>
      </c>
      <c r="AT20" s="29">
        <f t="shared" si="2"/>
        <v>12</v>
      </c>
      <c r="AU20" s="29"/>
      <c r="AV20" s="29"/>
      <c r="AW20" s="29"/>
      <c r="AX20" s="29"/>
    </row>
    <row r="21">
      <c r="A21" s="7">
        <v>7024334.0</v>
      </c>
      <c r="B21" s="23" t="s">
        <v>179</v>
      </c>
      <c r="C21" s="24">
        <v>2.0</v>
      </c>
      <c r="D21" s="25" t="s">
        <v>94</v>
      </c>
      <c r="E21" s="30">
        <v>1.0</v>
      </c>
      <c r="F21" s="25">
        <v>1.0</v>
      </c>
      <c r="G21" s="25">
        <v>1.0</v>
      </c>
      <c r="H21" s="25">
        <v>1.0</v>
      </c>
      <c r="I21" s="88">
        <v>1.0</v>
      </c>
      <c r="J21" s="25">
        <v>0.5</v>
      </c>
      <c r="K21" s="25">
        <v>0.0</v>
      </c>
      <c r="L21" s="25">
        <v>0.0</v>
      </c>
      <c r="M21" s="25">
        <v>0.0</v>
      </c>
      <c r="N21" s="25">
        <v>0.0</v>
      </c>
      <c r="O21" s="25">
        <v>0.0</v>
      </c>
      <c r="P21" s="25">
        <v>0.0</v>
      </c>
      <c r="Q21" s="25">
        <v>0.0</v>
      </c>
      <c r="R21" s="25">
        <v>0.0</v>
      </c>
      <c r="S21" s="25">
        <v>0.0</v>
      </c>
      <c r="T21" s="25">
        <v>0.0</v>
      </c>
      <c r="U21" s="25">
        <v>0.0</v>
      </c>
      <c r="V21" s="25">
        <v>0.0</v>
      </c>
      <c r="W21" s="25">
        <v>0.5</v>
      </c>
      <c r="X21" s="25">
        <v>1.0</v>
      </c>
      <c r="Y21" s="25">
        <v>1.0</v>
      </c>
      <c r="Z21" s="25">
        <v>1.0</v>
      </c>
      <c r="AA21" s="25">
        <v>1.0</v>
      </c>
      <c r="AB21" s="25">
        <v>1.0</v>
      </c>
      <c r="AC21" s="25">
        <v>1.0</v>
      </c>
      <c r="AD21" s="25">
        <v>1.0</v>
      </c>
      <c r="AE21" s="25">
        <v>1.0</v>
      </c>
      <c r="AF21" s="25">
        <v>1.0</v>
      </c>
      <c r="AG21" s="25">
        <v>1.0</v>
      </c>
      <c r="AH21" s="25">
        <v>1.0</v>
      </c>
      <c r="AI21" s="25">
        <v>1.0</v>
      </c>
      <c r="AJ21" s="25">
        <v>1.0</v>
      </c>
      <c r="AK21" s="25">
        <v>1.0</v>
      </c>
      <c r="AL21" s="25">
        <v>1.0</v>
      </c>
      <c r="AM21" s="25">
        <v>1.0</v>
      </c>
      <c r="AN21" s="25">
        <v>1.0</v>
      </c>
      <c r="AO21" s="25">
        <v>1.0</v>
      </c>
      <c r="AP21" s="25">
        <v>1.0</v>
      </c>
      <c r="AQ21" s="25">
        <v>1.0</v>
      </c>
      <c r="AR21" s="25">
        <v>1.0</v>
      </c>
      <c r="AS21" s="25">
        <f t="shared" si="1"/>
        <v>27</v>
      </c>
      <c r="AT21" s="29">
        <f t="shared" si="2"/>
        <v>13</v>
      </c>
      <c r="AU21" s="29"/>
      <c r="AV21" s="29"/>
      <c r="AW21" s="29"/>
      <c r="AX21" s="29"/>
    </row>
    <row r="22">
      <c r="A22" s="7">
        <v>5126913.0</v>
      </c>
      <c r="B22" s="23" t="s">
        <v>68</v>
      </c>
      <c r="C22" s="24">
        <v>3.0</v>
      </c>
      <c r="D22" s="25" t="s">
        <v>94</v>
      </c>
      <c r="E22" s="30">
        <v>1.0</v>
      </c>
      <c r="F22" s="25">
        <v>1.0</v>
      </c>
      <c r="G22" s="25">
        <v>1.0</v>
      </c>
      <c r="H22" s="25">
        <v>1.0</v>
      </c>
      <c r="I22" s="88">
        <v>1.0</v>
      </c>
      <c r="J22" s="25">
        <v>1.0</v>
      </c>
      <c r="K22" s="25">
        <v>1.0</v>
      </c>
      <c r="L22" s="25">
        <v>0.5</v>
      </c>
      <c r="M22" s="25">
        <v>0.0</v>
      </c>
      <c r="N22" s="25">
        <v>0.0</v>
      </c>
      <c r="O22" s="25">
        <v>0.0</v>
      </c>
      <c r="P22" s="25">
        <v>0.0</v>
      </c>
      <c r="Q22" s="25">
        <v>0.0</v>
      </c>
      <c r="R22" s="25">
        <v>0.0</v>
      </c>
      <c r="S22" s="25">
        <v>0.0</v>
      </c>
      <c r="T22" s="25">
        <v>0.5</v>
      </c>
      <c r="U22" s="25">
        <v>1.0</v>
      </c>
      <c r="V22" s="25">
        <v>1.0</v>
      </c>
      <c r="W22" s="25">
        <v>1.0</v>
      </c>
      <c r="X22" s="25">
        <v>1.0</v>
      </c>
      <c r="Y22" s="25">
        <v>1.0</v>
      </c>
      <c r="Z22" s="25">
        <v>1.0</v>
      </c>
      <c r="AA22" s="25">
        <v>1.0</v>
      </c>
      <c r="AB22" s="25">
        <v>0.5</v>
      </c>
      <c r="AC22" s="25">
        <v>0.0</v>
      </c>
      <c r="AD22" s="25">
        <v>0.0</v>
      </c>
      <c r="AE22" s="25">
        <v>0.0</v>
      </c>
      <c r="AF22" s="25">
        <v>0.0</v>
      </c>
      <c r="AG22" s="25">
        <v>0.0</v>
      </c>
      <c r="AH22" s="25">
        <v>0.0</v>
      </c>
      <c r="AI22" s="25">
        <v>0.5</v>
      </c>
      <c r="AJ22" s="25">
        <v>0.5</v>
      </c>
      <c r="AK22" s="25">
        <v>0.0</v>
      </c>
      <c r="AL22" s="25">
        <v>0.0</v>
      </c>
      <c r="AM22" s="25">
        <v>0.0</v>
      </c>
      <c r="AN22" s="25">
        <v>0.0</v>
      </c>
      <c r="AO22" s="25">
        <v>0.0</v>
      </c>
      <c r="AP22" s="25">
        <v>0.0</v>
      </c>
      <c r="AQ22" s="25">
        <v>0.5</v>
      </c>
      <c r="AR22" s="25">
        <v>1.0</v>
      </c>
      <c r="AS22" s="25">
        <f t="shared" si="1"/>
        <v>18</v>
      </c>
      <c r="AT22" s="29">
        <f t="shared" si="2"/>
        <v>22</v>
      </c>
      <c r="AU22" s="29"/>
      <c r="AV22" s="29"/>
      <c r="AW22" s="29"/>
      <c r="AX22" s="29"/>
    </row>
    <row r="23">
      <c r="A23" s="7">
        <v>6392386.0</v>
      </c>
      <c r="B23" s="23" t="s">
        <v>229</v>
      </c>
      <c r="C23" s="24">
        <v>3.0</v>
      </c>
      <c r="D23" s="25" t="s">
        <v>94</v>
      </c>
      <c r="E23" s="30">
        <v>1.0</v>
      </c>
      <c r="F23" s="25">
        <v>1.0</v>
      </c>
      <c r="G23" s="25">
        <v>1.0</v>
      </c>
      <c r="H23" s="25">
        <v>1.0</v>
      </c>
      <c r="I23" s="88">
        <v>1.0</v>
      </c>
      <c r="J23" s="25">
        <v>1.0</v>
      </c>
      <c r="K23" s="25">
        <v>0.5</v>
      </c>
      <c r="L23" s="25">
        <v>0.0</v>
      </c>
      <c r="M23" s="25">
        <v>0.5</v>
      </c>
      <c r="N23" s="25">
        <v>0.5</v>
      </c>
      <c r="O23" s="25">
        <v>0.0</v>
      </c>
      <c r="P23" s="25">
        <v>0.5</v>
      </c>
      <c r="Q23" s="25">
        <v>1.0</v>
      </c>
      <c r="R23" s="25">
        <v>1.0</v>
      </c>
      <c r="S23" s="25">
        <v>1.0</v>
      </c>
      <c r="T23" s="25">
        <v>1.0</v>
      </c>
      <c r="U23" s="25">
        <v>1.0</v>
      </c>
      <c r="V23" s="25">
        <v>1.0</v>
      </c>
      <c r="W23" s="25">
        <v>1.0</v>
      </c>
      <c r="X23" s="25">
        <v>1.0</v>
      </c>
      <c r="Y23" s="25">
        <v>1.0</v>
      </c>
      <c r="Z23" s="25">
        <v>1.0</v>
      </c>
      <c r="AA23" s="25">
        <v>1.0</v>
      </c>
      <c r="AB23" s="25">
        <v>1.0</v>
      </c>
      <c r="AC23" s="25">
        <v>1.0</v>
      </c>
      <c r="AD23" s="25">
        <v>1.0</v>
      </c>
      <c r="AE23" s="25">
        <v>1.0</v>
      </c>
      <c r="AF23" s="25">
        <v>0.0</v>
      </c>
      <c r="AG23" s="25">
        <v>0.0</v>
      </c>
      <c r="AH23" s="25">
        <v>0.0</v>
      </c>
      <c r="AI23" s="25">
        <v>0.0</v>
      </c>
      <c r="AJ23" s="25">
        <v>0.0</v>
      </c>
      <c r="AK23" s="25">
        <v>0.0</v>
      </c>
      <c r="AL23" s="25">
        <v>0.0</v>
      </c>
      <c r="AM23" s="25">
        <v>0.0</v>
      </c>
      <c r="AN23" s="25">
        <v>1.0</v>
      </c>
      <c r="AO23" s="25">
        <v>1.0</v>
      </c>
      <c r="AP23" s="25">
        <v>1.0</v>
      </c>
      <c r="AQ23" s="25">
        <v>1.0</v>
      </c>
      <c r="AR23" s="25">
        <v>1.0</v>
      </c>
      <c r="AS23" s="25">
        <f t="shared" si="1"/>
        <v>28</v>
      </c>
      <c r="AT23" s="29">
        <f t="shared" si="2"/>
        <v>12</v>
      </c>
      <c r="AU23" s="29"/>
      <c r="AV23" s="29"/>
      <c r="AW23" s="29"/>
      <c r="AX23" s="29"/>
    </row>
    <row r="24">
      <c r="A24" s="7">
        <v>6977337.0</v>
      </c>
      <c r="B24" s="23" t="s">
        <v>203</v>
      </c>
      <c r="C24" s="24">
        <v>2.0</v>
      </c>
      <c r="D24" s="25" t="s">
        <v>94</v>
      </c>
      <c r="E24" s="30">
        <v>1.0</v>
      </c>
      <c r="F24" s="25">
        <v>1.0</v>
      </c>
      <c r="G24" s="25">
        <v>1.0</v>
      </c>
      <c r="H24" s="25">
        <v>1.0</v>
      </c>
      <c r="I24" s="88">
        <v>1.0</v>
      </c>
      <c r="J24" s="25">
        <v>1.0</v>
      </c>
      <c r="K24" s="25">
        <v>1.0</v>
      </c>
      <c r="L24" s="25">
        <v>1.0</v>
      </c>
      <c r="M24" s="25">
        <v>1.0</v>
      </c>
      <c r="N24" s="25">
        <v>1.0</v>
      </c>
      <c r="O24" s="25">
        <v>1.0</v>
      </c>
      <c r="P24" s="25">
        <v>1.0</v>
      </c>
      <c r="Q24" s="25">
        <v>1.0</v>
      </c>
      <c r="R24" s="25">
        <v>1.0</v>
      </c>
      <c r="S24" s="25">
        <v>1.0</v>
      </c>
      <c r="T24" s="25">
        <v>1.0</v>
      </c>
      <c r="U24" s="25">
        <v>1.0</v>
      </c>
      <c r="V24" s="25">
        <v>1.0</v>
      </c>
      <c r="W24" s="25">
        <v>1.0</v>
      </c>
      <c r="X24" s="25">
        <v>1.0</v>
      </c>
      <c r="Y24" s="25">
        <v>1.0</v>
      </c>
      <c r="Z24" s="25">
        <v>1.0</v>
      </c>
      <c r="AA24" s="25">
        <v>1.0</v>
      </c>
      <c r="AB24" s="25">
        <v>1.0</v>
      </c>
      <c r="AC24" s="25">
        <v>1.0</v>
      </c>
      <c r="AD24" s="25">
        <v>1.0</v>
      </c>
      <c r="AE24" s="25">
        <v>1.0</v>
      </c>
      <c r="AF24" s="25">
        <v>0.5</v>
      </c>
      <c r="AG24" s="25">
        <v>0.0</v>
      </c>
      <c r="AH24" s="25">
        <v>0.0</v>
      </c>
      <c r="AI24" s="25">
        <v>0.0</v>
      </c>
      <c r="AJ24" s="25">
        <v>0.0</v>
      </c>
      <c r="AK24" s="25">
        <v>0.0</v>
      </c>
      <c r="AL24" s="25">
        <v>0.0</v>
      </c>
      <c r="AM24" s="25">
        <v>0.0</v>
      </c>
      <c r="AN24" s="25">
        <v>0.0</v>
      </c>
      <c r="AO24" s="25">
        <v>0.0</v>
      </c>
      <c r="AP24" s="25">
        <v>0.0</v>
      </c>
      <c r="AQ24" s="25">
        <v>0.0</v>
      </c>
      <c r="AR24" s="25">
        <v>0.0</v>
      </c>
      <c r="AS24" s="25">
        <f t="shared" si="1"/>
        <v>27.5</v>
      </c>
      <c r="AT24" s="29">
        <f t="shared" si="2"/>
        <v>12.5</v>
      </c>
      <c r="AU24" s="29"/>
      <c r="AV24" s="29"/>
      <c r="AW24" s="29"/>
      <c r="AX24" s="29"/>
    </row>
    <row r="25">
      <c r="A25" s="7">
        <v>7236705.0</v>
      </c>
      <c r="B25" s="23" t="s">
        <v>243</v>
      </c>
      <c r="C25" s="24">
        <v>5.0</v>
      </c>
      <c r="D25" s="25" t="s">
        <v>112</v>
      </c>
      <c r="E25" s="30">
        <v>1.0</v>
      </c>
      <c r="F25" s="25">
        <v>1.0</v>
      </c>
      <c r="G25" s="25">
        <v>1.0</v>
      </c>
      <c r="H25" s="25">
        <v>1.0</v>
      </c>
      <c r="I25" s="88">
        <v>1.0</v>
      </c>
      <c r="J25" s="25">
        <v>1.0</v>
      </c>
      <c r="K25" s="25">
        <v>1.0</v>
      </c>
      <c r="L25" s="25">
        <v>1.0</v>
      </c>
      <c r="M25" s="25">
        <v>1.0</v>
      </c>
      <c r="N25" s="25">
        <v>1.0</v>
      </c>
      <c r="O25" s="25">
        <v>1.0</v>
      </c>
      <c r="P25" s="25">
        <v>1.0</v>
      </c>
      <c r="Q25" s="25">
        <v>1.0</v>
      </c>
      <c r="R25" s="25">
        <v>1.0</v>
      </c>
      <c r="S25" s="25">
        <v>1.0</v>
      </c>
      <c r="T25" s="25">
        <v>1.0</v>
      </c>
      <c r="U25" s="25">
        <v>1.0</v>
      </c>
      <c r="V25" s="25">
        <v>1.0</v>
      </c>
      <c r="W25" s="25">
        <v>1.0</v>
      </c>
      <c r="X25" s="25">
        <v>1.0</v>
      </c>
      <c r="Y25" s="25">
        <v>1.0</v>
      </c>
      <c r="Z25" s="25">
        <v>1.0</v>
      </c>
      <c r="AA25" s="25">
        <v>1.0</v>
      </c>
      <c r="AB25" s="25">
        <v>1.0</v>
      </c>
      <c r="AC25" s="25">
        <v>1.0</v>
      </c>
      <c r="AD25" s="25">
        <v>1.0</v>
      </c>
      <c r="AE25" s="25">
        <v>1.0</v>
      </c>
      <c r="AF25" s="25">
        <v>1.0</v>
      </c>
      <c r="AG25" s="25">
        <v>1.0</v>
      </c>
      <c r="AH25" s="25">
        <v>1.0</v>
      </c>
      <c r="AI25" s="25">
        <v>1.0</v>
      </c>
      <c r="AJ25" s="25">
        <v>1.0</v>
      </c>
      <c r="AK25" s="25">
        <v>1.0</v>
      </c>
      <c r="AL25" s="25">
        <v>1.0</v>
      </c>
      <c r="AM25" s="25">
        <v>0.5</v>
      </c>
      <c r="AN25" s="25">
        <v>0.0</v>
      </c>
      <c r="AO25" s="25">
        <v>0.0</v>
      </c>
      <c r="AP25" s="25">
        <v>0.0</v>
      </c>
      <c r="AQ25" s="25">
        <v>0.0</v>
      </c>
      <c r="AR25" s="25">
        <v>0.0</v>
      </c>
      <c r="AS25" s="25">
        <f t="shared" si="1"/>
        <v>34.5</v>
      </c>
      <c r="AT25" s="29">
        <f t="shared" si="2"/>
        <v>5.5</v>
      </c>
      <c r="AU25" s="29"/>
      <c r="AV25" s="29"/>
      <c r="AW25" s="29"/>
      <c r="AX25" s="29"/>
    </row>
    <row r="26">
      <c r="A26" s="7">
        <v>5785566.0</v>
      </c>
      <c r="B26" s="23" t="s">
        <v>59</v>
      </c>
      <c r="C26" s="24">
        <v>3.0</v>
      </c>
      <c r="D26" s="25" t="s">
        <v>87</v>
      </c>
      <c r="E26" s="30">
        <v>1.0</v>
      </c>
      <c r="F26" s="25">
        <v>1.0</v>
      </c>
      <c r="G26" s="25">
        <v>1.0</v>
      </c>
      <c r="H26" s="25">
        <v>1.0</v>
      </c>
      <c r="I26" s="88">
        <v>1.0</v>
      </c>
      <c r="J26" s="25">
        <v>1.0</v>
      </c>
      <c r="K26" s="25">
        <v>1.0</v>
      </c>
      <c r="L26" s="25">
        <v>1.0</v>
      </c>
      <c r="M26" s="25">
        <v>1.0</v>
      </c>
      <c r="N26" s="25">
        <v>1.0</v>
      </c>
      <c r="O26" s="25">
        <v>1.0</v>
      </c>
      <c r="P26" s="25">
        <v>1.0</v>
      </c>
      <c r="Q26" s="25">
        <v>1.0</v>
      </c>
      <c r="R26" s="25">
        <v>1.0</v>
      </c>
      <c r="S26" s="25">
        <v>1.0</v>
      </c>
      <c r="T26" s="25">
        <v>1.0</v>
      </c>
      <c r="U26" s="25">
        <v>1.0</v>
      </c>
      <c r="V26" s="25">
        <v>1.0</v>
      </c>
      <c r="W26" s="25">
        <v>1.0</v>
      </c>
      <c r="X26" s="25">
        <v>1.0</v>
      </c>
      <c r="Y26" s="25">
        <v>1.0</v>
      </c>
      <c r="Z26" s="25">
        <v>1.0</v>
      </c>
      <c r="AA26" s="25">
        <v>1.0</v>
      </c>
      <c r="AB26" s="25">
        <v>1.0</v>
      </c>
      <c r="AC26" s="25">
        <v>1.0</v>
      </c>
      <c r="AD26" s="25">
        <v>1.0</v>
      </c>
      <c r="AE26" s="25">
        <v>1.0</v>
      </c>
      <c r="AF26" s="25">
        <v>1.0</v>
      </c>
      <c r="AG26" s="25">
        <v>0.0</v>
      </c>
      <c r="AH26" s="25">
        <v>0.0</v>
      </c>
      <c r="AI26" s="25">
        <v>0.0</v>
      </c>
      <c r="AJ26" s="25">
        <v>0.0</v>
      </c>
      <c r="AK26" s="25">
        <v>0.0</v>
      </c>
      <c r="AL26" s="25">
        <v>0.0</v>
      </c>
      <c r="AM26" s="25">
        <v>0.0</v>
      </c>
      <c r="AN26" s="25">
        <v>0.0</v>
      </c>
      <c r="AO26" s="25">
        <v>0.0</v>
      </c>
      <c r="AP26" s="25">
        <v>0.0</v>
      </c>
      <c r="AQ26" s="25">
        <v>0.0</v>
      </c>
      <c r="AR26" s="25">
        <v>0.0</v>
      </c>
      <c r="AS26" s="25">
        <f t="shared" si="1"/>
        <v>28</v>
      </c>
      <c r="AT26" s="29">
        <f t="shared" si="2"/>
        <v>12</v>
      </c>
      <c r="AU26" s="29"/>
      <c r="AV26" s="29"/>
      <c r="AW26" s="29"/>
      <c r="AX26" s="29"/>
    </row>
    <row r="27">
      <c r="A27" s="7">
        <v>3782633.0</v>
      </c>
      <c r="B27" s="23" t="s">
        <v>207</v>
      </c>
      <c r="C27" s="24">
        <v>3.0</v>
      </c>
      <c r="D27" s="25" t="s">
        <v>94</v>
      </c>
      <c r="E27" s="30">
        <v>1.0</v>
      </c>
      <c r="F27" s="25">
        <v>1.0</v>
      </c>
      <c r="G27" s="25">
        <v>1.0</v>
      </c>
      <c r="H27" s="25">
        <v>1.0</v>
      </c>
      <c r="I27" s="88">
        <v>1.0</v>
      </c>
      <c r="J27" s="25">
        <v>1.0</v>
      </c>
      <c r="K27" s="25">
        <v>1.0</v>
      </c>
      <c r="L27" s="25">
        <v>1.0</v>
      </c>
      <c r="M27" s="25">
        <v>0.5</v>
      </c>
      <c r="N27" s="25">
        <v>0.0</v>
      </c>
      <c r="O27" s="25">
        <v>0.0</v>
      </c>
      <c r="P27" s="25">
        <v>0.0</v>
      </c>
      <c r="Q27" s="25">
        <v>0.0</v>
      </c>
      <c r="R27" s="25">
        <v>0.0</v>
      </c>
      <c r="S27" s="25">
        <v>0.0</v>
      </c>
      <c r="T27" s="25">
        <v>0.5</v>
      </c>
      <c r="U27" s="25">
        <v>1.0</v>
      </c>
      <c r="V27" s="25">
        <v>1.0</v>
      </c>
      <c r="W27" s="25">
        <v>1.0</v>
      </c>
      <c r="X27" s="25">
        <v>1.0</v>
      </c>
      <c r="Y27" s="25">
        <v>1.0</v>
      </c>
      <c r="Z27" s="25">
        <v>1.0</v>
      </c>
      <c r="AA27" s="25">
        <v>1.0</v>
      </c>
      <c r="AB27" s="25">
        <v>1.0</v>
      </c>
      <c r="AC27" s="25">
        <v>1.0</v>
      </c>
      <c r="AD27" s="25">
        <v>1.0</v>
      </c>
      <c r="AE27" s="25">
        <v>1.0</v>
      </c>
      <c r="AF27" s="25">
        <v>1.0</v>
      </c>
      <c r="AG27" s="25">
        <v>1.0</v>
      </c>
      <c r="AH27" s="25">
        <v>1.0</v>
      </c>
      <c r="AI27" s="25">
        <v>1.0</v>
      </c>
      <c r="AJ27" s="25">
        <v>1.0</v>
      </c>
      <c r="AK27" s="25">
        <v>1.0</v>
      </c>
      <c r="AL27" s="25">
        <v>1.0</v>
      </c>
      <c r="AM27" s="25">
        <v>1.0</v>
      </c>
      <c r="AN27" s="25">
        <v>0.0</v>
      </c>
      <c r="AO27" s="25">
        <v>0.0</v>
      </c>
      <c r="AP27" s="25">
        <v>0.0</v>
      </c>
      <c r="AQ27" s="25">
        <v>0.0</v>
      </c>
      <c r="AR27" s="25">
        <v>0.0</v>
      </c>
      <c r="AS27" s="25">
        <f t="shared" si="1"/>
        <v>28</v>
      </c>
      <c r="AT27" s="29">
        <f t="shared" si="2"/>
        <v>12</v>
      </c>
      <c r="AU27" s="29"/>
      <c r="AV27" s="29"/>
      <c r="AW27" s="29"/>
      <c r="AX27" s="29"/>
    </row>
    <row r="28">
      <c r="A28" s="7">
        <v>5895057.0</v>
      </c>
      <c r="B28" s="23" t="s">
        <v>263</v>
      </c>
      <c r="C28" s="24">
        <v>2.0</v>
      </c>
      <c r="D28" s="25" t="s">
        <v>94</v>
      </c>
      <c r="E28" s="30">
        <v>1.0</v>
      </c>
      <c r="F28" s="25">
        <v>1.0</v>
      </c>
      <c r="G28" s="25">
        <v>1.0</v>
      </c>
      <c r="H28" s="25">
        <v>1.0</v>
      </c>
      <c r="I28" s="88">
        <v>1.0</v>
      </c>
      <c r="J28" s="25">
        <v>1.0</v>
      </c>
      <c r="K28" s="25">
        <v>1.0</v>
      </c>
      <c r="L28" s="25">
        <v>1.0</v>
      </c>
      <c r="M28" s="25">
        <v>1.0</v>
      </c>
      <c r="N28" s="25">
        <v>1.0</v>
      </c>
      <c r="O28" s="25">
        <v>1.0</v>
      </c>
      <c r="P28" s="25">
        <v>1.0</v>
      </c>
      <c r="Q28" s="25">
        <v>1.0</v>
      </c>
      <c r="R28" s="25">
        <v>1.0</v>
      </c>
      <c r="S28" s="25">
        <v>1.0</v>
      </c>
      <c r="T28" s="25">
        <v>1.0</v>
      </c>
      <c r="U28" s="25">
        <v>1.0</v>
      </c>
      <c r="V28" s="25">
        <v>1.0</v>
      </c>
      <c r="W28" s="25">
        <v>1.0</v>
      </c>
      <c r="X28" s="25">
        <v>1.0</v>
      </c>
      <c r="Y28" s="25">
        <v>1.0</v>
      </c>
      <c r="Z28" s="25">
        <v>1.0</v>
      </c>
      <c r="AA28" s="25">
        <v>1.0</v>
      </c>
      <c r="AB28" s="25">
        <v>1.0</v>
      </c>
      <c r="AC28" s="25">
        <v>1.0</v>
      </c>
      <c r="AD28" s="25">
        <v>1.0</v>
      </c>
      <c r="AE28" s="25">
        <v>1.0</v>
      </c>
      <c r="AF28" s="25">
        <v>1.0</v>
      </c>
      <c r="AG28" s="25">
        <v>0.0</v>
      </c>
      <c r="AH28" s="25">
        <v>0.0</v>
      </c>
      <c r="AI28" s="25">
        <v>0.0</v>
      </c>
      <c r="AJ28" s="25">
        <v>0.0</v>
      </c>
      <c r="AK28" s="25">
        <v>0.0</v>
      </c>
      <c r="AL28" s="25">
        <v>0.0</v>
      </c>
      <c r="AM28" s="25">
        <v>0.0</v>
      </c>
      <c r="AN28" s="25">
        <v>0.0</v>
      </c>
      <c r="AO28" s="25">
        <v>0.0</v>
      </c>
      <c r="AP28" s="25">
        <v>0.0</v>
      </c>
      <c r="AQ28" s="25">
        <v>0.0</v>
      </c>
      <c r="AR28" s="25">
        <v>0.0</v>
      </c>
      <c r="AS28" s="25">
        <f t="shared" si="1"/>
        <v>28</v>
      </c>
      <c r="AT28" s="29">
        <f t="shared" si="2"/>
        <v>12</v>
      </c>
      <c r="AU28" s="29"/>
      <c r="AV28" s="29"/>
      <c r="AW28" s="29"/>
      <c r="AX28" s="29"/>
    </row>
    <row r="29">
      <c r="A29" s="7">
        <v>5821097.0</v>
      </c>
      <c r="B29" s="23" t="s">
        <v>270</v>
      </c>
      <c r="C29" s="24">
        <v>1.0</v>
      </c>
      <c r="D29" s="25" t="s">
        <v>94</v>
      </c>
      <c r="E29" s="30">
        <v>1.0</v>
      </c>
      <c r="F29" s="25">
        <v>1.0</v>
      </c>
      <c r="G29" s="25">
        <v>1.0</v>
      </c>
      <c r="H29" s="25">
        <v>1.0</v>
      </c>
      <c r="I29" s="88">
        <v>1.0</v>
      </c>
      <c r="J29" s="25">
        <v>1.0</v>
      </c>
      <c r="K29" s="25">
        <v>1.0</v>
      </c>
      <c r="L29" s="25">
        <v>1.0</v>
      </c>
      <c r="M29" s="25">
        <v>1.0</v>
      </c>
      <c r="N29" s="25">
        <v>1.0</v>
      </c>
      <c r="O29" s="25">
        <v>1.0</v>
      </c>
      <c r="P29" s="25">
        <v>1.0</v>
      </c>
      <c r="Q29" s="25">
        <v>1.0</v>
      </c>
      <c r="R29" s="25">
        <v>1.0</v>
      </c>
      <c r="S29" s="25">
        <v>1.0</v>
      </c>
      <c r="T29" s="25">
        <v>1.0</v>
      </c>
      <c r="U29" s="25">
        <v>1.0</v>
      </c>
      <c r="V29" s="25">
        <v>1.0</v>
      </c>
      <c r="W29" s="25">
        <v>1.0</v>
      </c>
      <c r="X29" s="25">
        <v>1.0</v>
      </c>
      <c r="Y29" s="25">
        <v>1.0</v>
      </c>
      <c r="Z29" s="25">
        <v>1.0</v>
      </c>
      <c r="AA29" s="25">
        <v>1.0</v>
      </c>
      <c r="AB29" s="25">
        <v>1.0</v>
      </c>
      <c r="AC29" s="25">
        <v>1.0</v>
      </c>
      <c r="AD29" s="25">
        <v>1.0</v>
      </c>
      <c r="AE29" s="25">
        <v>1.0</v>
      </c>
      <c r="AF29" s="25">
        <v>1.0</v>
      </c>
      <c r="AG29" s="25">
        <v>0.0</v>
      </c>
      <c r="AH29" s="25">
        <v>0.0</v>
      </c>
      <c r="AI29" s="25">
        <v>0.0</v>
      </c>
      <c r="AJ29" s="25">
        <v>0.0</v>
      </c>
      <c r="AK29" s="25">
        <v>0.0</v>
      </c>
      <c r="AL29" s="25">
        <v>0.0</v>
      </c>
      <c r="AM29" s="25">
        <v>0.0</v>
      </c>
      <c r="AN29" s="25">
        <v>0.0</v>
      </c>
      <c r="AO29" s="25">
        <v>0.0</v>
      </c>
      <c r="AP29" s="25">
        <v>0.0</v>
      </c>
      <c r="AQ29" s="25">
        <v>0.0</v>
      </c>
      <c r="AR29" s="25">
        <v>0.0</v>
      </c>
      <c r="AS29" s="25">
        <f t="shared" si="1"/>
        <v>28</v>
      </c>
      <c r="AT29" s="29">
        <f t="shared" si="2"/>
        <v>12</v>
      </c>
      <c r="AU29" s="29"/>
      <c r="AV29" s="29"/>
      <c r="AW29" s="29"/>
      <c r="AX29" s="29"/>
    </row>
    <row r="30">
      <c r="A30" s="7">
        <v>8140590.0</v>
      </c>
      <c r="B30" s="23" t="s">
        <v>160</v>
      </c>
      <c r="C30" s="24">
        <v>1.0</v>
      </c>
      <c r="D30" s="25" t="s">
        <v>94</v>
      </c>
      <c r="E30" s="30">
        <v>1.0</v>
      </c>
      <c r="F30" s="25">
        <v>1.0</v>
      </c>
      <c r="G30" s="25">
        <v>0.5</v>
      </c>
      <c r="H30" s="25">
        <v>0.0</v>
      </c>
      <c r="I30" s="88">
        <v>0.0</v>
      </c>
      <c r="J30" s="25">
        <v>0.0</v>
      </c>
      <c r="K30" s="25">
        <v>0.0</v>
      </c>
      <c r="L30" s="25">
        <v>0.5</v>
      </c>
      <c r="M30" s="25">
        <v>1.0</v>
      </c>
      <c r="N30" s="25">
        <v>1.0</v>
      </c>
      <c r="O30" s="25">
        <v>1.0</v>
      </c>
      <c r="P30" s="25">
        <v>1.0</v>
      </c>
      <c r="Q30" s="25">
        <v>1.0</v>
      </c>
      <c r="R30" s="25">
        <v>1.0</v>
      </c>
      <c r="S30" s="25">
        <v>1.0</v>
      </c>
      <c r="T30" s="25">
        <v>1.0</v>
      </c>
      <c r="U30" s="25">
        <v>1.0</v>
      </c>
      <c r="V30" s="25">
        <v>1.0</v>
      </c>
      <c r="W30" s="25">
        <v>1.0</v>
      </c>
      <c r="X30" s="25">
        <v>1.0</v>
      </c>
      <c r="Y30" s="25">
        <v>1.0</v>
      </c>
      <c r="Z30" s="25">
        <v>1.0</v>
      </c>
      <c r="AA30" s="25">
        <v>1.0</v>
      </c>
      <c r="AB30" s="25">
        <v>1.0</v>
      </c>
      <c r="AC30" s="25">
        <v>1.0</v>
      </c>
      <c r="AD30" s="25">
        <v>1.0</v>
      </c>
      <c r="AE30" s="25">
        <v>1.0</v>
      </c>
      <c r="AF30" s="25">
        <v>1.0</v>
      </c>
      <c r="AG30" s="25">
        <v>1.0</v>
      </c>
      <c r="AH30" s="25">
        <v>0.5</v>
      </c>
      <c r="AI30" s="25">
        <v>0.0</v>
      </c>
      <c r="AJ30" s="25">
        <v>0.0</v>
      </c>
      <c r="AK30" s="25">
        <v>0.5</v>
      </c>
      <c r="AL30" s="25">
        <v>1.0</v>
      </c>
      <c r="AM30" s="25">
        <v>1.0</v>
      </c>
      <c r="AN30" s="25">
        <v>1.0</v>
      </c>
      <c r="AO30" s="25">
        <v>1.0</v>
      </c>
      <c r="AP30" s="25">
        <v>0.5</v>
      </c>
      <c r="AQ30" s="25">
        <v>0.0</v>
      </c>
      <c r="AR30" s="25">
        <v>0.0</v>
      </c>
      <c r="AS30" s="25">
        <f t="shared" si="1"/>
        <v>29.5</v>
      </c>
      <c r="AT30" s="29">
        <f t="shared" si="2"/>
        <v>10.5</v>
      </c>
      <c r="AU30" s="29"/>
      <c r="AV30" s="29"/>
      <c r="AW30" s="29"/>
      <c r="AX30" s="29"/>
    </row>
    <row r="31">
      <c r="A31" s="7">
        <v>7023922.0</v>
      </c>
      <c r="B31" s="23" t="s">
        <v>182</v>
      </c>
      <c r="C31" s="24">
        <v>2.0</v>
      </c>
      <c r="D31" s="25" t="s">
        <v>146</v>
      </c>
      <c r="E31" s="30">
        <v>0.0</v>
      </c>
      <c r="F31" s="25">
        <v>0.0</v>
      </c>
      <c r="G31" s="25">
        <v>0.0</v>
      </c>
      <c r="H31" s="25">
        <v>0.0</v>
      </c>
      <c r="I31" s="88">
        <v>0.0</v>
      </c>
      <c r="J31" s="25">
        <v>0.0</v>
      </c>
      <c r="K31" s="25">
        <v>0.0</v>
      </c>
      <c r="L31" s="25">
        <v>0.0</v>
      </c>
      <c r="M31" s="25">
        <v>0.0</v>
      </c>
      <c r="N31" s="25">
        <v>0.0</v>
      </c>
      <c r="O31" s="25">
        <v>0.0</v>
      </c>
      <c r="P31" s="25">
        <v>0.0</v>
      </c>
      <c r="Q31" s="25">
        <v>0.0</v>
      </c>
      <c r="R31" s="25">
        <v>0.0</v>
      </c>
      <c r="S31" s="25">
        <v>0.5</v>
      </c>
      <c r="T31" s="25">
        <v>0.5</v>
      </c>
      <c r="U31" s="25">
        <v>0.0</v>
      </c>
      <c r="V31" s="25">
        <v>0.0</v>
      </c>
      <c r="W31" s="25">
        <v>0.0</v>
      </c>
      <c r="X31" s="25">
        <v>0.5</v>
      </c>
      <c r="Y31" s="25">
        <v>1.0</v>
      </c>
      <c r="Z31" s="25">
        <v>1.0</v>
      </c>
      <c r="AA31" s="25">
        <v>1.0</v>
      </c>
      <c r="AB31" s="25">
        <v>1.0</v>
      </c>
      <c r="AC31" s="25">
        <v>1.0</v>
      </c>
      <c r="AD31" s="25">
        <v>0.5</v>
      </c>
      <c r="AE31" s="25">
        <v>0.0</v>
      </c>
      <c r="AF31" s="25">
        <v>0.0</v>
      </c>
      <c r="AG31" s="25">
        <v>0.5</v>
      </c>
      <c r="AH31" s="25">
        <v>0.5</v>
      </c>
      <c r="AI31" s="25">
        <v>0.0</v>
      </c>
      <c r="AJ31" s="25">
        <v>0.0</v>
      </c>
      <c r="AK31" s="25">
        <v>0.0</v>
      </c>
      <c r="AL31" s="25">
        <v>0.5</v>
      </c>
      <c r="AM31" s="25">
        <v>1.0</v>
      </c>
      <c r="AN31" s="25">
        <v>1.0</v>
      </c>
      <c r="AO31" s="25">
        <v>1.0</v>
      </c>
      <c r="AP31" s="25">
        <v>1.0</v>
      </c>
      <c r="AQ31" s="25">
        <v>1.0</v>
      </c>
      <c r="AR31" s="25">
        <v>0.5</v>
      </c>
      <c r="AS31" s="25">
        <f t="shared" si="1"/>
        <v>14</v>
      </c>
      <c r="AT31" s="29">
        <f t="shared" si="2"/>
        <v>26</v>
      </c>
      <c r="AU31" s="29"/>
      <c r="AV31" s="29"/>
      <c r="AW31" s="29"/>
      <c r="AX31" s="29"/>
    </row>
    <row r="32">
      <c r="A32" s="7">
        <v>6977049.0</v>
      </c>
      <c r="B32" s="23" t="s">
        <v>284</v>
      </c>
      <c r="C32" s="24">
        <v>3.0</v>
      </c>
      <c r="D32" s="25" t="s">
        <v>94</v>
      </c>
      <c r="E32" s="30">
        <v>1.0</v>
      </c>
      <c r="F32" s="25">
        <v>1.0</v>
      </c>
      <c r="G32" s="25">
        <v>1.0</v>
      </c>
      <c r="H32" s="25">
        <v>1.0</v>
      </c>
      <c r="I32" s="88">
        <v>1.0</v>
      </c>
      <c r="J32" s="25">
        <v>1.0</v>
      </c>
      <c r="K32" s="25">
        <v>1.0</v>
      </c>
      <c r="L32" s="25">
        <v>1.0</v>
      </c>
      <c r="M32" s="25">
        <v>1.0</v>
      </c>
      <c r="N32" s="25">
        <v>1.0</v>
      </c>
      <c r="O32" s="25">
        <v>1.0</v>
      </c>
      <c r="P32" s="25">
        <v>1.0</v>
      </c>
      <c r="Q32" s="25">
        <v>1.0</v>
      </c>
      <c r="R32" s="25">
        <v>1.0</v>
      </c>
      <c r="S32" s="25">
        <v>1.0</v>
      </c>
      <c r="T32" s="25">
        <v>1.0</v>
      </c>
      <c r="U32" s="25">
        <v>0.5</v>
      </c>
      <c r="V32" s="25">
        <v>0.0</v>
      </c>
      <c r="W32" s="25">
        <v>0.0</v>
      </c>
      <c r="X32" s="25">
        <v>0.0</v>
      </c>
      <c r="Y32" s="25">
        <v>0.0</v>
      </c>
      <c r="Z32" s="25">
        <v>0.5</v>
      </c>
      <c r="AA32" s="25">
        <v>1.0</v>
      </c>
      <c r="AB32" s="25">
        <v>1.0</v>
      </c>
      <c r="AC32" s="25">
        <v>1.0</v>
      </c>
      <c r="AD32" s="25">
        <v>0.5</v>
      </c>
      <c r="AE32" s="25">
        <v>0.0</v>
      </c>
      <c r="AF32" s="25">
        <v>0.0</v>
      </c>
      <c r="AG32" s="25">
        <v>0.0</v>
      </c>
      <c r="AH32" s="25">
        <v>0.0</v>
      </c>
      <c r="AI32" s="25">
        <v>0.0</v>
      </c>
      <c r="AJ32" s="25">
        <v>0.5</v>
      </c>
      <c r="AK32" s="25">
        <v>1.0</v>
      </c>
      <c r="AL32" s="25">
        <v>1.0</v>
      </c>
      <c r="AM32" s="25">
        <v>1.0</v>
      </c>
      <c r="AN32" s="25">
        <v>1.0</v>
      </c>
      <c r="AO32" s="25">
        <v>1.0</v>
      </c>
      <c r="AP32" s="25">
        <v>0.5</v>
      </c>
      <c r="AQ32" s="25">
        <v>0.0</v>
      </c>
      <c r="AR32" s="25">
        <v>0.0</v>
      </c>
      <c r="AS32" s="25">
        <f t="shared" si="1"/>
        <v>26.5</v>
      </c>
      <c r="AT32" s="29">
        <f t="shared" si="2"/>
        <v>13.5</v>
      </c>
      <c r="AU32" s="29"/>
      <c r="AV32" s="29"/>
      <c r="AW32" s="29"/>
      <c r="AX32" s="29"/>
    </row>
    <row r="33">
      <c r="A33" s="7">
        <v>8202000.0</v>
      </c>
      <c r="B33" s="23" t="s">
        <v>236</v>
      </c>
      <c r="C33" s="24">
        <v>2.0</v>
      </c>
      <c r="D33" s="25" t="s">
        <v>94</v>
      </c>
      <c r="E33" s="30">
        <v>1.0</v>
      </c>
      <c r="F33" s="25">
        <v>1.0</v>
      </c>
      <c r="G33" s="25">
        <v>1.0</v>
      </c>
      <c r="H33" s="25">
        <v>1.0</v>
      </c>
      <c r="I33" s="88">
        <v>1.0</v>
      </c>
      <c r="J33" s="25">
        <v>1.0</v>
      </c>
      <c r="K33" s="25">
        <v>1.0</v>
      </c>
      <c r="L33" s="25">
        <v>1.0</v>
      </c>
      <c r="M33" s="25">
        <v>1.0</v>
      </c>
      <c r="N33" s="25">
        <v>1.0</v>
      </c>
      <c r="O33" s="25">
        <v>1.0</v>
      </c>
      <c r="P33" s="25">
        <v>1.0</v>
      </c>
      <c r="Q33" s="25">
        <v>1.0</v>
      </c>
      <c r="R33" s="25">
        <v>1.0</v>
      </c>
      <c r="S33" s="25">
        <v>1.0</v>
      </c>
      <c r="T33" s="25">
        <v>1.0</v>
      </c>
      <c r="U33" s="25">
        <v>1.0</v>
      </c>
      <c r="V33" s="25">
        <v>1.0</v>
      </c>
      <c r="W33" s="25">
        <v>1.0</v>
      </c>
      <c r="X33" s="25">
        <v>1.0</v>
      </c>
      <c r="Y33" s="25">
        <v>1.0</v>
      </c>
      <c r="Z33" s="25">
        <v>1.0</v>
      </c>
      <c r="AA33" s="25">
        <v>1.0</v>
      </c>
      <c r="AB33" s="25">
        <v>1.0</v>
      </c>
      <c r="AC33" s="25">
        <v>1.0</v>
      </c>
      <c r="AD33" s="25">
        <v>1.0</v>
      </c>
      <c r="AE33" s="25">
        <v>1.0</v>
      </c>
      <c r="AF33" s="25">
        <v>0.5</v>
      </c>
      <c r="AG33" s="25">
        <v>0.0</v>
      </c>
      <c r="AH33" s="25">
        <v>0.5</v>
      </c>
      <c r="AI33" s="25">
        <v>0.0</v>
      </c>
      <c r="AJ33" s="25">
        <v>0.0</v>
      </c>
      <c r="AK33" s="25">
        <v>0.0</v>
      </c>
      <c r="AL33" s="25">
        <v>0.0</v>
      </c>
      <c r="AM33" s="25">
        <v>0.0</v>
      </c>
      <c r="AN33" s="25">
        <v>0.0</v>
      </c>
      <c r="AO33" s="25">
        <v>0.0</v>
      </c>
      <c r="AP33" s="25">
        <v>0.0</v>
      </c>
      <c r="AQ33" s="25">
        <v>0.0</v>
      </c>
      <c r="AR33" s="25">
        <v>0.0</v>
      </c>
      <c r="AS33" s="25">
        <f t="shared" si="1"/>
        <v>28</v>
      </c>
      <c r="AT33" s="29">
        <f t="shared" si="2"/>
        <v>12</v>
      </c>
      <c r="AU33" s="29"/>
      <c r="AV33" s="29"/>
      <c r="AW33" s="29"/>
      <c r="AX33" s="29"/>
    </row>
    <row r="34">
      <c r="A34" s="7">
        <v>5053743.0</v>
      </c>
      <c r="B34" s="23" t="s">
        <v>290</v>
      </c>
      <c r="C34" s="24">
        <v>4.0</v>
      </c>
      <c r="D34" s="25" t="s">
        <v>146</v>
      </c>
      <c r="E34" s="30">
        <v>1.0</v>
      </c>
      <c r="F34" s="25">
        <v>1.0</v>
      </c>
      <c r="G34" s="25">
        <v>1.0</v>
      </c>
      <c r="H34" s="25">
        <v>1.0</v>
      </c>
      <c r="I34" s="88">
        <v>1.0</v>
      </c>
      <c r="J34" s="25">
        <v>1.0</v>
      </c>
      <c r="K34" s="25">
        <v>1.0</v>
      </c>
      <c r="L34" s="25">
        <v>1.0</v>
      </c>
      <c r="M34" s="25">
        <v>1.0</v>
      </c>
      <c r="N34" s="25">
        <v>1.0</v>
      </c>
      <c r="O34" s="25">
        <v>1.0</v>
      </c>
      <c r="P34" s="25">
        <v>1.0</v>
      </c>
      <c r="Q34" s="25">
        <v>1.0</v>
      </c>
      <c r="R34" s="25">
        <v>1.0</v>
      </c>
      <c r="S34" s="25">
        <v>1.0</v>
      </c>
      <c r="T34" s="25">
        <v>1.0</v>
      </c>
      <c r="U34" s="25">
        <v>1.0</v>
      </c>
      <c r="V34" s="25">
        <v>1.0</v>
      </c>
      <c r="W34" s="25">
        <v>1.0</v>
      </c>
      <c r="X34" s="25">
        <v>1.0</v>
      </c>
      <c r="Y34" s="25">
        <v>1.0</v>
      </c>
      <c r="Z34" s="25">
        <v>1.0</v>
      </c>
      <c r="AA34" s="25">
        <v>1.0</v>
      </c>
      <c r="AB34" s="25">
        <v>1.0</v>
      </c>
      <c r="AC34" s="25">
        <v>1.0</v>
      </c>
      <c r="AD34" s="25">
        <v>1.0</v>
      </c>
      <c r="AE34" s="25">
        <v>1.0</v>
      </c>
      <c r="AF34" s="25">
        <v>1.0</v>
      </c>
      <c r="AG34" s="25">
        <v>1.0</v>
      </c>
      <c r="AH34" s="25">
        <v>1.0</v>
      </c>
      <c r="AI34" s="25">
        <v>1.0</v>
      </c>
      <c r="AJ34" s="25">
        <v>1.0</v>
      </c>
      <c r="AK34" s="25">
        <v>1.0</v>
      </c>
      <c r="AL34" s="25">
        <v>1.0</v>
      </c>
      <c r="AM34" s="25">
        <v>1.0</v>
      </c>
      <c r="AN34" s="25">
        <v>1.0</v>
      </c>
      <c r="AO34" s="25">
        <v>1.0</v>
      </c>
      <c r="AP34" s="25">
        <v>1.0</v>
      </c>
      <c r="AQ34" s="25">
        <v>1.0</v>
      </c>
      <c r="AR34" s="25">
        <v>1.0</v>
      </c>
      <c r="AS34" s="25">
        <f t="shared" si="1"/>
        <v>40</v>
      </c>
      <c r="AT34" s="29">
        <f t="shared" si="2"/>
        <v>0</v>
      </c>
      <c r="AU34" s="29"/>
      <c r="AV34" s="29"/>
      <c r="AW34" s="29"/>
      <c r="AX34" s="29"/>
    </row>
    <row r="35">
      <c r="A35" s="7">
        <v>7144025.0</v>
      </c>
      <c r="B35" s="23" t="s">
        <v>291</v>
      </c>
      <c r="C35" s="24">
        <v>3.0</v>
      </c>
      <c r="D35" s="25" t="s">
        <v>94</v>
      </c>
      <c r="E35" s="30">
        <v>1.0</v>
      </c>
      <c r="F35" s="25">
        <v>1.0</v>
      </c>
      <c r="G35" s="25">
        <v>1.0</v>
      </c>
      <c r="H35" s="25">
        <v>1.0</v>
      </c>
      <c r="I35" s="88">
        <v>1.0</v>
      </c>
      <c r="J35" s="25">
        <v>1.0</v>
      </c>
      <c r="K35" s="25">
        <v>1.0</v>
      </c>
      <c r="L35" s="25">
        <v>1.0</v>
      </c>
      <c r="M35" s="25">
        <v>1.0</v>
      </c>
      <c r="N35" s="25">
        <v>1.0</v>
      </c>
      <c r="O35" s="25">
        <v>1.0</v>
      </c>
      <c r="P35" s="25">
        <v>1.0</v>
      </c>
      <c r="Q35" s="25">
        <v>1.0</v>
      </c>
      <c r="R35" s="25">
        <v>1.0</v>
      </c>
      <c r="S35" s="25">
        <v>1.0</v>
      </c>
      <c r="T35" s="25">
        <v>1.0</v>
      </c>
      <c r="U35" s="25">
        <v>1.0</v>
      </c>
      <c r="V35" s="25">
        <v>1.0</v>
      </c>
      <c r="W35" s="25">
        <v>1.0</v>
      </c>
      <c r="X35" s="25">
        <v>1.0</v>
      </c>
      <c r="Y35" s="25">
        <v>1.0</v>
      </c>
      <c r="Z35" s="25">
        <v>1.0</v>
      </c>
      <c r="AA35" s="25">
        <v>1.0</v>
      </c>
      <c r="AB35" s="25">
        <v>1.0</v>
      </c>
      <c r="AC35" s="25">
        <v>1.0</v>
      </c>
      <c r="AD35" s="25">
        <v>1.0</v>
      </c>
      <c r="AE35" s="25">
        <v>1.0</v>
      </c>
      <c r="AF35" s="25">
        <v>1.0</v>
      </c>
      <c r="AG35" s="25">
        <v>0.0</v>
      </c>
      <c r="AH35" s="25">
        <v>0.0</v>
      </c>
      <c r="AI35" s="25">
        <v>0.0</v>
      </c>
      <c r="AJ35" s="25">
        <v>0.0</v>
      </c>
      <c r="AK35" s="25">
        <v>0.0</v>
      </c>
      <c r="AL35" s="25">
        <v>0.0</v>
      </c>
      <c r="AM35" s="25">
        <v>0.0</v>
      </c>
      <c r="AN35" s="25">
        <v>0.0</v>
      </c>
      <c r="AO35" s="25">
        <v>0.0</v>
      </c>
      <c r="AP35" s="25">
        <v>0.0</v>
      </c>
      <c r="AQ35" s="25">
        <v>0.0</v>
      </c>
      <c r="AR35" s="25">
        <v>0.0</v>
      </c>
      <c r="AS35" s="25">
        <f t="shared" si="1"/>
        <v>28</v>
      </c>
      <c r="AT35" s="29">
        <f t="shared" si="2"/>
        <v>12</v>
      </c>
      <c r="AU35" s="29"/>
      <c r="AV35" s="29"/>
      <c r="AW35" s="29"/>
      <c r="AX35" s="29"/>
    </row>
    <row r="36">
      <c r="A36" s="7">
        <v>7081804.0</v>
      </c>
      <c r="B36" s="23" t="s">
        <v>75</v>
      </c>
      <c r="C36" s="24">
        <v>3.0</v>
      </c>
      <c r="D36" s="25" t="s">
        <v>94</v>
      </c>
      <c r="E36" s="30">
        <v>1.0</v>
      </c>
      <c r="F36" s="25">
        <v>1.0</v>
      </c>
      <c r="G36" s="25">
        <v>1.0</v>
      </c>
      <c r="H36" s="25">
        <v>1.0</v>
      </c>
      <c r="I36" s="88">
        <v>0.5</v>
      </c>
      <c r="J36" s="25">
        <v>0.0</v>
      </c>
      <c r="K36" s="25">
        <v>0.0</v>
      </c>
      <c r="L36" s="25">
        <v>0.5</v>
      </c>
      <c r="M36" s="25">
        <v>1.0</v>
      </c>
      <c r="N36" s="25">
        <v>1.0</v>
      </c>
      <c r="O36" s="25">
        <v>1.0</v>
      </c>
      <c r="P36" s="25">
        <v>0.5</v>
      </c>
      <c r="Q36" s="25">
        <v>0.0</v>
      </c>
      <c r="R36" s="25">
        <v>0.0</v>
      </c>
      <c r="S36" s="25">
        <v>0.5</v>
      </c>
      <c r="T36" s="25">
        <v>1.0</v>
      </c>
      <c r="U36" s="25">
        <v>1.0</v>
      </c>
      <c r="V36" s="25">
        <v>1.0</v>
      </c>
      <c r="W36" s="25">
        <v>1.0</v>
      </c>
      <c r="X36" s="25">
        <v>1.0</v>
      </c>
      <c r="Y36" s="25">
        <v>1.0</v>
      </c>
      <c r="Z36" s="25">
        <v>1.0</v>
      </c>
      <c r="AA36" s="25">
        <v>1.0</v>
      </c>
      <c r="AB36" s="25">
        <v>1.0</v>
      </c>
      <c r="AC36" s="25">
        <v>0.5</v>
      </c>
      <c r="AD36" s="25">
        <v>0.0</v>
      </c>
      <c r="AE36" s="25">
        <v>0.0</v>
      </c>
      <c r="AF36" s="25">
        <v>0.0</v>
      </c>
      <c r="AG36" s="25">
        <v>0.5</v>
      </c>
      <c r="AH36" s="25">
        <v>1.0</v>
      </c>
      <c r="AI36" s="25">
        <v>1.0</v>
      </c>
      <c r="AJ36" s="25">
        <v>1.0</v>
      </c>
      <c r="AK36" s="25">
        <v>1.0</v>
      </c>
      <c r="AL36" s="25">
        <v>1.0</v>
      </c>
      <c r="AM36" s="25">
        <v>1.0</v>
      </c>
      <c r="AN36" s="25">
        <v>1.0</v>
      </c>
      <c r="AO36" s="25">
        <v>1.0</v>
      </c>
      <c r="AP36" s="25">
        <v>1.0</v>
      </c>
      <c r="AQ36" s="25">
        <v>0.0</v>
      </c>
      <c r="AR36" s="25">
        <v>0.0</v>
      </c>
      <c r="AS36" s="25">
        <f t="shared" si="1"/>
        <v>28</v>
      </c>
      <c r="AT36" s="29">
        <f t="shared" si="2"/>
        <v>12</v>
      </c>
      <c r="AU36" s="29"/>
      <c r="AV36" s="29"/>
      <c r="AW36" s="29"/>
      <c r="AX36" s="29"/>
    </row>
    <row r="37">
      <c r="A37" s="7">
        <v>8115729.0</v>
      </c>
      <c r="B37" s="23" t="s">
        <v>209</v>
      </c>
      <c r="C37" s="24">
        <v>3.0</v>
      </c>
      <c r="D37" s="25" t="s">
        <v>94</v>
      </c>
      <c r="E37" s="30">
        <v>0.0</v>
      </c>
      <c r="F37" s="25">
        <v>0.5</v>
      </c>
      <c r="G37" s="25">
        <v>1.0</v>
      </c>
      <c r="H37" s="25">
        <v>1.0</v>
      </c>
      <c r="I37" s="88">
        <v>1.0</v>
      </c>
      <c r="J37" s="25">
        <v>1.0</v>
      </c>
      <c r="K37" s="25">
        <v>1.0</v>
      </c>
      <c r="L37" s="25">
        <v>1.0</v>
      </c>
      <c r="M37" s="25">
        <v>1.0</v>
      </c>
      <c r="N37" s="25">
        <v>0.5</v>
      </c>
      <c r="O37" s="25">
        <v>0.0</v>
      </c>
      <c r="P37" s="25">
        <v>0.0</v>
      </c>
      <c r="Q37" s="25">
        <v>0.0</v>
      </c>
      <c r="R37" s="25">
        <v>0.0</v>
      </c>
      <c r="S37" s="25">
        <v>0.0</v>
      </c>
      <c r="T37" s="25">
        <v>0.5</v>
      </c>
      <c r="U37" s="25">
        <v>1.0</v>
      </c>
      <c r="V37" s="25">
        <v>1.0</v>
      </c>
      <c r="W37" s="25">
        <v>1.0</v>
      </c>
      <c r="X37" s="25">
        <v>1.0</v>
      </c>
      <c r="Y37" s="25">
        <v>1.0</v>
      </c>
      <c r="Z37" s="25">
        <v>1.0</v>
      </c>
      <c r="AA37" s="25">
        <v>1.0</v>
      </c>
      <c r="AB37" s="25">
        <v>1.0</v>
      </c>
      <c r="AC37" s="25">
        <v>1.0</v>
      </c>
      <c r="AD37" s="25">
        <v>1.0</v>
      </c>
      <c r="AE37" s="25">
        <v>1.0</v>
      </c>
      <c r="AF37" s="25">
        <v>1.0</v>
      </c>
      <c r="AG37" s="25">
        <v>1.0</v>
      </c>
      <c r="AH37" s="25">
        <v>1.0</v>
      </c>
      <c r="AI37" s="25">
        <v>1.0</v>
      </c>
      <c r="AJ37" s="25">
        <v>1.0</v>
      </c>
      <c r="AK37" s="25">
        <v>1.0</v>
      </c>
      <c r="AL37" s="25">
        <v>1.0</v>
      </c>
      <c r="AM37" s="25">
        <v>1.0</v>
      </c>
      <c r="AN37" s="25">
        <v>1.0</v>
      </c>
      <c r="AO37" s="25">
        <v>0.0</v>
      </c>
      <c r="AP37" s="25">
        <v>0.0</v>
      </c>
      <c r="AQ37" s="25">
        <v>0.0</v>
      </c>
      <c r="AR37" s="25">
        <v>0.0</v>
      </c>
      <c r="AS37" s="25">
        <f t="shared" si="1"/>
        <v>28.5</v>
      </c>
      <c r="AT37" s="29">
        <f t="shared" si="2"/>
        <v>11.5</v>
      </c>
      <c r="AU37" s="29"/>
      <c r="AV37" s="29"/>
      <c r="AW37" s="29"/>
      <c r="AX37" s="29"/>
    </row>
    <row r="38">
      <c r="A38" s="7">
        <v>5146385.0</v>
      </c>
      <c r="B38" s="23" t="s">
        <v>238</v>
      </c>
      <c r="C38" s="24">
        <v>2.0</v>
      </c>
      <c r="D38" s="25" t="s">
        <v>87</v>
      </c>
      <c r="E38" s="30">
        <v>1.0</v>
      </c>
      <c r="F38" s="25">
        <v>1.0</v>
      </c>
      <c r="G38" s="25">
        <v>1.0</v>
      </c>
      <c r="H38" s="25">
        <v>1.0</v>
      </c>
      <c r="I38" s="88">
        <v>1.0</v>
      </c>
      <c r="J38" s="25">
        <v>1.0</v>
      </c>
      <c r="K38" s="25">
        <v>1.0</v>
      </c>
      <c r="L38" s="25">
        <v>1.0</v>
      </c>
      <c r="M38" s="25">
        <v>1.0</v>
      </c>
      <c r="N38" s="25">
        <v>1.0</v>
      </c>
      <c r="O38" s="25">
        <v>1.0</v>
      </c>
      <c r="P38" s="25">
        <v>1.0</v>
      </c>
      <c r="Q38" s="25">
        <v>0.0</v>
      </c>
      <c r="R38" s="25">
        <v>0.0</v>
      </c>
      <c r="S38" s="25">
        <v>0.0</v>
      </c>
      <c r="T38" s="25">
        <v>0.0</v>
      </c>
      <c r="U38" s="25">
        <v>0.0</v>
      </c>
      <c r="V38" s="25">
        <v>0.0</v>
      </c>
      <c r="W38" s="25">
        <v>0.0</v>
      </c>
      <c r="X38" s="25">
        <v>0.0</v>
      </c>
      <c r="Y38" s="25">
        <v>0.0</v>
      </c>
      <c r="Z38" s="25">
        <v>1.0</v>
      </c>
      <c r="AA38" s="25">
        <v>1.0</v>
      </c>
      <c r="AB38" s="25">
        <v>1.0</v>
      </c>
      <c r="AC38" s="25">
        <v>1.0</v>
      </c>
      <c r="AD38" s="25">
        <v>1.0</v>
      </c>
      <c r="AE38" s="25">
        <v>1.0</v>
      </c>
      <c r="AF38" s="25">
        <v>1.0</v>
      </c>
      <c r="AG38" s="25">
        <v>1.0</v>
      </c>
      <c r="AH38" s="25">
        <v>0.5</v>
      </c>
      <c r="AI38" s="25">
        <v>0.0</v>
      </c>
      <c r="AJ38" s="25">
        <v>0.0</v>
      </c>
      <c r="AK38" s="25">
        <v>0.5</v>
      </c>
      <c r="AL38" s="25">
        <v>1.0</v>
      </c>
      <c r="AM38" s="25">
        <v>1.0</v>
      </c>
      <c r="AN38" s="25">
        <v>1.0</v>
      </c>
      <c r="AO38" s="25">
        <v>1.0</v>
      </c>
      <c r="AP38" s="25">
        <v>1.0</v>
      </c>
      <c r="AQ38" s="25">
        <v>1.0</v>
      </c>
      <c r="AR38" s="25">
        <v>1.0</v>
      </c>
      <c r="AS38" s="25">
        <f t="shared" si="1"/>
        <v>28</v>
      </c>
      <c r="AT38" s="29">
        <f t="shared" si="2"/>
        <v>12</v>
      </c>
      <c r="AU38" s="29"/>
      <c r="AV38" s="29"/>
      <c r="AW38" s="29"/>
      <c r="AX38" s="29"/>
    </row>
    <row r="39">
      <c r="A39" s="7">
        <v>8357953.0</v>
      </c>
      <c r="B39" s="23" t="s">
        <v>83</v>
      </c>
      <c r="C39" s="24">
        <v>2.0</v>
      </c>
      <c r="D39" s="25" t="s">
        <v>87</v>
      </c>
      <c r="E39" s="30">
        <v>1.0</v>
      </c>
      <c r="F39" s="25">
        <v>1.0</v>
      </c>
      <c r="G39" s="25">
        <v>1.0</v>
      </c>
      <c r="H39" s="25">
        <v>1.0</v>
      </c>
      <c r="I39" s="88">
        <v>1.0</v>
      </c>
      <c r="J39" s="25">
        <v>1.0</v>
      </c>
      <c r="K39" s="25">
        <v>1.0</v>
      </c>
      <c r="L39" s="25">
        <v>1.0</v>
      </c>
      <c r="M39" s="25">
        <v>1.0</v>
      </c>
      <c r="N39" s="25">
        <v>1.0</v>
      </c>
      <c r="O39" s="25">
        <v>1.0</v>
      </c>
      <c r="P39" s="25">
        <v>1.0</v>
      </c>
      <c r="Q39" s="25">
        <v>1.0</v>
      </c>
      <c r="R39" s="25">
        <v>1.0</v>
      </c>
      <c r="S39" s="25">
        <v>1.0</v>
      </c>
      <c r="T39" s="25">
        <v>1.0</v>
      </c>
      <c r="U39" s="25">
        <v>1.0</v>
      </c>
      <c r="V39" s="25">
        <v>1.0</v>
      </c>
      <c r="W39" s="25">
        <v>1.0</v>
      </c>
      <c r="X39" s="25">
        <v>1.0</v>
      </c>
      <c r="Y39" s="25">
        <v>1.0</v>
      </c>
      <c r="Z39" s="25">
        <v>1.0</v>
      </c>
      <c r="AA39" s="25">
        <v>1.0</v>
      </c>
      <c r="AB39" s="25">
        <v>1.0</v>
      </c>
      <c r="AC39" s="25">
        <v>1.0</v>
      </c>
      <c r="AD39" s="25">
        <v>1.0</v>
      </c>
      <c r="AE39" s="25">
        <v>1.0</v>
      </c>
      <c r="AF39" s="25">
        <v>1.0</v>
      </c>
      <c r="AG39" s="25">
        <v>0.0</v>
      </c>
      <c r="AH39" s="25">
        <v>0.0</v>
      </c>
      <c r="AI39" s="25">
        <v>0.0</v>
      </c>
      <c r="AJ39" s="25">
        <v>0.0</v>
      </c>
      <c r="AK39" s="25">
        <v>0.0</v>
      </c>
      <c r="AL39" s="25">
        <v>0.0</v>
      </c>
      <c r="AM39" s="25">
        <v>0.0</v>
      </c>
      <c r="AN39" s="25">
        <v>0.0</v>
      </c>
      <c r="AO39" s="25">
        <v>0.0</v>
      </c>
      <c r="AP39" s="25">
        <v>0.0</v>
      </c>
      <c r="AQ39" s="25">
        <v>0.0</v>
      </c>
      <c r="AR39" s="25">
        <v>0.0</v>
      </c>
      <c r="AS39" s="25">
        <f t="shared" si="1"/>
        <v>28</v>
      </c>
      <c r="AT39" s="29">
        <f t="shared" si="2"/>
        <v>12</v>
      </c>
    </row>
    <row r="40">
      <c r="A40" s="7">
        <v>7157051.0</v>
      </c>
      <c r="B40" s="3" t="s">
        <v>225</v>
      </c>
      <c r="C40" s="24">
        <v>3.0</v>
      </c>
      <c r="D40" s="25" t="s">
        <v>94</v>
      </c>
      <c r="E40" s="30">
        <v>1.0</v>
      </c>
      <c r="F40" s="25">
        <v>1.0</v>
      </c>
      <c r="G40" s="25">
        <v>1.0</v>
      </c>
      <c r="H40" s="25">
        <v>1.0</v>
      </c>
      <c r="I40" s="88">
        <v>1.0</v>
      </c>
      <c r="J40" s="25">
        <v>1.0</v>
      </c>
      <c r="K40" s="25">
        <v>1.0</v>
      </c>
      <c r="L40" s="25">
        <v>1.0</v>
      </c>
      <c r="M40" s="25">
        <v>1.0</v>
      </c>
      <c r="N40" s="25">
        <v>0.5</v>
      </c>
      <c r="O40" s="25">
        <v>0.0</v>
      </c>
      <c r="P40" s="25">
        <v>0.0</v>
      </c>
      <c r="Q40" s="25">
        <v>0.0</v>
      </c>
      <c r="R40" s="25">
        <v>0.0</v>
      </c>
      <c r="S40" s="25">
        <v>0.5</v>
      </c>
      <c r="T40" s="25">
        <v>1.0</v>
      </c>
      <c r="U40" s="25">
        <v>1.0</v>
      </c>
      <c r="V40" s="25">
        <v>1.0</v>
      </c>
      <c r="W40" s="25">
        <v>1.0</v>
      </c>
      <c r="X40" s="25">
        <v>1.0</v>
      </c>
      <c r="Y40" s="25">
        <v>0.5</v>
      </c>
      <c r="Z40" s="25">
        <v>0.0</v>
      </c>
      <c r="AA40" s="25">
        <v>0.0</v>
      </c>
      <c r="AB40" s="25">
        <v>0.0</v>
      </c>
      <c r="AC40" s="25">
        <v>0.0</v>
      </c>
      <c r="AD40" s="25">
        <v>0.5</v>
      </c>
      <c r="AE40" s="25">
        <v>1.0</v>
      </c>
      <c r="AF40" s="25">
        <v>1.0</v>
      </c>
      <c r="AG40" s="25">
        <v>1.0</v>
      </c>
      <c r="AH40" s="25">
        <v>1.0</v>
      </c>
      <c r="AI40" s="25">
        <v>1.0</v>
      </c>
      <c r="AJ40" s="25">
        <v>0.5</v>
      </c>
      <c r="AK40" s="25">
        <v>0.0</v>
      </c>
      <c r="AL40" s="25">
        <v>0.0</v>
      </c>
      <c r="AM40" s="25">
        <v>0.0</v>
      </c>
      <c r="AN40" s="25">
        <v>0.5</v>
      </c>
      <c r="AO40" s="25">
        <v>1.0</v>
      </c>
      <c r="AP40" s="25">
        <v>1.0</v>
      </c>
      <c r="AQ40" s="25">
        <v>1.0</v>
      </c>
      <c r="AR40" s="25">
        <v>1.0</v>
      </c>
      <c r="AS40" s="25">
        <f t="shared" si="1"/>
        <v>26</v>
      </c>
      <c r="AT40" s="29">
        <f t="shared" si="2"/>
        <v>14</v>
      </c>
    </row>
    <row r="41">
      <c r="A41" s="7">
        <v>4383619.0</v>
      </c>
      <c r="B41" s="3" t="s">
        <v>302</v>
      </c>
      <c r="C41" s="24">
        <v>4.0</v>
      </c>
      <c r="D41" s="25" t="s">
        <v>188</v>
      </c>
      <c r="E41" s="30">
        <v>1.0</v>
      </c>
      <c r="F41" s="25">
        <v>1.0</v>
      </c>
      <c r="G41" s="25">
        <v>1.0</v>
      </c>
      <c r="H41" s="25">
        <v>1.0</v>
      </c>
      <c r="I41" s="88">
        <v>1.0</v>
      </c>
      <c r="J41" s="25">
        <v>1.0</v>
      </c>
      <c r="K41" s="25">
        <v>1.0</v>
      </c>
      <c r="L41" s="25">
        <v>1.0</v>
      </c>
      <c r="M41" s="25">
        <v>1.0</v>
      </c>
      <c r="N41" s="25">
        <v>1.0</v>
      </c>
      <c r="O41" s="25">
        <v>1.0</v>
      </c>
      <c r="P41" s="25">
        <v>1.0</v>
      </c>
      <c r="Q41" s="25">
        <v>1.0</v>
      </c>
      <c r="R41" s="25">
        <v>1.0</v>
      </c>
      <c r="S41" s="25">
        <v>1.0</v>
      </c>
      <c r="T41" s="25">
        <v>1.0</v>
      </c>
      <c r="U41" s="25">
        <v>1.0</v>
      </c>
      <c r="V41" s="25">
        <v>1.0</v>
      </c>
      <c r="W41" s="25">
        <v>1.0</v>
      </c>
      <c r="X41" s="25">
        <v>1.0</v>
      </c>
      <c r="Y41" s="25">
        <v>1.0</v>
      </c>
      <c r="Z41" s="25">
        <v>1.0</v>
      </c>
      <c r="AA41" s="25">
        <v>1.0</v>
      </c>
      <c r="AB41" s="25">
        <v>1.0</v>
      </c>
      <c r="AC41" s="25">
        <v>1.0</v>
      </c>
      <c r="AD41" s="25">
        <v>1.0</v>
      </c>
      <c r="AE41" s="25">
        <v>1.0</v>
      </c>
      <c r="AF41" s="25">
        <v>1.0</v>
      </c>
      <c r="AG41" s="25">
        <v>1.0</v>
      </c>
      <c r="AH41" s="25">
        <v>1.0</v>
      </c>
      <c r="AI41" s="25">
        <v>1.0</v>
      </c>
      <c r="AJ41" s="25">
        <v>1.0</v>
      </c>
      <c r="AK41" s="25">
        <v>1.0</v>
      </c>
      <c r="AL41" s="25">
        <v>1.0</v>
      </c>
      <c r="AM41" s="25">
        <v>1.0</v>
      </c>
      <c r="AN41" s="25">
        <v>1.0</v>
      </c>
      <c r="AO41" s="25">
        <v>1.0</v>
      </c>
      <c r="AP41" s="25">
        <v>1.0</v>
      </c>
      <c r="AQ41" s="25">
        <v>1.0</v>
      </c>
      <c r="AR41" s="25">
        <v>1.0</v>
      </c>
      <c r="AS41" s="25">
        <f t="shared" si="1"/>
        <v>40</v>
      </c>
      <c r="AT41" s="29">
        <f t="shared" si="2"/>
        <v>0</v>
      </c>
    </row>
    <row r="42">
      <c r="A42" s="7">
        <v>5064080.0</v>
      </c>
      <c r="B42" s="3" t="s">
        <v>305</v>
      </c>
      <c r="C42" s="24">
        <v>2.0</v>
      </c>
      <c r="D42" s="25" t="s">
        <v>214</v>
      </c>
      <c r="E42" s="30">
        <v>1.0</v>
      </c>
      <c r="F42" s="25">
        <v>1.0</v>
      </c>
      <c r="G42" s="25">
        <v>1.0</v>
      </c>
      <c r="H42" s="25">
        <v>1.0</v>
      </c>
      <c r="I42" s="88">
        <v>1.0</v>
      </c>
      <c r="J42" s="25">
        <v>1.0</v>
      </c>
      <c r="K42" s="25">
        <v>1.0</v>
      </c>
      <c r="L42" s="25">
        <v>1.0</v>
      </c>
      <c r="M42" s="25">
        <v>1.0</v>
      </c>
      <c r="N42" s="25">
        <v>1.0</v>
      </c>
      <c r="O42" s="25">
        <v>1.0</v>
      </c>
      <c r="P42" s="25">
        <v>1.0</v>
      </c>
      <c r="Q42" s="25">
        <v>1.0</v>
      </c>
      <c r="R42" s="25">
        <v>1.0</v>
      </c>
      <c r="S42" s="25">
        <v>1.0</v>
      </c>
      <c r="T42" s="25">
        <v>1.0</v>
      </c>
      <c r="U42" s="25">
        <v>1.0</v>
      </c>
      <c r="V42" s="25">
        <v>1.0</v>
      </c>
      <c r="W42" s="25">
        <v>1.0</v>
      </c>
      <c r="X42" s="25">
        <v>1.0</v>
      </c>
      <c r="Y42" s="25">
        <v>1.0</v>
      </c>
      <c r="Z42" s="25">
        <v>1.0</v>
      </c>
      <c r="AA42" s="25">
        <v>1.0</v>
      </c>
      <c r="AB42" s="25">
        <v>1.0</v>
      </c>
      <c r="AC42" s="25">
        <v>1.0</v>
      </c>
      <c r="AD42" s="25">
        <v>1.0</v>
      </c>
      <c r="AE42" s="25">
        <v>1.0</v>
      </c>
      <c r="AF42" s="25">
        <v>1.0</v>
      </c>
      <c r="AG42" s="25">
        <v>0.0</v>
      </c>
      <c r="AH42" s="25">
        <v>0.0</v>
      </c>
      <c r="AI42" s="25">
        <v>0.0</v>
      </c>
      <c r="AJ42" s="25">
        <v>0.0</v>
      </c>
      <c r="AK42" s="25">
        <v>0.0</v>
      </c>
      <c r="AL42" s="25">
        <v>0.0</v>
      </c>
      <c r="AM42" s="25">
        <v>0.0</v>
      </c>
      <c r="AN42" s="25">
        <v>0.0</v>
      </c>
      <c r="AO42" s="25">
        <v>0.0</v>
      </c>
      <c r="AP42" s="25">
        <v>0.0</v>
      </c>
      <c r="AQ42" s="25">
        <v>0.0</v>
      </c>
      <c r="AR42" s="25">
        <v>0.0</v>
      </c>
      <c r="AS42" s="25">
        <f t="shared" si="1"/>
        <v>28</v>
      </c>
      <c r="AT42" s="29">
        <f t="shared" si="2"/>
        <v>12</v>
      </c>
    </row>
    <row r="43">
      <c r="A43" s="7">
        <v>5203697.0</v>
      </c>
      <c r="B43" s="23" t="s">
        <v>307</v>
      </c>
      <c r="C43" s="24">
        <v>1.0</v>
      </c>
      <c r="D43" s="25" t="s">
        <v>94</v>
      </c>
      <c r="E43" s="30">
        <v>1.0</v>
      </c>
      <c r="F43" s="25">
        <v>1.0</v>
      </c>
      <c r="G43" s="25">
        <v>1.0</v>
      </c>
      <c r="H43" s="25">
        <v>1.0</v>
      </c>
      <c r="I43" s="88">
        <v>1.0</v>
      </c>
      <c r="J43" s="25">
        <v>1.0</v>
      </c>
      <c r="K43" s="25">
        <v>1.0</v>
      </c>
      <c r="L43" s="25">
        <v>1.0</v>
      </c>
      <c r="M43" s="25">
        <v>1.0</v>
      </c>
      <c r="N43" s="25">
        <v>1.0</v>
      </c>
      <c r="O43" s="25">
        <v>1.0</v>
      </c>
      <c r="P43" s="25">
        <v>1.0</v>
      </c>
      <c r="Q43" s="25">
        <v>1.0</v>
      </c>
      <c r="R43" s="25">
        <v>1.0</v>
      </c>
      <c r="S43" s="25">
        <v>1.0</v>
      </c>
      <c r="T43" s="25">
        <v>1.0</v>
      </c>
      <c r="U43" s="25">
        <v>1.0</v>
      </c>
      <c r="V43" s="25">
        <v>1.0</v>
      </c>
      <c r="W43" s="25">
        <v>1.0</v>
      </c>
      <c r="X43" s="25">
        <v>1.0</v>
      </c>
      <c r="Y43" s="25">
        <v>1.0</v>
      </c>
      <c r="Z43" s="25">
        <v>1.0</v>
      </c>
      <c r="AA43" s="25">
        <v>1.0</v>
      </c>
      <c r="AB43" s="25">
        <v>1.0</v>
      </c>
      <c r="AC43" s="25">
        <v>1.0</v>
      </c>
      <c r="AD43" s="25">
        <v>1.0</v>
      </c>
      <c r="AE43" s="25">
        <v>1.0</v>
      </c>
      <c r="AF43" s="25">
        <v>1.0</v>
      </c>
      <c r="AG43" s="25">
        <v>0.0</v>
      </c>
      <c r="AH43" s="25">
        <v>0.0</v>
      </c>
      <c r="AI43" s="25">
        <v>0.0</v>
      </c>
      <c r="AJ43" s="25">
        <v>0.0</v>
      </c>
      <c r="AK43" s="25">
        <v>0.0</v>
      </c>
      <c r="AL43" s="25">
        <v>0.0</v>
      </c>
      <c r="AM43" s="25">
        <v>0.0</v>
      </c>
      <c r="AN43" s="25">
        <v>0.0</v>
      </c>
      <c r="AO43" s="25">
        <v>0.0</v>
      </c>
      <c r="AP43" s="25">
        <v>0.0</v>
      </c>
      <c r="AQ43" s="25">
        <v>0.0</v>
      </c>
      <c r="AR43" s="25">
        <v>0.0</v>
      </c>
      <c r="AS43" s="25">
        <f t="shared" si="1"/>
        <v>28</v>
      </c>
      <c r="AT43" s="29">
        <f t="shared" si="2"/>
        <v>12</v>
      </c>
      <c r="AU43" s="29"/>
      <c r="AV43" s="29"/>
      <c r="AW43" s="29"/>
      <c r="AX43" s="29"/>
    </row>
    <row r="44">
      <c r="A44" s="7">
        <v>5249134.0</v>
      </c>
      <c r="B44" s="23" t="s">
        <v>64</v>
      </c>
      <c r="C44" s="24">
        <v>2.0</v>
      </c>
      <c r="D44" s="25" t="s">
        <v>94</v>
      </c>
      <c r="E44" s="30">
        <v>1.0</v>
      </c>
      <c r="F44" s="25">
        <v>1.0</v>
      </c>
      <c r="G44" s="25">
        <v>1.0</v>
      </c>
      <c r="H44" s="25">
        <v>1.0</v>
      </c>
      <c r="I44" s="88">
        <v>1.0</v>
      </c>
      <c r="J44" s="25">
        <v>1.0</v>
      </c>
      <c r="K44" s="25">
        <v>1.0</v>
      </c>
      <c r="L44" s="25">
        <v>1.0</v>
      </c>
      <c r="M44" s="25">
        <v>1.0</v>
      </c>
      <c r="N44" s="25">
        <v>1.0</v>
      </c>
      <c r="O44" s="25">
        <v>1.0</v>
      </c>
      <c r="P44" s="25">
        <v>1.0</v>
      </c>
      <c r="Q44" s="25">
        <v>1.0</v>
      </c>
      <c r="R44" s="25">
        <v>1.0</v>
      </c>
      <c r="S44" s="25">
        <v>1.0</v>
      </c>
      <c r="T44" s="25">
        <v>1.0</v>
      </c>
      <c r="U44" s="25">
        <v>1.0</v>
      </c>
      <c r="V44" s="25">
        <v>1.0</v>
      </c>
      <c r="W44" s="25">
        <v>1.0</v>
      </c>
      <c r="X44" s="25">
        <v>1.0</v>
      </c>
      <c r="Y44" s="25">
        <v>0.5</v>
      </c>
      <c r="Z44" s="25">
        <v>0.0</v>
      </c>
      <c r="AA44" s="25">
        <v>0.5</v>
      </c>
      <c r="AB44" s="25">
        <v>0.5</v>
      </c>
      <c r="AC44" s="25">
        <v>0.0</v>
      </c>
      <c r="AD44" s="25">
        <v>0.0</v>
      </c>
      <c r="AE44" s="25">
        <v>0.0</v>
      </c>
      <c r="AF44" s="25">
        <v>0.0</v>
      </c>
      <c r="AG44" s="25">
        <v>0.0</v>
      </c>
      <c r="AH44" s="25">
        <v>0.0</v>
      </c>
      <c r="AI44" s="25">
        <v>0.5</v>
      </c>
      <c r="AJ44" s="25">
        <v>1.0</v>
      </c>
      <c r="AK44" s="25">
        <v>1.0</v>
      </c>
      <c r="AL44" s="25">
        <v>1.0</v>
      </c>
      <c r="AM44" s="25">
        <v>0.5</v>
      </c>
      <c r="AN44" s="25">
        <v>0.0</v>
      </c>
      <c r="AO44" s="25">
        <v>0.0</v>
      </c>
      <c r="AP44" s="25">
        <v>0.0</v>
      </c>
      <c r="AQ44" s="25">
        <v>0.0</v>
      </c>
      <c r="AR44" s="25">
        <v>0.5</v>
      </c>
      <c r="AS44" s="25">
        <f t="shared" si="1"/>
        <v>26</v>
      </c>
      <c r="AT44" s="29">
        <f t="shared" si="2"/>
        <v>14</v>
      </c>
      <c r="AU44" s="29"/>
      <c r="AV44" s="29"/>
      <c r="AW44" s="29"/>
      <c r="AX44" s="29"/>
    </row>
    <row r="45">
      <c r="A45" s="7">
        <v>4683682.0</v>
      </c>
      <c r="B45" s="23" t="s">
        <v>310</v>
      </c>
      <c r="C45" s="24">
        <v>4.0</v>
      </c>
      <c r="D45" s="25" t="s">
        <v>94</v>
      </c>
      <c r="E45" s="30">
        <v>1.0</v>
      </c>
      <c r="F45" s="25">
        <v>1.0</v>
      </c>
      <c r="G45" s="25">
        <v>1.0</v>
      </c>
      <c r="H45" s="25">
        <v>1.0</v>
      </c>
      <c r="I45" s="88">
        <v>1.0</v>
      </c>
      <c r="J45" s="25">
        <v>1.0</v>
      </c>
      <c r="K45" s="25">
        <v>1.0</v>
      </c>
      <c r="L45" s="25">
        <v>1.0</v>
      </c>
      <c r="M45" s="25">
        <v>1.0</v>
      </c>
      <c r="N45" s="25">
        <v>1.0</v>
      </c>
      <c r="O45" s="25">
        <v>1.0</v>
      </c>
      <c r="P45" s="25">
        <v>1.0</v>
      </c>
      <c r="Q45" s="25">
        <v>1.0</v>
      </c>
      <c r="R45" s="25">
        <v>1.0</v>
      </c>
      <c r="S45" s="25">
        <v>1.0</v>
      </c>
      <c r="T45" s="25">
        <v>1.0</v>
      </c>
      <c r="U45" s="25">
        <v>1.0</v>
      </c>
      <c r="V45" s="25">
        <v>1.0</v>
      </c>
      <c r="W45" s="25">
        <v>1.0</v>
      </c>
      <c r="X45" s="25">
        <v>1.0</v>
      </c>
      <c r="Y45" s="25">
        <v>1.0</v>
      </c>
      <c r="Z45" s="25">
        <v>1.0</v>
      </c>
      <c r="AA45" s="25">
        <v>1.0</v>
      </c>
      <c r="AB45" s="25">
        <v>1.0</v>
      </c>
      <c r="AC45" s="25">
        <v>1.0</v>
      </c>
      <c r="AD45" s="25">
        <v>1.0</v>
      </c>
      <c r="AE45" s="25">
        <v>1.0</v>
      </c>
      <c r="AF45" s="25">
        <v>1.0</v>
      </c>
      <c r="AG45" s="25">
        <v>1.0</v>
      </c>
      <c r="AH45" s="25">
        <v>1.0</v>
      </c>
      <c r="AI45" s="25">
        <v>1.0</v>
      </c>
      <c r="AJ45" s="25">
        <v>1.0</v>
      </c>
      <c r="AK45" s="25">
        <v>1.0</v>
      </c>
      <c r="AL45" s="25">
        <v>1.0</v>
      </c>
      <c r="AM45" s="25">
        <v>1.0</v>
      </c>
      <c r="AN45" s="25">
        <v>1.0</v>
      </c>
      <c r="AO45" s="25">
        <v>1.0</v>
      </c>
      <c r="AP45" s="25">
        <v>1.0</v>
      </c>
      <c r="AQ45" s="25">
        <v>1.0</v>
      </c>
      <c r="AR45" s="25">
        <v>1.0</v>
      </c>
      <c r="AS45" s="25">
        <f t="shared" si="1"/>
        <v>40</v>
      </c>
      <c r="AT45" s="29">
        <f t="shared" si="2"/>
        <v>0</v>
      </c>
      <c r="AU45" s="29"/>
      <c r="AV45" s="29"/>
      <c r="AW45" s="29"/>
      <c r="AX45" s="29"/>
    </row>
    <row r="46">
      <c r="A46" s="7">
        <v>5003391.0</v>
      </c>
      <c r="B46" s="3" t="s">
        <v>78</v>
      </c>
      <c r="C46" s="24">
        <v>1.0</v>
      </c>
      <c r="D46" s="25" t="s">
        <v>94</v>
      </c>
      <c r="E46" s="30">
        <v>1.0</v>
      </c>
      <c r="F46" s="25">
        <v>1.0</v>
      </c>
      <c r="G46" s="25">
        <v>1.0</v>
      </c>
      <c r="H46" s="25">
        <v>1.0</v>
      </c>
      <c r="I46" s="88">
        <v>1.0</v>
      </c>
      <c r="J46" s="25">
        <v>1.0</v>
      </c>
      <c r="K46" s="25">
        <v>1.0</v>
      </c>
      <c r="L46" s="25">
        <v>1.0</v>
      </c>
      <c r="M46" s="25">
        <v>1.0</v>
      </c>
      <c r="N46" s="25">
        <v>1.0</v>
      </c>
      <c r="O46" s="25">
        <v>1.0</v>
      </c>
      <c r="P46" s="25">
        <v>1.0</v>
      </c>
      <c r="Q46" s="25">
        <v>1.0</v>
      </c>
      <c r="R46" s="25">
        <v>1.0</v>
      </c>
      <c r="S46" s="25">
        <v>1.0</v>
      </c>
      <c r="T46" s="25">
        <v>1.0</v>
      </c>
      <c r="U46" s="25">
        <v>1.0</v>
      </c>
      <c r="V46" s="25">
        <v>1.0</v>
      </c>
      <c r="W46" s="25">
        <v>1.0</v>
      </c>
      <c r="X46" s="25">
        <v>1.0</v>
      </c>
      <c r="Y46" s="25">
        <v>1.0</v>
      </c>
      <c r="Z46" s="25">
        <v>1.0</v>
      </c>
      <c r="AA46" s="25">
        <v>1.0</v>
      </c>
      <c r="AB46" s="25">
        <v>1.0</v>
      </c>
      <c r="AC46" s="25">
        <v>1.0</v>
      </c>
      <c r="AD46" s="25">
        <v>0.0</v>
      </c>
      <c r="AE46" s="25">
        <v>0.0</v>
      </c>
      <c r="AF46" s="25">
        <v>1.0</v>
      </c>
      <c r="AG46" s="25">
        <v>1.0</v>
      </c>
      <c r="AH46" s="25">
        <v>0.5</v>
      </c>
      <c r="AI46" s="25">
        <v>0.0</v>
      </c>
      <c r="AJ46" s="25">
        <v>0.5</v>
      </c>
      <c r="AK46" s="25">
        <v>0.0</v>
      </c>
      <c r="AL46" s="25">
        <v>0.0</v>
      </c>
      <c r="AM46" s="25">
        <v>0.0</v>
      </c>
      <c r="AN46" s="25">
        <v>0.0</v>
      </c>
      <c r="AO46" s="25">
        <v>0.0</v>
      </c>
      <c r="AP46" s="25">
        <v>0.0</v>
      </c>
      <c r="AQ46" s="25">
        <v>0.0</v>
      </c>
      <c r="AR46" s="25">
        <v>0.0</v>
      </c>
      <c r="AS46" s="25">
        <f t="shared" si="1"/>
        <v>28</v>
      </c>
      <c r="AT46" s="29">
        <f t="shared" si="2"/>
        <v>12</v>
      </c>
    </row>
    <row r="47">
      <c r="A47" s="7">
        <v>6910712.0</v>
      </c>
      <c r="B47" s="3" t="s">
        <v>301</v>
      </c>
      <c r="C47" s="24">
        <v>2.0</v>
      </c>
      <c r="D47" s="7" t="s">
        <v>116</v>
      </c>
      <c r="E47" s="30">
        <v>1.0</v>
      </c>
      <c r="F47" s="25">
        <v>1.0</v>
      </c>
      <c r="G47" s="25">
        <v>1.0</v>
      </c>
      <c r="H47" s="25">
        <v>1.0</v>
      </c>
      <c r="I47" s="88">
        <v>1.0</v>
      </c>
      <c r="J47" s="25">
        <v>1.0</v>
      </c>
      <c r="K47" s="25">
        <v>1.0</v>
      </c>
      <c r="L47" s="25">
        <v>1.0</v>
      </c>
      <c r="M47" s="25">
        <v>1.0</v>
      </c>
      <c r="N47" s="25">
        <v>1.0</v>
      </c>
      <c r="O47" s="25">
        <v>1.0</v>
      </c>
      <c r="P47" s="25">
        <v>1.0</v>
      </c>
      <c r="Q47" s="25">
        <v>0.5</v>
      </c>
      <c r="R47" s="25">
        <v>0.0</v>
      </c>
      <c r="S47" s="25">
        <v>0.0</v>
      </c>
      <c r="T47" s="25">
        <v>0.0</v>
      </c>
      <c r="U47" s="25">
        <v>0.0</v>
      </c>
      <c r="V47" s="25">
        <v>0.0</v>
      </c>
      <c r="W47" s="25">
        <v>0.0</v>
      </c>
      <c r="X47" s="25">
        <v>0.0</v>
      </c>
      <c r="Y47" s="25">
        <v>0.0</v>
      </c>
      <c r="Z47" s="25">
        <v>0.0</v>
      </c>
      <c r="AA47" s="25">
        <v>0.0</v>
      </c>
      <c r="AB47" s="25">
        <v>0.0</v>
      </c>
      <c r="AC47" s="25">
        <v>0.0</v>
      </c>
      <c r="AD47" s="25">
        <v>0.0</v>
      </c>
      <c r="AE47" s="25">
        <v>0.0</v>
      </c>
      <c r="AF47" s="25">
        <v>0.0</v>
      </c>
      <c r="AG47" s="25">
        <v>0.0</v>
      </c>
      <c r="AH47" s="25">
        <v>0.0</v>
      </c>
      <c r="AI47" s="25">
        <v>0.5</v>
      </c>
      <c r="AJ47" s="25">
        <v>1.0</v>
      </c>
      <c r="AK47" s="25">
        <v>1.0</v>
      </c>
      <c r="AL47" s="25">
        <v>1.0</v>
      </c>
      <c r="AM47" s="25">
        <v>1.0</v>
      </c>
      <c r="AN47" s="25">
        <v>1.0</v>
      </c>
      <c r="AO47" s="25">
        <v>1.0</v>
      </c>
      <c r="AP47" s="25">
        <v>1.0</v>
      </c>
      <c r="AQ47" s="25">
        <v>1.0</v>
      </c>
      <c r="AR47" s="25">
        <v>1.0</v>
      </c>
      <c r="AS47" s="25">
        <f t="shared" si="1"/>
        <v>22</v>
      </c>
      <c r="AT47" s="29">
        <f t="shared" si="2"/>
        <v>18</v>
      </c>
    </row>
    <row r="48">
      <c r="A48" s="7">
        <v>6428995.0</v>
      </c>
      <c r="B48" s="3" t="s">
        <v>262</v>
      </c>
      <c r="C48" s="24">
        <v>1.0</v>
      </c>
      <c r="D48" s="7" t="s">
        <v>94</v>
      </c>
      <c r="E48" s="30">
        <v>0.0</v>
      </c>
      <c r="F48" s="25">
        <v>0.0</v>
      </c>
      <c r="G48" s="25">
        <v>0.0</v>
      </c>
      <c r="H48" s="25">
        <v>0.0</v>
      </c>
      <c r="I48" s="88">
        <v>0.0</v>
      </c>
      <c r="J48" s="25">
        <v>0.0</v>
      </c>
      <c r="K48" s="25">
        <v>0.0</v>
      </c>
      <c r="L48" s="25">
        <v>0.0</v>
      </c>
      <c r="M48" s="25">
        <v>1.0</v>
      </c>
      <c r="N48" s="25">
        <v>1.0</v>
      </c>
      <c r="O48" s="25">
        <v>1.0</v>
      </c>
      <c r="P48" s="25">
        <v>1.0</v>
      </c>
      <c r="Q48" s="25">
        <v>1.0</v>
      </c>
      <c r="R48" s="25">
        <v>1.0</v>
      </c>
      <c r="S48" s="25">
        <v>0.0</v>
      </c>
      <c r="T48" s="25">
        <v>0.0</v>
      </c>
      <c r="U48" s="25">
        <v>0.0</v>
      </c>
      <c r="V48" s="25">
        <v>1.0</v>
      </c>
      <c r="W48" s="25">
        <v>1.0</v>
      </c>
      <c r="X48" s="25">
        <v>1.0</v>
      </c>
      <c r="Y48" s="25">
        <v>1.0</v>
      </c>
      <c r="Z48" s="25">
        <v>1.0</v>
      </c>
      <c r="AA48" s="25">
        <v>1.0</v>
      </c>
      <c r="AB48" s="25">
        <v>1.0</v>
      </c>
      <c r="AC48" s="25">
        <v>1.0</v>
      </c>
      <c r="AD48" s="25">
        <v>1.0</v>
      </c>
      <c r="AE48" s="25">
        <v>1.0</v>
      </c>
      <c r="AF48" s="25">
        <v>1.0</v>
      </c>
      <c r="AG48" s="25">
        <v>1.0</v>
      </c>
      <c r="AH48" s="25">
        <v>1.0</v>
      </c>
      <c r="AI48" s="25">
        <v>1.0</v>
      </c>
      <c r="AJ48" s="25">
        <v>1.0</v>
      </c>
      <c r="AK48" s="25">
        <v>1.0</v>
      </c>
      <c r="AL48" s="25">
        <v>1.0</v>
      </c>
      <c r="AM48" s="25">
        <v>1.0</v>
      </c>
      <c r="AN48" s="25">
        <v>1.0</v>
      </c>
      <c r="AO48" s="25">
        <v>1.0</v>
      </c>
      <c r="AP48" s="25">
        <v>1.0</v>
      </c>
      <c r="AQ48" s="25">
        <v>1.0</v>
      </c>
      <c r="AR48" s="25">
        <v>1.0</v>
      </c>
      <c r="AS48" s="25">
        <f t="shared" si="1"/>
        <v>29</v>
      </c>
      <c r="AT48" s="29">
        <f t="shared" si="2"/>
        <v>11</v>
      </c>
    </row>
    <row r="49">
      <c r="A49" s="7">
        <v>4604692.0</v>
      </c>
      <c r="B49" s="3" t="s">
        <v>318</v>
      </c>
      <c r="C49" s="24">
        <v>3.0</v>
      </c>
      <c r="D49" s="7" t="s">
        <v>214</v>
      </c>
      <c r="E49" s="30">
        <v>1.0</v>
      </c>
      <c r="F49" s="25">
        <v>1.0</v>
      </c>
      <c r="G49" s="25">
        <v>1.0</v>
      </c>
      <c r="H49" s="25">
        <v>1.0</v>
      </c>
      <c r="I49" s="88">
        <v>1.0</v>
      </c>
      <c r="J49" s="25">
        <v>1.0</v>
      </c>
      <c r="K49" s="25">
        <v>1.0</v>
      </c>
      <c r="L49" s="25">
        <v>1.0</v>
      </c>
      <c r="M49" s="25">
        <v>1.0</v>
      </c>
      <c r="N49" s="25">
        <v>1.0</v>
      </c>
      <c r="O49" s="25">
        <v>1.0</v>
      </c>
      <c r="P49" s="25">
        <v>1.0</v>
      </c>
      <c r="Q49" s="25">
        <v>1.0</v>
      </c>
      <c r="R49" s="25">
        <v>1.0</v>
      </c>
      <c r="S49" s="25">
        <v>1.0</v>
      </c>
      <c r="T49" s="25">
        <v>0.5</v>
      </c>
      <c r="U49" s="25">
        <v>0.0</v>
      </c>
      <c r="V49" s="25">
        <v>0.5</v>
      </c>
      <c r="W49" s="25">
        <v>1.0</v>
      </c>
      <c r="X49" s="25">
        <v>1.0</v>
      </c>
      <c r="Y49" s="25">
        <v>1.0</v>
      </c>
      <c r="Z49" s="25">
        <v>1.0</v>
      </c>
      <c r="AA49" s="25">
        <v>1.0</v>
      </c>
      <c r="AB49" s="25">
        <v>1.0</v>
      </c>
      <c r="AC49" s="25">
        <v>1.0</v>
      </c>
      <c r="AD49" s="25">
        <v>1.0</v>
      </c>
      <c r="AE49" s="25">
        <v>1.0</v>
      </c>
      <c r="AF49" s="25">
        <v>1.0</v>
      </c>
      <c r="AG49" s="25">
        <v>1.0</v>
      </c>
      <c r="AH49" s="25">
        <v>1.0</v>
      </c>
      <c r="AI49" s="25">
        <v>0.0</v>
      </c>
      <c r="AJ49" s="25">
        <v>0.0</v>
      </c>
      <c r="AK49" s="25">
        <v>0.0</v>
      </c>
      <c r="AL49" s="25">
        <v>0.0</v>
      </c>
      <c r="AM49" s="25">
        <v>0.0</v>
      </c>
      <c r="AN49" s="25">
        <v>0.0</v>
      </c>
      <c r="AO49" s="25">
        <v>0.0</v>
      </c>
      <c r="AP49" s="25">
        <v>0.0</v>
      </c>
      <c r="AQ49" s="25">
        <v>0.0</v>
      </c>
      <c r="AR49" s="25">
        <v>0.0</v>
      </c>
      <c r="AS49" s="25">
        <f t="shared" si="1"/>
        <v>28</v>
      </c>
      <c r="AT49" s="29">
        <f t="shared" si="2"/>
        <v>12</v>
      </c>
    </row>
    <row r="50">
      <c r="A50" s="7">
        <v>6031430.0</v>
      </c>
      <c r="B50" s="3" t="s">
        <v>304</v>
      </c>
      <c r="C50" s="24">
        <v>1.0</v>
      </c>
      <c r="D50" s="7" t="s">
        <v>94</v>
      </c>
      <c r="E50" s="30">
        <v>1.0</v>
      </c>
      <c r="F50" s="25">
        <v>1.0</v>
      </c>
      <c r="G50" s="25">
        <v>1.0</v>
      </c>
      <c r="H50" s="25">
        <v>0.5</v>
      </c>
      <c r="I50" s="88">
        <v>0.0</v>
      </c>
      <c r="J50" s="25">
        <v>0.0</v>
      </c>
      <c r="K50" s="25">
        <v>0.0</v>
      </c>
      <c r="L50" s="25">
        <v>0.5</v>
      </c>
      <c r="M50" s="25">
        <v>1.0</v>
      </c>
      <c r="N50" s="25">
        <v>1.0</v>
      </c>
      <c r="O50" s="25">
        <v>1.0</v>
      </c>
      <c r="P50" s="25">
        <v>1.0</v>
      </c>
      <c r="Q50" s="25">
        <v>1.0</v>
      </c>
      <c r="R50" s="25">
        <v>1.0</v>
      </c>
      <c r="S50" s="25">
        <v>1.0</v>
      </c>
      <c r="T50" s="25">
        <v>1.0</v>
      </c>
      <c r="U50" s="25">
        <v>1.0</v>
      </c>
      <c r="V50" s="25">
        <v>1.0</v>
      </c>
      <c r="W50" s="25">
        <v>0.5</v>
      </c>
      <c r="X50" s="25">
        <v>0.0</v>
      </c>
      <c r="Y50" s="25">
        <v>0.0</v>
      </c>
      <c r="Z50" s="25">
        <v>0.5</v>
      </c>
      <c r="AA50" s="25">
        <v>1.0</v>
      </c>
      <c r="AB50" s="25">
        <v>1.0</v>
      </c>
      <c r="AC50" s="25">
        <v>1.0</v>
      </c>
      <c r="AD50" s="25">
        <v>0.5</v>
      </c>
      <c r="AE50" s="25">
        <v>0.0</v>
      </c>
      <c r="AF50" s="25">
        <v>0.0</v>
      </c>
      <c r="AG50" s="25">
        <v>0.5</v>
      </c>
      <c r="AH50" s="25">
        <v>1.0</v>
      </c>
      <c r="AI50" s="25">
        <v>1.0</v>
      </c>
      <c r="AJ50" s="25">
        <v>1.0</v>
      </c>
      <c r="AK50" s="25">
        <v>1.0</v>
      </c>
      <c r="AL50" s="25">
        <v>1.0</v>
      </c>
      <c r="AM50" s="25">
        <v>1.0</v>
      </c>
      <c r="AN50" s="25">
        <v>1.0</v>
      </c>
      <c r="AO50" s="25">
        <v>1.0</v>
      </c>
      <c r="AP50" s="25">
        <v>1.0</v>
      </c>
      <c r="AQ50" s="25">
        <v>1.0</v>
      </c>
      <c r="AR50" s="25">
        <v>1.0</v>
      </c>
      <c r="AS50" s="25">
        <f t="shared" si="1"/>
        <v>30</v>
      </c>
      <c r="AT50" s="29">
        <f t="shared" si="2"/>
        <v>10</v>
      </c>
    </row>
    <row r="51">
      <c r="A51" s="7">
        <v>5682069.0</v>
      </c>
      <c r="B51" s="3" t="s">
        <v>324</v>
      </c>
      <c r="C51" s="24">
        <v>3.0</v>
      </c>
      <c r="D51" s="7" t="s">
        <v>94</v>
      </c>
      <c r="E51" s="30">
        <v>1.0</v>
      </c>
      <c r="F51" s="25">
        <v>1.0</v>
      </c>
      <c r="G51" s="25">
        <v>1.0</v>
      </c>
      <c r="H51" s="25">
        <v>1.0</v>
      </c>
      <c r="I51" s="88">
        <v>1.0</v>
      </c>
      <c r="J51" s="25">
        <v>1.0</v>
      </c>
      <c r="K51" s="25">
        <v>1.0</v>
      </c>
      <c r="L51" s="25">
        <v>1.0</v>
      </c>
      <c r="M51" s="25">
        <v>1.0</v>
      </c>
      <c r="N51" s="25">
        <v>1.0</v>
      </c>
      <c r="O51" s="25">
        <v>1.0</v>
      </c>
      <c r="P51" s="25">
        <v>1.0</v>
      </c>
      <c r="Q51" s="25">
        <v>0.5</v>
      </c>
      <c r="R51" s="25">
        <v>0.0</v>
      </c>
      <c r="S51" s="25">
        <v>0.0</v>
      </c>
      <c r="T51" s="25">
        <v>0.5</v>
      </c>
      <c r="U51" s="25">
        <v>1.0</v>
      </c>
      <c r="V51" s="25">
        <v>1.0</v>
      </c>
      <c r="W51" s="25">
        <v>1.0</v>
      </c>
      <c r="X51" s="25">
        <v>1.0</v>
      </c>
      <c r="Y51" s="25">
        <v>1.0</v>
      </c>
      <c r="Z51" s="25">
        <v>0.5</v>
      </c>
      <c r="AA51" s="25">
        <v>0.0</v>
      </c>
      <c r="AB51" s="25">
        <v>0.0</v>
      </c>
      <c r="AC51" s="25">
        <v>0.5</v>
      </c>
      <c r="AD51" s="25">
        <v>1.0</v>
      </c>
      <c r="AE51" s="25">
        <v>1.0</v>
      </c>
      <c r="AF51" s="25">
        <v>1.0</v>
      </c>
      <c r="AG51" s="25">
        <v>1.0</v>
      </c>
      <c r="AH51" s="25">
        <v>1.0</v>
      </c>
      <c r="AI51" s="25">
        <v>1.0</v>
      </c>
      <c r="AJ51" s="25">
        <v>1.0</v>
      </c>
      <c r="AK51" s="25">
        <v>1.0</v>
      </c>
      <c r="AL51" s="25">
        <v>1.0</v>
      </c>
      <c r="AM51" s="25">
        <v>0.0</v>
      </c>
      <c r="AN51" s="25">
        <v>0.0</v>
      </c>
      <c r="AO51" s="25">
        <v>0.0</v>
      </c>
      <c r="AP51" s="25">
        <v>0.0</v>
      </c>
      <c r="AQ51" s="25">
        <v>0.0</v>
      </c>
      <c r="AR51" s="25">
        <v>0.0</v>
      </c>
      <c r="AS51" s="25">
        <f t="shared" si="1"/>
        <v>28</v>
      </c>
      <c r="AT51" s="29">
        <f t="shared" si="2"/>
        <v>12</v>
      </c>
    </row>
    <row r="52">
      <c r="A52" s="7">
        <v>1.231231E8</v>
      </c>
      <c r="B52" s="3" t="s">
        <v>328</v>
      </c>
      <c r="C52" s="24">
        <v>1.0</v>
      </c>
      <c r="D52" s="7" t="s">
        <v>94</v>
      </c>
      <c r="E52" s="30">
        <v>1.0</v>
      </c>
      <c r="F52" s="25">
        <v>1.0</v>
      </c>
      <c r="G52" s="25">
        <v>1.0</v>
      </c>
      <c r="H52" s="25">
        <v>1.0</v>
      </c>
      <c r="I52" s="88">
        <v>1.0</v>
      </c>
      <c r="J52" s="25">
        <v>1.0</v>
      </c>
      <c r="K52" s="25">
        <v>1.0</v>
      </c>
      <c r="L52" s="25">
        <v>1.0</v>
      </c>
      <c r="M52" s="25">
        <v>1.0</v>
      </c>
      <c r="N52" s="25">
        <v>1.0</v>
      </c>
      <c r="O52" s="25">
        <v>1.0</v>
      </c>
      <c r="P52" s="25">
        <v>1.0</v>
      </c>
      <c r="Q52" s="25">
        <v>1.0</v>
      </c>
      <c r="R52" s="25">
        <v>1.0</v>
      </c>
      <c r="S52" s="25">
        <v>1.0</v>
      </c>
      <c r="T52" s="25">
        <v>1.0</v>
      </c>
      <c r="U52" s="25">
        <v>1.0</v>
      </c>
      <c r="V52" s="25">
        <v>1.0</v>
      </c>
      <c r="W52" s="25">
        <v>1.0</v>
      </c>
      <c r="X52" s="25">
        <v>1.0</v>
      </c>
      <c r="Y52" s="25">
        <v>1.0</v>
      </c>
      <c r="Z52" s="25">
        <v>1.0</v>
      </c>
      <c r="AA52" s="25">
        <v>1.0</v>
      </c>
      <c r="AB52" s="25">
        <v>1.0</v>
      </c>
      <c r="AC52" s="25">
        <v>1.0</v>
      </c>
      <c r="AD52" s="25">
        <v>1.0</v>
      </c>
      <c r="AE52" s="25">
        <v>1.0</v>
      </c>
      <c r="AF52" s="25">
        <v>1.0</v>
      </c>
      <c r="AG52" s="25">
        <v>0.0</v>
      </c>
      <c r="AH52" s="25">
        <v>0.0</v>
      </c>
      <c r="AI52" s="25">
        <v>0.0</v>
      </c>
      <c r="AJ52" s="25">
        <v>0.0</v>
      </c>
      <c r="AK52" s="25">
        <v>0.0</v>
      </c>
      <c r="AL52" s="25">
        <v>0.0</v>
      </c>
      <c r="AM52" s="25">
        <v>0.0</v>
      </c>
      <c r="AN52" s="25">
        <v>0.0</v>
      </c>
      <c r="AO52" s="25">
        <v>0.0</v>
      </c>
      <c r="AP52" s="25">
        <v>0.0</v>
      </c>
      <c r="AQ52" s="25">
        <v>0.0</v>
      </c>
      <c r="AR52" s="25">
        <v>0.0</v>
      </c>
      <c r="AS52" s="25">
        <f t="shared" si="1"/>
        <v>28</v>
      </c>
      <c r="AT52" s="29">
        <f t="shared" si="2"/>
        <v>12</v>
      </c>
    </row>
    <row r="53">
      <c r="A53" s="7">
        <v>7489746.0</v>
      </c>
      <c r="B53" s="3" t="s">
        <v>252</v>
      </c>
      <c r="C53" s="24">
        <v>1.0</v>
      </c>
      <c r="D53" s="7" t="s">
        <v>94</v>
      </c>
      <c r="E53" s="30">
        <v>1.0</v>
      </c>
      <c r="F53" s="25">
        <v>1.0</v>
      </c>
      <c r="G53" s="25">
        <v>1.0</v>
      </c>
      <c r="H53" s="25">
        <v>1.0</v>
      </c>
      <c r="I53" s="88">
        <v>1.0</v>
      </c>
      <c r="J53" s="25">
        <v>1.0</v>
      </c>
      <c r="K53" s="25">
        <v>1.0</v>
      </c>
      <c r="L53" s="25">
        <v>1.0</v>
      </c>
      <c r="M53" s="25">
        <v>1.0</v>
      </c>
      <c r="N53" s="25">
        <v>1.0</v>
      </c>
      <c r="O53" s="25">
        <v>1.0</v>
      </c>
      <c r="P53" s="25">
        <v>1.0</v>
      </c>
      <c r="Q53" s="25">
        <v>1.0</v>
      </c>
      <c r="R53" s="25">
        <v>1.0</v>
      </c>
      <c r="S53" s="25">
        <v>1.0</v>
      </c>
      <c r="T53" s="25">
        <v>1.0</v>
      </c>
      <c r="U53" s="25">
        <v>1.0</v>
      </c>
      <c r="V53" s="25">
        <v>1.0</v>
      </c>
      <c r="W53" s="25">
        <v>1.0</v>
      </c>
      <c r="X53" s="25">
        <v>1.0</v>
      </c>
      <c r="Y53" s="25">
        <v>0.5</v>
      </c>
      <c r="Z53" s="25">
        <v>0.0</v>
      </c>
      <c r="AA53" s="25">
        <v>0.0</v>
      </c>
      <c r="AB53" s="25">
        <v>0.0</v>
      </c>
      <c r="AC53" s="25">
        <v>0.0</v>
      </c>
      <c r="AD53" s="25">
        <v>0.0</v>
      </c>
      <c r="AE53" s="25">
        <v>0.0</v>
      </c>
      <c r="AF53" s="25">
        <v>0.0</v>
      </c>
      <c r="AG53" s="25">
        <v>0.0</v>
      </c>
      <c r="AH53" s="25">
        <v>0.0</v>
      </c>
      <c r="AI53" s="25">
        <v>0.0</v>
      </c>
      <c r="AJ53" s="25">
        <v>0.0</v>
      </c>
      <c r="AK53" s="25">
        <v>0.0</v>
      </c>
      <c r="AL53" s="25">
        <v>0.0</v>
      </c>
      <c r="AM53" s="25">
        <v>0.0</v>
      </c>
      <c r="AN53" s="25">
        <v>0.0</v>
      </c>
      <c r="AO53" s="25">
        <v>0.0</v>
      </c>
      <c r="AP53" s="25">
        <v>0.0</v>
      </c>
      <c r="AQ53" s="25">
        <v>0.0</v>
      </c>
      <c r="AR53" s="25">
        <v>0.0</v>
      </c>
      <c r="AS53" s="25">
        <f t="shared" si="1"/>
        <v>20.5</v>
      </c>
      <c r="AT53" s="29">
        <f t="shared" si="2"/>
        <v>19.5</v>
      </c>
    </row>
    <row r="54">
      <c r="A54" s="7">
        <v>8689198.0</v>
      </c>
      <c r="B54" s="3" t="s">
        <v>330</v>
      </c>
      <c r="C54" s="24">
        <v>2.0</v>
      </c>
      <c r="D54" s="7" t="s">
        <v>94</v>
      </c>
      <c r="E54" s="30">
        <v>1.0</v>
      </c>
      <c r="F54" s="25">
        <v>1.0</v>
      </c>
      <c r="G54" s="25">
        <v>1.0</v>
      </c>
      <c r="H54" s="25">
        <v>1.0</v>
      </c>
      <c r="I54" s="88">
        <v>1.0</v>
      </c>
      <c r="J54" s="25">
        <v>1.0</v>
      </c>
      <c r="K54" s="25">
        <v>1.0</v>
      </c>
      <c r="L54" s="25">
        <v>1.0</v>
      </c>
      <c r="M54" s="25">
        <v>1.0</v>
      </c>
      <c r="N54" s="25">
        <v>1.0</v>
      </c>
      <c r="O54" s="25">
        <v>1.0</v>
      </c>
      <c r="P54" s="25">
        <v>1.0</v>
      </c>
      <c r="Q54" s="25">
        <v>1.0</v>
      </c>
      <c r="R54" s="25">
        <v>1.0</v>
      </c>
      <c r="S54" s="25">
        <v>1.0</v>
      </c>
      <c r="T54" s="25">
        <v>1.0</v>
      </c>
      <c r="U54" s="25">
        <v>1.0</v>
      </c>
      <c r="V54" s="25">
        <v>1.0</v>
      </c>
      <c r="W54" s="25">
        <v>1.0</v>
      </c>
      <c r="X54" s="25">
        <v>1.0</v>
      </c>
      <c r="Y54" s="25">
        <v>1.0</v>
      </c>
      <c r="Z54" s="25">
        <v>1.0</v>
      </c>
      <c r="AA54" s="25">
        <v>1.0</v>
      </c>
      <c r="AB54" s="25">
        <v>1.0</v>
      </c>
      <c r="AC54" s="25">
        <v>1.0</v>
      </c>
      <c r="AD54" s="25">
        <v>1.0</v>
      </c>
      <c r="AE54" s="25">
        <v>1.0</v>
      </c>
      <c r="AF54" s="25">
        <v>1.0</v>
      </c>
      <c r="AG54" s="25">
        <v>0.0</v>
      </c>
      <c r="AH54" s="25">
        <v>0.0</v>
      </c>
      <c r="AI54" s="25">
        <v>0.0</v>
      </c>
      <c r="AJ54" s="25">
        <v>0.0</v>
      </c>
      <c r="AK54" s="25">
        <v>0.0</v>
      </c>
      <c r="AL54" s="25">
        <v>0.0</v>
      </c>
      <c r="AM54" s="25">
        <v>0.0</v>
      </c>
      <c r="AN54" s="25">
        <v>0.0</v>
      </c>
      <c r="AO54" s="25">
        <v>0.0</v>
      </c>
      <c r="AP54" s="25">
        <v>0.0</v>
      </c>
      <c r="AQ54" s="25">
        <v>0.0</v>
      </c>
      <c r="AR54" s="25">
        <v>0.0</v>
      </c>
      <c r="AS54" s="25">
        <f t="shared" si="1"/>
        <v>28</v>
      </c>
      <c r="AT54" s="29">
        <f t="shared" si="2"/>
        <v>12</v>
      </c>
    </row>
    <row r="55">
      <c r="A55" s="7">
        <v>7379602.0</v>
      </c>
      <c r="B55" s="3" t="s">
        <v>258</v>
      </c>
      <c r="C55" s="24">
        <v>2.0</v>
      </c>
      <c r="D55" s="7" t="s">
        <v>94</v>
      </c>
      <c r="E55" s="30">
        <v>1.0</v>
      </c>
      <c r="F55" s="25">
        <v>1.0</v>
      </c>
      <c r="G55" s="25">
        <v>1.0</v>
      </c>
      <c r="H55" s="25">
        <v>0.5</v>
      </c>
      <c r="I55" s="88">
        <v>0.0</v>
      </c>
      <c r="J55" s="25">
        <v>0.0</v>
      </c>
      <c r="K55" s="25">
        <v>0.5</v>
      </c>
      <c r="L55" s="25">
        <v>1.0</v>
      </c>
      <c r="M55" s="25">
        <v>1.0</v>
      </c>
      <c r="N55" s="25">
        <v>1.0</v>
      </c>
      <c r="O55" s="25">
        <v>1.0</v>
      </c>
      <c r="P55" s="25">
        <v>1.0</v>
      </c>
      <c r="Q55" s="25">
        <v>1.0</v>
      </c>
      <c r="R55" s="25">
        <v>0.5</v>
      </c>
      <c r="S55" s="25">
        <v>0.0</v>
      </c>
      <c r="T55" s="25">
        <v>0.0</v>
      </c>
      <c r="U55" s="25">
        <v>0.5</v>
      </c>
      <c r="V55" s="25">
        <v>1.0</v>
      </c>
      <c r="W55" s="25">
        <v>1.0</v>
      </c>
      <c r="X55" s="25">
        <v>1.0</v>
      </c>
      <c r="Y55" s="25">
        <v>1.0</v>
      </c>
      <c r="Z55" s="25">
        <v>1.0</v>
      </c>
      <c r="AA55" s="25">
        <v>1.0</v>
      </c>
      <c r="AB55" s="25">
        <v>1.0</v>
      </c>
      <c r="AC55" s="25">
        <v>1.0</v>
      </c>
      <c r="AD55" s="25">
        <v>1.0</v>
      </c>
      <c r="AE55" s="25">
        <v>1.0</v>
      </c>
      <c r="AF55" s="25">
        <v>1.0</v>
      </c>
      <c r="AG55" s="25">
        <v>1.0</v>
      </c>
      <c r="AH55" s="25">
        <v>1.0</v>
      </c>
      <c r="AI55" s="25">
        <v>1.0</v>
      </c>
      <c r="AJ55" s="25">
        <v>1.0</v>
      </c>
      <c r="AK55" s="25">
        <v>1.0</v>
      </c>
      <c r="AL55" s="25">
        <v>1.0</v>
      </c>
      <c r="AM55" s="25">
        <v>0.0</v>
      </c>
      <c r="AN55" s="25">
        <v>0.0</v>
      </c>
      <c r="AO55" s="25">
        <v>0.0</v>
      </c>
      <c r="AP55" s="25">
        <v>0.0</v>
      </c>
      <c r="AQ55" s="25">
        <v>0.0</v>
      </c>
      <c r="AR55" s="25">
        <v>0.0</v>
      </c>
      <c r="AS55" s="25">
        <f t="shared" si="1"/>
        <v>28</v>
      </c>
      <c r="AT55" s="29">
        <f t="shared" si="2"/>
        <v>12</v>
      </c>
    </row>
    <row r="56">
      <c r="A56" s="7">
        <v>4667148.0</v>
      </c>
      <c r="B56" s="3" t="s">
        <v>55</v>
      </c>
      <c r="C56" s="24">
        <v>1.0</v>
      </c>
      <c r="D56" s="7" t="s">
        <v>116</v>
      </c>
      <c r="E56" s="30">
        <v>1.0</v>
      </c>
      <c r="F56" s="25">
        <v>1.0</v>
      </c>
      <c r="G56" s="25">
        <v>1.0</v>
      </c>
      <c r="H56" s="25">
        <v>1.0</v>
      </c>
      <c r="I56" s="88">
        <v>1.0</v>
      </c>
      <c r="J56" s="25">
        <v>1.0</v>
      </c>
      <c r="K56" s="25">
        <v>1.0</v>
      </c>
      <c r="L56" s="25">
        <v>1.0</v>
      </c>
      <c r="M56" s="25">
        <v>1.0</v>
      </c>
      <c r="N56" s="25">
        <v>1.0</v>
      </c>
      <c r="O56" s="25">
        <v>1.0</v>
      </c>
      <c r="P56" s="25">
        <v>1.0</v>
      </c>
      <c r="Q56" s="25">
        <v>1.0</v>
      </c>
      <c r="R56" s="25">
        <v>0.5</v>
      </c>
      <c r="S56" s="25">
        <v>0.0</v>
      </c>
      <c r="T56" s="25">
        <v>0.0</v>
      </c>
      <c r="U56" s="25">
        <v>0.0</v>
      </c>
      <c r="V56" s="25">
        <v>0.0</v>
      </c>
      <c r="W56" s="25">
        <v>0.0</v>
      </c>
      <c r="X56" s="25">
        <v>0.5</v>
      </c>
      <c r="Y56" s="25">
        <v>1.0</v>
      </c>
      <c r="Z56" s="25">
        <v>1.0</v>
      </c>
      <c r="AA56" s="25">
        <v>1.0</v>
      </c>
      <c r="AB56" s="25">
        <v>1.0</v>
      </c>
      <c r="AC56" s="25">
        <v>1.0</v>
      </c>
      <c r="AD56" s="25">
        <v>1.0</v>
      </c>
      <c r="AE56" s="25">
        <v>1.0</v>
      </c>
      <c r="AF56" s="25">
        <v>1.0</v>
      </c>
      <c r="AG56" s="25">
        <v>1.0</v>
      </c>
      <c r="AH56" s="25">
        <v>1.0</v>
      </c>
      <c r="AI56" s="25">
        <v>1.0</v>
      </c>
      <c r="AJ56" s="25">
        <v>1.0</v>
      </c>
      <c r="AK56" s="25">
        <v>1.0</v>
      </c>
      <c r="AL56" s="25">
        <v>1.0</v>
      </c>
      <c r="AM56" s="25">
        <v>0.0</v>
      </c>
      <c r="AN56" s="25">
        <v>0.0</v>
      </c>
      <c r="AO56" s="25">
        <v>0.0</v>
      </c>
      <c r="AP56" s="25">
        <v>0.0</v>
      </c>
      <c r="AQ56" s="25">
        <v>0.0</v>
      </c>
      <c r="AR56" s="25">
        <v>0.0</v>
      </c>
      <c r="AS56" s="25">
        <f t="shared" si="1"/>
        <v>28</v>
      </c>
      <c r="AT56" s="29">
        <f t="shared" si="2"/>
        <v>12</v>
      </c>
    </row>
    <row r="57">
      <c r="A57" s="7">
        <v>6874858.0</v>
      </c>
      <c r="B57" s="3" t="s">
        <v>275</v>
      </c>
      <c r="C57" s="24">
        <v>1.0</v>
      </c>
      <c r="D57" s="7" t="s">
        <v>214</v>
      </c>
      <c r="E57" s="30">
        <v>1.0</v>
      </c>
      <c r="F57" s="25">
        <v>1.0</v>
      </c>
      <c r="G57" s="25">
        <v>1.0</v>
      </c>
      <c r="H57" s="25">
        <v>1.0</v>
      </c>
      <c r="I57" s="88">
        <v>1.0</v>
      </c>
      <c r="J57" s="25">
        <v>1.0</v>
      </c>
      <c r="K57" s="25">
        <v>1.0</v>
      </c>
      <c r="L57" s="25">
        <v>0.5</v>
      </c>
      <c r="M57" s="25">
        <v>0.0</v>
      </c>
      <c r="N57" s="25">
        <v>0.0</v>
      </c>
      <c r="O57" s="25">
        <v>0.0</v>
      </c>
      <c r="P57" s="25">
        <v>0.0</v>
      </c>
      <c r="Q57" s="25">
        <v>0.0</v>
      </c>
      <c r="R57" s="25">
        <v>0.0</v>
      </c>
      <c r="S57" s="25">
        <v>0.0</v>
      </c>
      <c r="T57" s="25">
        <v>0.0</v>
      </c>
      <c r="U57" s="25">
        <v>0.0</v>
      </c>
      <c r="V57" s="25">
        <v>0.0</v>
      </c>
      <c r="W57" s="25">
        <v>0.0</v>
      </c>
      <c r="X57" s="25">
        <v>0.0</v>
      </c>
      <c r="Y57" s="25">
        <v>0.0</v>
      </c>
      <c r="Z57" s="25">
        <v>0.0</v>
      </c>
      <c r="AA57" s="25">
        <v>0.0</v>
      </c>
      <c r="AB57" s="25">
        <v>0.0</v>
      </c>
      <c r="AC57" s="25">
        <v>0.0</v>
      </c>
      <c r="AD57" s="25">
        <v>0.0</v>
      </c>
      <c r="AE57" s="25">
        <v>0.0</v>
      </c>
      <c r="AF57" s="25">
        <v>0.0</v>
      </c>
      <c r="AG57" s="25">
        <v>0.0</v>
      </c>
      <c r="AH57" s="25">
        <v>0.0</v>
      </c>
      <c r="AI57" s="25">
        <v>0.0</v>
      </c>
      <c r="AJ57" s="25">
        <v>0.0</v>
      </c>
      <c r="AK57" s="25">
        <v>0.0</v>
      </c>
      <c r="AL57" s="25">
        <v>0.0</v>
      </c>
      <c r="AM57" s="25">
        <v>0.0</v>
      </c>
      <c r="AN57" s="25">
        <v>0.0</v>
      </c>
      <c r="AO57" s="25">
        <v>0.0</v>
      </c>
      <c r="AP57" s="25">
        <v>0.0</v>
      </c>
      <c r="AQ57" s="25">
        <v>0.0</v>
      </c>
      <c r="AR57" s="25">
        <v>0.0</v>
      </c>
      <c r="AS57" s="25">
        <f t="shared" si="1"/>
        <v>7.5</v>
      </c>
      <c r="AT57" s="29">
        <f t="shared" si="2"/>
        <v>32.5</v>
      </c>
    </row>
    <row r="58">
      <c r="A58" s="7">
        <v>4635553.0</v>
      </c>
      <c r="B58" s="3" t="s">
        <v>222</v>
      </c>
      <c r="C58" s="24">
        <v>3.0</v>
      </c>
      <c r="D58" s="7" t="s">
        <v>94</v>
      </c>
      <c r="E58" s="30">
        <v>1.0</v>
      </c>
      <c r="F58" s="25">
        <v>1.0</v>
      </c>
      <c r="G58" s="25">
        <v>1.0</v>
      </c>
      <c r="H58" s="25">
        <v>1.0</v>
      </c>
      <c r="I58" s="88">
        <v>1.0</v>
      </c>
      <c r="J58" s="25">
        <v>1.0</v>
      </c>
      <c r="K58" s="25">
        <v>1.0</v>
      </c>
      <c r="L58" s="25">
        <v>1.0</v>
      </c>
      <c r="M58" s="25">
        <v>1.0</v>
      </c>
      <c r="N58" s="25">
        <v>1.0</v>
      </c>
      <c r="O58" s="25">
        <v>1.0</v>
      </c>
      <c r="P58" s="25">
        <v>1.0</v>
      </c>
      <c r="Q58" s="25">
        <v>1.0</v>
      </c>
      <c r="R58" s="25">
        <v>1.0</v>
      </c>
      <c r="S58" s="25">
        <v>1.0</v>
      </c>
      <c r="T58" s="25">
        <v>1.0</v>
      </c>
      <c r="U58" s="25">
        <v>1.0</v>
      </c>
      <c r="V58" s="25">
        <v>1.0</v>
      </c>
      <c r="W58" s="25">
        <v>1.0</v>
      </c>
      <c r="X58" s="25">
        <v>1.0</v>
      </c>
      <c r="Y58" s="25">
        <v>1.0</v>
      </c>
      <c r="Z58" s="25">
        <v>1.0</v>
      </c>
      <c r="AA58" s="25">
        <v>1.0</v>
      </c>
      <c r="AB58" s="25">
        <v>1.0</v>
      </c>
      <c r="AC58" s="25">
        <v>0.5</v>
      </c>
      <c r="AD58" s="25">
        <v>0.0</v>
      </c>
      <c r="AE58" s="25">
        <v>0.0</v>
      </c>
      <c r="AF58" s="25">
        <v>0.0</v>
      </c>
      <c r="AG58" s="25">
        <v>0.0</v>
      </c>
      <c r="AH58" s="25">
        <v>0.0</v>
      </c>
      <c r="AI58" s="25">
        <v>0.0</v>
      </c>
      <c r="AJ58" s="25">
        <v>0.0</v>
      </c>
      <c r="AK58" s="25">
        <v>0.0</v>
      </c>
      <c r="AL58" s="25">
        <v>0.0</v>
      </c>
      <c r="AM58" s="25">
        <v>0.0</v>
      </c>
      <c r="AN58" s="25">
        <v>0.0</v>
      </c>
      <c r="AO58" s="25">
        <v>0.0</v>
      </c>
      <c r="AP58" s="25">
        <v>0.0</v>
      </c>
      <c r="AQ58" s="25">
        <v>0.0</v>
      </c>
      <c r="AR58" s="25">
        <v>0.0</v>
      </c>
      <c r="AS58" s="25">
        <f t="shared" si="1"/>
        <v>24.5</v>
      </c>
      <c r="AT58" s="29">
        <f t="shared" si="2"/>
        <v>15.5</v>
      </c>
    </row>
    <row r="59">
      <c r="A59" s="7">
        <v>8577287.0</v>
      </c>
      <c r="B59" s="3" t="s">
        <v>72</v>
      </c>
      <c r="C59" s="24">
        <v>2.0</v>
      </c>
      <c r="D59" s="7" t="s">
        <v>94</v>
      </c>
      <c r="E59" s="30">
        <v>1.0</v>
      </c>
      <c r="F59" s="25">
        <v>1.0</v>
      </c>
      <c r="G59" s="25">
        <v>1.0</v>
      </c>
      <c r="H59" s="25">
        <v>1.0</v>
      </c>
      <c r="I59" s="88">
        <v>1.0</v>
      </c>
      <c r="J59" s="25">
        <v>1.0</v>
      </c>
      <c r="K59" s="25">
        <v>1.0</v>
      </c>
      <c r="L59" s="25">
        <v>1.0</v>
      </c>
      <c r="M59" s="25">
        <v>1.0</v>
      </c>
      <c r="N59" s="25">
        <v>1.0</v>
      </c>
      <c r="O59" s="25">
        <v>1.0</v>
      </c>
      <c r="P59" s="25">
        <v>1.0</v>
      </c>
      <c r="Q59" s="25">
        <v>1.0</v>
      </c>
      <c r="R59" s="25">
        <v>1.0</v>
      </c>
      <c r="S59" s="25">
        <v>1.0</v>
      </c>
      <c r="T59" s="25">
        <v>1.0</v>
      </c>
      <c r="U59" s="25">
        <v>1.0</v>
      </c>
      <c r="V59" s="25">
        <v>1.0</v>
      </c>
      <c r="W59" s="25">
        <v>1.0</v>
      </c>
      <c r="X59" s="25">
        <v>1.0</v>
      </c>
      <c r="Y59" s="25">
        <v>1.0</v>
      </c>
      <c r="Z59" s="25">
        <v>1.0</v>
      </c>
      <c r="AA59" s="25">
        <v>1.0</v>
      </c>
      <c r="AB59" s="25">
        <v>1.0</v>
      </c>
      <c r="AC59" s="25">
        <v>0.5</v>
      </c>
      <c r="AD59" s="25">
        <v>0.0</v>
      </c>
      <c r="AE59" s="25">
        <v>0.0</v>
      </c>
      <c r="AF59" s="25">
        <v>0.0</v>
      </c>
      <c r="AG59" s="25">
        <v>0.0</v>
      </c>
      <c r="AH59" s="25">
        <v>0.5</v>
      </c>
      <c r="AI59" s="25">
        <v>1.0</v>
      </c>
      <c r="AJ59" s="25">
        <v>1.0</v>
      </c>
      <c r="AK59" s="25">
        <v>1.0</v>
      </c>
      <c r="AL59" s="25">
        <v>0.0</v>
      </c>
      <c r="AM59" s="25">
        <v>0.0</v>
      </c>
      <c r="AN59" s="25">
        <v>0.0</v>
      </c>
      <c r="AO59" s="25">
        <v>0.0</v>
      </c>
      <c r="AP59" s="25">
        <v>0.0</v>
      </c>
      <c r="AQ59" s="25">
        <v>0.0</v>
      </c>
      <c r="AR59" s="25">
        <v>0.0</v>
      </c>
      <c r="AS59" s="25">
        <f t="shared" si="1"/>
        <v>28</v>
      </c>
      <c r="AT59" s="29">
        <f t="shared" si="2"/>
        <v>12</v>
      </c>
    </row>
    <row r="60">
      <c r="A60" s="7">
        <v>5222292.0</v>
      </c>
      <c r="B60" s="3" t="s">
        <v>67</v>
      </c>
      <c r="C60" s="24">
        <v>1.0</v>
      </c>
      <c r="D60" s="7" t="s">
        <v>94</v>
      </c>
      <c r="E60" s="30">
        <v>1.0</v>
      </c>
      <c r="F60" s="25">
        <v>1.0</v>
      </c>
      <c r="G60" s="25">
        <v>1.0</v>
      </c>
      <c r="H60" s="25">
        <v>1.0</v>
      </c>
      <c r="I60" s="88">
        <v>1.0</v>
      </c>
      <c r="J60" s="25">
        <v>1.0</v>
      </c>
      <c r="K60" s="25">
        <v>1.0</v>
      </c>
      <c r="L60" s="25">
        <v>1.0</v>
      </c>
      <c r="M60" s="25">
        <v>1.0</v>
      </c>
      <c r="N60" s="25">
        <v>1.0</v>
      </c>
      <c r="O60" s="25">
        <v>1.0</v>
      </c>
      <c r="P60" s="25">
        <v>1.0</v>
      </c>
      <c r="Q60" s="25">
        <v>1.0</v>
      </c>
      <c r="R60" s="25">
        <v>1.0</v>
      </c>
      <c r="S60" s="25">
        <v>1.0</v>
      </c>
      <c r="T60" s="25">
        <v>1.0</v>
      </c>
      <c r="U60" s="25">
        <v>1.0</v>
      </c>
      <c r="V60" s="25">
        <v>1.0</v>
      </c>
      <c r="W60" s="25">
        <v>1.0</v>
      </c>
      <c r="X60" s="25">
        <v>1.0</v>
      </c>
      <c r="Y60" s="25">
        <v>1.0</v>
      </c>
      <c r="Z60" s="25">
        <v>1.0</v>
      </c>
      <c r="AA60" s="25">
        <v>0.5</v>
      </c>
      <c r="AB60" s="25">
        <v>0.0</v>
      </c>
      <c r="AC60" s="25">
        <v>0.0</v>
      </c>
      <c r="AD60" s="25">
        <v>0.0</v>
      </c>
      <c r="AE60" s="25">
        <v>0.0</v>
      </c>
      <c r="AF60" s="25">
        <v>0.0</v>
      </c>
      <c r="AG60" s="25">
        <v>0.0</v>
      </c>
      <c r="AH60" s="25">
        <v>0.0</v>
      </c>
      <c r="AI60" s="25">
        <v>0.0</v>
      </c>
      <c r="AJ60" s="25">
        <v>0.0</v>
      </c>
      <c r="AK60" s="25">
        <v>0.0</v>
      </c>
      <c r="AL60" s="25">
        <v>0.0</v>
      </c>
      <c r="AM60" s="25">
        <v>0.0</v>
      </c>
      <c r="AN60" s="25">
        <v>0.0</v>
      </c>
      <c r="AO60" s="25">
        <v>0.0</v>
      </c>
      <c r="AP60" s="25">
        <v>0.0</v>
      </c>
      <c r="AQ60" s="25">
        <v>0.0</v>
      </c>
      <c r="AR60" s="25">
        <v>0.0</v>
      </c>
      <c r="AS60" s="25">
        <f t="shared" si="1"/>
        <v>22.5</v>
      </c>
      <c r="AT60" s="29">
        <f t="shared" si="2"/>
        <v>17.5</v>
      </c>
    </row>
    <row r="61">
      <c r="A61" s="7">
        <v>7593462.0</v>
      </c>
      <c r="B61" s="3" t="s">
        <v>332</v>
      </c>
      <c r="C61" s="24">
        <v>1.0</v>
      </c>
      <c r="D61" s="7" t="s">
        <v>94</v>
      </c>
      <c r="E61" s="30">
        <v>1.0</v>
      </c>
      <c r="F61" s="25">
        <v>1.0</v>
      </c>
      <c r="G61" s="25">
        <v>1.0</v>
      </c>
      <c r="H61" s="25">
        <v>1.0</v>
      </c>
      <c r="I61" s="88">
        <v>1.0</v>
      </c>
      <c r="J61" s="25">
        <v>1.0</v>
      </c>
      <c r="K61" s="25">
        <v>1.0</v>
      </c>
      <c r="L61" s="25">
        <v>1.0</v>
      </c>
      <c r="M61" s="25">
        <v>1.0</v>
      </c>
      <c r="N61" s="25">
        <v>1.0</v>
      </c>
      <c r="O61" s="25">
        <v>1.0</v>
      </c>
      <c r="P61" s="25">
        <v>1.0</v>
      </c>
      <c r="Q61" s="25">
        <v>1.0</v>
      </c>
      <c r="R61" s="25">
        <v>1.0</v>
      </c>
      <c r="S61" s="25">
        <v>1.0</v>
      </c>
      <c r="T61" s="25">
        <v>1.0</v>
      </c>
      <c r="U61" s="25">
        <v>1.0</v>
      </c>
      <c r="V61" s="25">
        <v>1.0</v>
      </c>
      <c r="W61" s="25">
        <v>1.0</v>
      </c>
      <c r="X61" s="25">
        <v>1.0</v>
      </c>
      <c r="Y61" s="25">
        <v>1.0</v>
      </c>
      <c r="Z61" s="25">
        <v>1.0</v>
      </c>
      <c r="AA61" s="25">
        <v>1.0</v>
      </c>
      <c r="AB61" s="25">
        <v>1.0</v>
      </c>
      <c r="AC61" s="25">
        <v>1.0</v>
      </c>
      <c r="AD61" s="25">
        <v>1.0</v>
      </c>
      <c r="AE61" s="25">
        <v>1.0</v>
      </c>
      <c r="AF61" s="25">
        <v>1.0</v>
      </c>
      <c r="AG61" s="25">
        <v>0.0</v>
      </c>
      <c r="AH61" s="25">
        <v>0.0</v>
      </c>
      <c r="AI61" s="25">
        <v>0.0</v>
      </c>
      <c r="AJ61" s="25">
        <v>0.0</v>
      </c>
      <c r="AK61" s="25">
        <v>0.0</v>
      </c>
      <c r="AL61" s="25">
        <v>0.0</v>
      </c>
      <c r="AM61" s="25">
        <v>0.0</v>
      </c>
      <c r="AN61" s="25">
        <v>0.0</v>
      </c>
      <c r="AO61" s="25">
        <v>0.0</v>
      </c>
      <c r="AP61" s="25">
        <v>0.0</v>
      </c>
      <c r="AQ61" s="25">
        <v>0.0</v>
      </c>
      <c r="AR61" s="25">
        <v>0.0</v>
      </c>
      <c r="AS61" s="25">
        <f t="shared" si="1"/>
        <v>28</v>
      </c>
      <c r="AT61" s="29">
        <f t="shared" si="2"/>
        <v>12</v>
      </c>
    </row>
    <row r="62">
      <c r="A62" s="7">
        <v>5759919.0</v>
      </c>
      <c r="B62" s="3" t="s">
        <v>175</v>
      </c>
      <c r="C62" s="24">
        <v>2.0</v>
      </c>
      <c r="D62" s="7" t="s">
        <v>94</v>
      </c>
      <c r="E62" s="30">
        <v>0.0</v>
      </c>
      <c r="F62" s="25">
        <v>0.0</v>
      </c>
      <c r="G62" s="25">
        <v>0.0</v>
      </c>
      <c r="H62" s="25">
        <v>0.0</v>
      </c>
      <c r="I62" s="88">
        <v>0.0</v>
      </c>
      <c r="J62" s="25">
        <v>0.0</v>
      </c>
      <c r="K62" s="25">
        <v>0.0</v>
      </c>
      <c r="L62" s="25">
        <v>0.0</v>
      </c>
      <c r="M62" s="25">
        <v>0.5</v>
      </c>
      <c r="N62" s="25">
        <v>1.0</v>
      </c>
      <c r="O62" s="25">
        <v>1.0</v>
      </c>
      <c r="P62" s="25">
        <v>1.0</v>
      </c>
      <c r="Q62" s="25">
        <v>1.0</v>
      </c>
      <c r="R62" s="25">
        <v>1.0</v>
      </c>
      <c r="S62" s="25">
        <v>1.0</v>
      </c>
      <c r="T62" s="25">
        <v>1.0</v>
      </c>
      <c r="U62" s="25">
        <v>1.0</v>
      </c>
      <c r="V62" s="25">
        <v>1.0</v>
      </c>
      <c r="W62" s="25">
        <v>1.0</v>
      </c>
      <c r="X62" s="25">
        <v>1.0</v>
      </c>
      <c r="Y62" s="25">
        <v>1.0</v>
      </c>
      <c r="Z62" s="25">
        <v>1.0</v>
      </c>
      <c r="AA62" s="25">
        <v>1.0</v>
      </c>
      <c r="AB62" s="25">
        <v>0.5</v>
      </c>
      <c r="AC62" s="25">
        <v>0.0</v>
      </c>
      <c r="AD62" s="25">
        <v>0.0</v>
      </c>
      <c r="AE62" s="25">
        <v>0.0</v>
      </c>
      <c r="AF62" s="25">
        <v>0.0</v>
      </c>
      <c r="AG62" s="25">
        <v>0.0</v>
      </c>
      <c r="AH62" s="25">
        <v>0.5</v>
      </c>
      <c r="AI62" s="25">
        <v>1.0</v>
      </c>
      <c r="AJ62" s="25">
        <v>1.0</v>
      </c>
      <c r="AK62" s="25">
        <v>1.0</v>
      </c>
      <c r="AL62" s="25">
        <v>1.0</v>
      </c>
      <c r="AM62" s="25">
        <v>1.0</v>
      </c>
      <c r="AN62" s="25">
        <v>1.0</v>
      </c>
      <c r="AO62" s="25">
        <v>1.0</v>
      </c>
      <c r="AP62" s="25">
        <v>1.0</v>
      </c>
      <c r="AQ62" s="25">
        <v>1.0</v>
      </c>
      <c r="AR62" s="25">
        <v>1.0</v>
      </c>
      <c r="AS62" s="25">
        <f t="shared" si="1"/>
        <v>25.5</v>
      </c>
      <c r="AT62" s="29">
        <f t="shared" si="2"/>
        <v>14.5</v>
      </c>
    </row>
    <row r="63">
      <c r="A63" s="7">
        <v>8621107.0</v>
      </c>
      <c r="B63" s="3" t="s">
        <v>56</v>
      </c>
      <c r="C63" s="24">
        <v>3.0</v>
      </c>
      <c r="D63" s="7" t="s">
        <v>116</v>
      </c>
      <c r="E63" s="30">
        <v>1.0</v>
      </c>
      <c r="F63" s="25">
        <v>1.0</v>
      </c>
      <c r="G63" s="25">
        <v>1.0</v>
      </c>
      <c r="H63" s="25">
        <v>1.0</v>
      </c>
      <c r="I63" s="88">
        <v>1.0</v>
      </c>
      <c r="J63" s="25">
        <v>1.0</v>
      </c>
      <c r="K63" s="25">
        <v>1.0</v>
      </c>
      <c r="L63" s="25">
        <v>1.0</v>
      </c>
      <c r="M63" s="25">
        <v>1.0</v>
      </c>
      <c r="N63" s="25">
        <v>1.0</v>
      </c>
      <c r="O63" s="25">
        <v>1.0</v>
      </c>
      <c r="P63" s="25">
        <v>1.0</v>
      </c>
      <c r="Q63" s="25">
        <v>1.0</v>
      </c>
      <c r="R63" s="25">
        <v>0.5</v>
      </c>
      <c r="S63" s="25">
        <v>0.0</v>
      </c>
      <c r="T63" s="25">
        <v>0.5</v>
      </c>
      <c r="U63" s="25">
        <v>1.0</v>
      </c>
      <c r="V63" s="25">
        <v>1.0</v>
      </c>
      <c r="W63" s="25">
        <v>1.0</v>
      </c>
      <c r="X63" s="25">
        <v>1.0</v>
      </c>
      <c r="Y63" s="25">
        <v>1.0</v>
      </c>
      <c r="Z63" s="25">
        <v>0.0</v>
      </c>
      <c r="AA63" s="25">
        <v>0.0</v>
      </c>
      <c r="AB63" s="25">
        <v>0.0</v>
      </c>
      <c r="AC63" s="25">
        <v>0.0</v>
      </c>
      <c r="AD63" s="25">
        <v>0.0</v>
      </c>
      <c r="AE63" s="25">
        <v>1.0</v>
      </c>
      <c r="AF63" s="25">
        <v>1.0</v>
      </c>
      <c r="AG63" s="25">
        <v>0.5</v>
      </c>
      <c r="AH63" s="25">
        <v>0.0</v>
      </c>
      <c r="AI63" s="25">
        <v>0.0</v>
      </c>
      <c r="AJ63" s="25">
        <v>0.0</v>
      </c>
      <c r="AK63" s="25">
        <v>0.0</v>
      </c>
      <c r="AL63" s="25">
        <v>0.5</v>
      </c>
      <c r="AM63" s="25">
        <v>1.0</v>
      </c>
      <c r="AN63" s="25">
        <v>1.0</v>
      </c>
      <c r="AO63" s="25">
        <v>1.0</v>
      </c>
      <c r="AP63" s="25">
        <v>1.0</v>
      </c>
      <c r="AQ63" s="25">
        <v>1.0</v>
      </c>
      <c r="AR63" s="25">
        <v>1.0</v>
      </c>
      <c r="AS63" s="25">
        <f t="shared" si="1"/>
        <v>28</v>
      </c>
      <c r="AT63" s="29">
        <f t="shared" si="2"/>
        <v>12</v>
      </c>
    </row>
    <row r="64">
      <c r="A64" s="7">
        <v>3779457.0</v>
      </c>
      <c r="B64" s="3" t="s">
        <v>333</v>
      </c>
      <c r="C64" s="24">
        <v>4.0</v>
      </c>
      <c r="D64" s="7" t="s">
        <v>188</v>
      </c>
      <c r="E64" s="30">
        <v>1.0</v>
      </c>
      <c r="F64" s="25">
        <v>1.0</v>
      </c>
      <c r="G64" s="25">
        <v>1.0</v>
      </c>
      <c r="H64" s="25">
        <v>1.0</v>
      </c>
      <c r="I64" s="88">
        <v>1.0</v>
      </c>
      <c r="J64" s="25">
        <v>1.0</v>
      </c>
      <c r="K64" s="25">
        <v>1.0</v>
      </c>
      <c r="L64" s="25">
        <v>1.0</v>
      </c>
      <c r="M64" s="25">
        <v>1.0</v>
      </c>
      <c r="N64" s="25">
        <v>1.0</v>
      </c>
      <c r="O64" s="25">
        <v>1.0</v>
      </c>
      <c r="P64" s="25">
        <v>1.0</v>
      </c>
      <c r="Q64" s="25">
        <v>1.0</v>
      </c>
      <c r="R64" s="25">
        <v>1.0</v>
      </c>
      <c r="S64" s="25">
        <v>1.0</v>
      </c>
      <c r="T64" s="25">
        <v>1.0</v>
      </c>
      <c r="U64" s="25">
        <v>1.0</v>
      </c>
      <c r="V64" s="25">
        <v>1.0</v>
      </c>
      <c r="W64" s="25">
        <v>1.0</v>
      </c>
      <c r="X64" s="25">
        <v>1.0</v>
      </c>
      <c r="Y64" s="25">
        <v>1.0</v>
      </c>
      <c r="Z64" s="25">
        <v>1.0</v>
      </c>
      <c r="AA64" s="25">
        <v>1.0</v>
      </c>
      <c r="AB64" s="25">
        <v>1.0</v>
      </c>
      <c r="AC64" s="25">
        <v>1.0</v>
      </c>
      <c r="AD64" s="25">
        <v>1.0</v>
      </c>
      <c r="AE64" s="25">
        <v>1.0</v>
      </c>
      <c r="AF64" s="25">
        <v>1.0</v>
      </c>
      <c r="AG64" s="25">
        <v>1.0</v>
      </c>
      <c r="AH64" s="25">
        <v>1.0</v>
      </c>
      <c r="AI64" s="25">
        <v>1.0</v>
      </c>
      <c r="AJ64" s="25">
        <v>1.0</v>
      </c>
      <c r="AK64" s="25">
        <v>1.0</v>
      </c>
      <c r="AL64" s="25">
        <v>1.0</v>
      </c>
      <c r="AM64" s="25">
        <v>1.0</v>
      </c>
      <c r="AN64" s="25">
        <v>1.0</v>
      </c>
      <c r="AO64" s="25">
        <v>1.0</v>
      </c>
      <c r="AP64" s="25">
        <v>1.0</v>
      </c>
      <c r="AQ64" s="25">
        <v>1.0</v>
      </c>
      <c r="AR64" s="25">
        <v>1.0</v>
      </c>
      <c r="AS64" s="25">
        <f t="shared" si="1"/>
        <v>40</v>
      </c>
      <c r="AT64" s="29">
        <f t="shared" si="2"/>
        <v>0</v>
      </c>
    </row>
    <row r="65">
      <c r="A65" s="7">
        <v>5075673.0</v>
      </c>
      <c r="B65" s="3" t="s">
        <v>84</v>
      </c>
      <c r="C65" s="24">
        <v>1.0</v>
      </c>
      <c r="D65" s="7" t="s">
        <v>94</v>
      </c>
      <c r="E65" s="30">
        <v>1.0</v>
      </c>
      <c r="F65" s="25">
        <v>1.0</v>
      </c>
      <c r="G65" s="25">
        <v>1.0</v>
      </c>
      <c r="H65" s="25">
        <v>1.0</v>
      </c>
      <c r="I65" s="88">
        <v>1.0</v>
      </c>
      <c r="J65" s="25">
        <v>1.0</v>
      </c>
      <c r="K65" s="25">
        <v>1.0</v>
      </c>
      <c r="L65" s="25">
        <v>1.0</v>
      </c>
      <c r="M65" s="25">
        <v>1.0</v>
      </c>
      <c r="N65" s="25">
        <v>1.0</v>
      </c>
      <c r="O65" s="25">
        <v>1.0</v>
      </c>
      <c r="P65" s="25">
        <v>1.0</v>
      </c>
      <c r="Q65" s="25">
        <v>1.0</v>
      </c>
      <c r="R65" s="25">
        <v>1.0</v>
      </c>
      <c r="S65" s="25">
        <v>1.0</v>
      </c>
      <c r="T65" s="25">
        <v>1.0</v>
      </c>
      <c r="U65" s="25">
        <v>1.0</v>
      </c>
      <c r="V65" s="25">
        <v>1.0</v>
      </c>
      <c r="W65" s="25">
        <v>1.0</v>
      </c>
      <c r="X65" s="25">
        <v>1.0</v>
      </c>
      <c r="Y65" s="25">
        <v>1.0</v>
      </c>
      <c r="Z65" s="25">
        <v>1.0</v>
      </c>
      <c r="AA65" s="25">
        <v>1.0</v>
      </c>
      <c r="AB65" s="25">
        <v>1.0</v>
      </c>
      <c r="AC65" s="25">
        <v>1.0</v>
      </c>
      <c r="AD65" s="25">
        <v>1.0</v>
      </c>
      <c r="AE65" s="25">
        <v>1.0</v>
      </c>
      <c r="AF65" s="25">
        <v>1.0</v>
      </c>
      <c r="AG65" s="25">
        <v>0.0</v>
      </c>
      <c r="AH65" s="25">
        <v>0.0</v>
      </c>
      <c r="AI65" s="25">
        <v>0.0</v>
      </c>
      <c r="AJ65" s="25">
        <v>0.0</v>
      </c>
      <c r="AK65" s="25">
        <v>0.0</v>
      </c>
      <c r="AL65" s="25">
        <v>0.0</v>
      </c>
      <c r="AM65" s="25">
        <v>0.0</v>
      </c>
      <c r="AN65" s="25">
        <v>0.0</v>
      </c>
      <c r="AO65" s="25">
        <v>0.0</v>
      </c>
      <c r="AP65" s="25">
        <v>0.0</v>
      </c>
      <c r="AQ65" s="25">
        <v>0.0</v>
      </c>
      <c r="AR65" s="25">
        <v>0.0</v>
      </c>
      <c r="AS65" s="25">
        <f t="shared" si="1"/>
        <v>28</v>
      </c>
      <c r="AT65" s="29">
        <f t="shared" si="2"/>
        <v>12</v>
      </c>
    </row>
    <row r="66">
      <c r="A66" s="7">
        <v>8622878.0</v>
      </c>
      <c r="B66" s="3" t="s">
        <v>334</v>
      </c>
      <c r="C66" s="24">
        <v>2.0</v>
      </c>
      <c r="D66" s="7" t="s">
        <v>94</v>
      </c>
      <c r="E66" s="30">
        <v>1.0</v>
      </c>
      <c r="F66" s="25">
        <v>1.0</v>
      </c>
      <c r="G66" s="25">
        <v>1.0</v>
      </c>
      <c r="H66" s="25">
        <v>1.0</v>
      </c>
      <c r="I66" s="88">
        <v>1.0</v>
      </c>
      <c r="J66" s="25">
        <v>1.0</v>
      </c>
      <c r="K66" s="25">
        <v>1.0</v>
      </c>
      <c r="L66" s="25">
        <v>1.0</v>
      </c>
      <c r="M66" s="25">
        <v>1.0</v>
      </c>
      <c r="N66" s="25">
        <v>1.0</v>
      </c>
      <c r="O66" s="25">
        <v>1.0</v>
      </c>
      <c r="P66" s="25">
        <v>1.0</v>
      </c>
      <c r="Q66" s="25">
        <v>1.0</v>
      </c>
      <c r="R66" s="25">
        <v>1.0</v>
      </c>
      <c r="S66" s="25">
        <v>1.0</v>
      </c>
      <c r="T66" s="25">
        <v>1.0</v>
      </c>
      <c r="U66" s="25">
        <v>1.0</v>
      </c>
      <c r="V66" s="25">
        <v>1.0</v>
      </c>
      <c r="W66" s="25">
        <v>1.0</v>
      </c>
      <c r="X66" s="25">
        <v>1.0</v>
      </c>
      <c r="Y66" s="25">
        <v>1.0</v>
      </c>
      <c r="Z66" s="25">
        <v>1.0</v>
      </c>
      <c r="AA66" s="25">
        <v>1.0</v>
      </c>
      <c r="AB66" s="25">
        <v>1.0</v>
      </c>
      <c r="AC66" s="25">
        <v>1.0</v>
      </c>
      <c r="AD66" s="25">
        <v>1.0</v>
      </c>
      <c r="AE66" s="25">
        <v>1.0</v>
      </c>
      <c r="AF66" s="25">
        <v>1.0</v>
      </c>
      <c r="AG66" s="25">
        <v>0.0</v>
      </c>
      <c r="AH66" s="25">
        <v>0.0</v>
      </c>
      <c r="AI66" s="25">
        <v>0.0</v>
      </c>
      <c r="AJ66" s="25">
        <v>0.0</v>
      </c>
      <c r="AK66" s="25">
        <v>0.0</v>
      </c>
      <c r="AL66" s="25">
        <v>0.0</v>
      </c>
      <c r="AM66" s="25">
        <v>0.0</v>
      </c>
      <c r="AN66" s="25">
        <v>0.0</v>
      </c>
      <c r="AO66" s="25">
        <v>0.0</v>
      </c>
      <c r="AP66" s="25">
        <v>0.0</v>
      </c>
      <c r="AQ66" s="25">
        <v>0.0</v>
      </c>
      <c r="AR66" s="25">
        <v>0.0</v>
      </c>
      <c r="AS66" s="25">
        <f t="shared" si="1"/>
        <v>28</v>
      </c>
      <c r="AT66" s="29">
        <f t="shared" si="2"/>
        <v>12</v>
      </c>
    </row>
    <row r="67">
      <c r="A67" s="7">
        <v>6357677.0</v>
      </c>
      <c r="B67" s="3" t="s">
        <v>336</v>
      </c>
      <c r="C67" s="24">
        <v>2.0</v>
      </c>
      <c r="D67" s="7" t="s">
        <v>87</v>
      </c>
      <c r="E67" s="30">
        <v>1.0</v>
      </c>
      <c r="F67" s="25">
        <v>1.0</v>
      </c>
      <c r="G67" s="25">
        <v>1.0</v>
      </c>
      <c r="H67" s="25">
        <v>1.0</v>
      </c>
      <c r="I67" s="88">
        <v>1.0</v>
      </c>
      <c r="J67" s="25">
        <v>0.0</v>
      </c>
      <c r="K67" s="25">
        <v>0.0</v>
      </c>
      <c r="L67" s="25">
        <v>0.0</v>
      </c>
      <c r="M67" s="25">
        <v>0.0</v>
      </c>
      <c r="N67" s="25">
        <v>1.0</v>
      </c>
      <c r="O67" s="25">
        <v>1.0</v>
      </c>
      <c r="P67" s="25">
        <v>1.0</v>
      </c>
      <c r="Q67" s="25">
        <v>1.0</v>
      </c>
      <c r="R67" s="25">
        <v>1.0</v>
      </c>
      <c r="S67" s="25">
        <v>1.0</v>
      </c>
      <c r="T67" s="25">
        <v>1.0</v>
      </c>
      <c r="U67" s="25">
        <v>1.0</v>
      </c>
      <c r="V67" s="25">
        <v>1.0</v>
      </c>
      <c r="W67" s="25">
        <v>1.0</v>
      </c>
      <c r="X67" s="25">
        <v>1.0</v>
      </c>
      <c r="Y67" s="25">
        <v>0.0</v>
      </c>
      <c r="Z67" s="25">
        <v>0.0</v>
      </c>
      <c r="AA67" s="25">
        <v>0.0</v>
      </c>
      <c r="AB67" s="25">
        <v>0.0</v>
      </c>
      <c r="AC67" s="25">
        <v>1.0</v>
      </c>
      <c r="AD67" s="25">
        <v>1.0</v>
      </c>
      <c r="AE67" s="25">
        <v>1.0</v>
      </c>
      <c r="AF67" s="25">
        <v>1.0</v>
      </c>
      <c r="AG67" s="25">
        <v>1.0</v>
      </c>
      <c r="AH67" s="25">
        <v>1.0</v>
      </c>
      <c r="AI67" s="25">
        <v>1.0</v>
      </c>
      <c r="AJ67" s="25">
        <v>0.0</v>
      </c>
      <c r="AK67" s="25">
        <v>0.0</v>
      </c>
      <c r="AL67" s="25">
        <v>0.0</v>
      </c>
      <c r="AM67" s="25">
        <v>0.0</v>
      </c>
      <c r="AN67" s="25">
        <v>0.0</v>
      </c>
      <c r="AO67" s="25">
        <v>1.0</v>
      </c>
      <c r="AP67" s="25">
        <v>1.0</v>
      </c>
      <c r="AQ67" s="25">
        <v>1.0</v>
      </c>
      <c r="AR67" s="25">
        <v>1.0</v>
      </c>
      <c r="AS67" s="25">
        <f t="shared" si="1"/>
        <v>27</v>
      </c>
      <c r="AT67" s="29">
        <f t="shared" si="2"/>
        <v>13</v>
      </c>
    </row>
    <row r="68">
      <c r="A68" s="7">
        <v>5085966.0</v>
      </c>
      <c r="B68" s="3" t="s">
        <v>232</v>
      </c>
      <c r="C68" s="24">
        <v>2.0</v>
      </c>
      <c r="D68" s="7" t="s">
        <v>87</v>
      </c>
      <c r="E68" s="30">
        <v>0.0</v>
      </c>
      <c r="F68" s="25">
        <v>0.0</v>
      </c>
      <c r="G68" s="25">
        <v>0.5</v>
      </c>
      <c r="H68" s="25">
        <v>1.0</v>
      </c>
      <c r="I68" s="88">
        <v>0.5</v>
      </c>
      <c r="J68" s="25">
        <v>0.0</v>
      </c>
      <c r="K68" s="25">
        <v>0.5</v>
      </c>
      <c r="L68" s="25">
        <v>0.0</v>
      </c>
      <c r="M68" s="25">
        <v>0.5</v>
      </c>
      <c r="N68" s="25">
        <v>1.0</v>
      </c>
      <c r="O68" s="25">
        <v>1.0</v>
      </c>
      <c r="P68" s="25">
        <v>1.0</v>
      </c>
      <c r="Q68" s="25">
        <v>1.0</v>
      </c>
      <c r="R68" s="25">
        <v>1.0</v>
      </c>
      <c r="S68" s="25">
        <v>1.0</v>
      </c>
      <c r="T68" s="25">
        <v>1.0</v>
      </c>
      <c r="U68" s="25">
        <v>1.0</v>
      </c>
      <c r="V68" s="25">
        <v>1.0</v>
      </c>
      <c r="W68" s="25">
        <v>1.0</v>
      </c>
      <c r="X68" s="25">
        <v>1.0</v>
      </c>
      <c r="Y68" s="25">
        <v>1.0</v>
      </c>
      <c r="Z68" s="25">
        <v>1.0</v>
      </c>
      <c r="AA68" s="25">
        <v>1.0</v>
      </c>
      <c r="AB68" s="25">
        <v>1.0</v>
      </c>
      <c r="AC68" s="25">
        <v>1.0</v>
      </c>
      <c r="AD68" s="25">
        <v>1.0</v>
      </c>
      <c r="AE68" s="25">
        <v>1.0</v>
      </c>
      <c r="AF68" s="25">
        <v>1.0</v>
      </c>
      <c r="AG68" s="25">
        <v>1.0</v>
      </c>
      <c r="AH68" s="25">
        <v>1.0</v>
      </c>
      <c r="AI68" s="25">
        <v>1.0</v>
      </c>
      <c r="AJ68" s="25">
        <v>1.0</v>
      </c>
      <c r="AK68" s="25">
        <v>1.0</v>
      </c>
      <c r="AL68" s="25">
        <v>1.0</v>
      </c>
      <c r="AM68" s="25">
        <v>0.0</v>
      </c>
      <c r="AN68" s="25">
        <v>0.0</v>
      </c>
      <c r="AO68" s="25">
        <v>0.0</v>
      </c>
      <c r="AP68" s="25">
        <v>0.0</v>
      </c>
      <c r="AQ68" s="25">
        <v>0.0</v>
      </c>
      <c r="AR68" s="25">
        <v>0.0</v>
      </c>
      <c r="AS68" s="25">
        <f t="shared" si="1"/>
        <v>28</v>
      </c>
      <c r="AT68" s="29">
        <f t="shared" si="2"/>
        <v>12</v>
      </c>
    </row>
    <row r="69">
      <c r="A69" s="7">
        <v>4276047.0</v>
      </c>
      <c r="B69" s="3" t="s">
        <v>170</v>
      </c>
      <c r="C69" s="24">
        <v>2.0</v>
      </c>
      <c r="D69" s="7" t="s">
        <v>94</v>
      </c>
      <c r="E69" s="30">
        <v>1.0</v>
      </c>
      <c r="F69" s="25">
        <v>1.0</v>
      </c>
      <c r="G69" s="25">
        <v>0.5</v>
      </c>
      <c r="H69" s="25">
        <v>0.0</v>
      </c>
      <c r="I69" s="88">
        <v>0.0</v>
      </c>
      <c r="J69" s="25">
        <v>0.0</v>
      </c>
      <c r="K69" s="25">
        <v>0.0</v>
      </c>
      <c r="L69" s="25">
        <v>0.0</v>
      </c>
      <c r="M69" s="25">
        <v>0.0</v>
      </c>
      <c r="N69" s="25">
        <v>0.0</v>
      </c>
      <c r="O69" s="25">
        <v>0.0</v>
      </c>
      <c r="P69" s="25">
        <v>0.0</v>
      </c>
      <c r="Q69" s="25">
        <v>0.0</v>
      </c>
      <c r="R69" s="25">
        <v>0.0</v>
      </c>
      <c r="S69" s="25">
        <v>0.0</v>
      </c>
      <c r="T69" s="25">
        <v>0.0</v>
      </c>
      <c r="U69" s="25">
        <v>0.0</v>
      </c>
      <c r="V69" s="25">
        <v>0.0</v>
      </c>
      <c r="W69" s="25">
        <v>0.0</v>
      </c>
      <c r="X69" s="25">
        <v>0.0</v>
      </c>
      <c r="Y69" s="25">
        <v>0.0</v>
      </c>
      <c r="Z69" s="25">
        <v>0.0</v>
      </c>
      <c r="AA69" s="25">
        <v>0.0</v>
      </c>
      <c r="AB69" s="25">
        <v>0.0</v>
      </c>
      <c r="AC69" s="25">
        <v>0.0</v>
      </c>
      <c r="AD69" s="25">
        <v>0.0</v>
      </c>
      <c r="AE69" s="25">
        <v>0.0</v>
      </c>
      <c r="AF69" s="25">
        <v>0.0</v>
      </c>
      <c r="AG69" s="25">
        <v>0.0</v>
      </c>
      <c r="AH69" s="25">
        <v>0.5</v>
      </c>
      <c r="AI69" s="25">
        <v>1.0</v>
      </c>
      <c r="AJ69" s="25">
        <v>1.0</v>
      </c>
      <c r="AK69" s="25">
        <v>1.0</v>
      </c>
      <c r="AL69" s="25">
        <v>1.0</v>
      </c>
      <c r="AM69" s="25">
        <v>1.0</v>
      </c>
      <c r="AN69" s="25">
        <v>1.0</v>
      </c>
      <c r="AO69" s="25">
        <v>1.0</v>
      </c>
      <c r="AP69" s="25">
        <v>1.0</v>
      </c>
      <c r="AQ69" s="25">
        <v>1.0</v>
      </c>
      <c r="AR69" s="25">
        <v>1.0</v>
      </c>
      <c r="AS69" s="25">
        <f t="shared" si="1"/>
        <v>13</v>
      </c>
      <c r="AT69" s="29">
        <f t="shared" si="2"/>
        <v>27</v>
      </c>
    </row>
    <row r="70">
      <c r="A70" s="7">
        <v>7563119.0</v>
      </c>
      <c r="B70" s="3" t="s">
        <v>337</v>
      </c>
      <c r="C70" s="24">
        <v>2.0</v>
      </c>
      <c r="D70" s="7" t="s">
        <v>94</v>
      </c>
      <c r="E70" s="30">
        <v>1.0</v>
      </c>
      <c r="F70" s="25">
        <v>1.0</v>
      </c>
      <c r="G70" s="25">
        <v>1.0</v>
      </c>
      <c r="H70" s="25">
        <v>1.0</v>
      </c>
      <c r="I70" s="88">
        <v>1.0</v>
      </c>
      <c r="J70" s="25">
        <v>1.0</v>
      </c>
      <c r="K70" s="25">
        <v>1.0</v>
      </c>
      <c r="L70" s="25">
        <v>1.0</v>
      </c>
      <c r="M70" s="25">
        <v>1.0</v>
      </c>
      <c r="N70" s="25">
        <v>1.0</v>
      </c>
      <c r="O70" s="25">
        <v>1.0</v>
      </c>
      <c r="P70" s="25">
        <v>1.0</v>
      </c>
      <c r="Q70" s="25">
        <v>1.0</v>
      </c>
      <c r="R70" s="25">
        <v>1.0</v>
      </c>
      <c r="S70" s="25">
        <v>1.0</v>
      </c>
      <c r="T70" s="25">
        <v>1.0</v>
      </c>
      <c r="U70" s="25">
        <v>1.0</v>
      </c>
      <c r="V70" s="25">
        <v>1.0</v>
      </c>
      <c r="W70" s="25">
        <v>0.0</v>
      </c>
      <c r="X70" s="25">
        <v>0.0</v>
      </c>
      <c r="Y70" s="25">
        <v>0.0</v>
      </c>
      <c r="Z70" s="25">
        <v>0.0</v>
      </c>
      <c r="AA70" s="25">
        <v>1.0</v>
      </c>
      <c r="AB70" s="25">
        <v>1.0</v>
      </c>
      <c r="AC70" s="25">
        <v>1.0</v>
      </c>
      <c r="AD70" s="25">
        <v>1.0</v>
      </c>
      <c r="AE70" s="25">
        <v>0.0</v>
      </c>
      <c r="AF70" s="25">
        <v>0.0</v>
      </c>
      <c r="AG70" s="25">
        <v>0.0</v>
      </c>
      <c r="AH70" s="25">
        <v>1.0</v>
      </c>
      <c r="AI70" s="25">
        <v>1.0</v>
      </c>
      <c r="AJ70" s="25">
        <v>1.0</v>
      </c>
      <c r="AK70" s="25">
        <v>1.0</v>
      </c>
      <c r="AL70" s="25">
        <v>1.0</v>
      </c>
      <c r="AM70" s="25">
        <v>1.0</v>
      </c>
      <c r="AN70" s="25">
        <v>1.0</v>
      </c>
      <c r="AO70" s="25">
        <v>0.0</v>
      </c>
      <c r="AP70" s="25">
        <v>0.0</v>
      </c>
      <c r="AQ70" s="25">
        <v>0.0</v>
      </c>
      <c r="AR70" s="25">
        <v>0.0</v>
      </c>
      <c r="AS70" s="25">
        <f t="shared" si="1"/>
        <v>29</v>
      </c>
      <c r="AT70" s="29">
        <f t="shared" si="2"/>
        <v>11</v>
      </c>
    </row>
    <row r="71">
      <c r="A71" s="7">
        <v>7256596.0</v>
      </c>
      <c r="B71" s="3" t="s">
        <v>66</v>
      </c>
      <c r="C71" s="24">
        <v>3.0</v>
      </c>
      <c r="D71" s="7" t="s">
        <v>94</v>
      </c>
      <c r="E71" s="30">
        <v>0.0</v>
      </c>
      <c r="F71" s="25">
        <v>0.0</v>
      </c>
      <c r="G71" s="25">
        <v>0.0</v>
      </c>
      <c r="H71" s="25">
        <v>0.5</v>
      </c>
      <c r="I71" s="88">
        <v>1.0</v>
      </c>
      <c r="J71" s="25">
        <v>1.0</v>
      </c>
      <c r="K71" s="25">
        <v>1.0</v>
      </c>
      <c r="L71" s="25">
        <v>1.0</v>
      </c>
      <c r="M71" s="25">
        <v>1.0</v>
      </c>
      <c r="N71" s="25">
        <v>1.0</v>
      </c>
      <c r="O71" s="25">
        <v>1.0</v>
      </c>
      <c r="P71" s="25">
        <v>1.0</v>
      </c>
      <c r="Q71" s="25">
        <v>1.0</v>
      </c>
      <c r="R71" s="25">
        <v>1.0</v>
      </c>
      <c r="S71" s="25">
        <v>1.0</v>
      </c>
      <c r="T71" s="25">
        <v>1.0</v>
      </c>
      <c r="U71" s="25">
        <v>1.0</v>
      </c>
      <c r="V71" s="25">
        <v>1.0</v>
      </c>
      <c r="W71" s="25">
        <v>1.0</v>
      </c>
      <c r="X71" s="25">
        <v>1.0</v>
      </c>
      <c r="Y71" s="25">
        <v>1.0</v>
      </c>
      <c r="Z71" s="25">
        <v>1.0</v>
      </c>
      <c r="AA71" s="25">
        <v>1.0</v>
      </c>
      <c r="AB71" s="25">
        <v>1.0</v>
      </c>
      <c r="AC71" s="25">
        <v>1.0</v>
      </c>
      <c r="AD71" s="25">
        <v>1.0</v>
      </c>
      <c r="AE71" s="25">
        <v>1.0</v>
      </c>
      <c r="AF71" s="25">
        <v>1.0</v>
      </c>
      <c r="AG71" s="25">
        <v>1.0</v>
      </c>
      <c r="AH71" s="25">
        <v>1.0</v>
      </c>
      <c r="AI71" s="25">
        <v>1.0</v>
      </c>
      <c r="AJ71" s="25">
        <v>1.0</v>
      </c>
      <c r="AK71" s="25">
        <v>0.0</v>
      </c>
      <c r="AL71" s="25">
        <v>0.0</v>
      </c>
      <c r="AM71" s="25">
        <v>0.0</v>
      </c>
      <c r="AN71" s="25">
        <v>0.0</v>
      </c>
      <c r="AO71" s="25">
        <v>0.0</v>
      </c>
      <c r="AP71" s="25">
        <v>0.0</v>
      </c>
      <c r="AQ71" s="25">
        <v>0.0</v>
      </c>
      <c r="AR71" s="25">
        <v>0.0</v>
      </c>
      <c r="AS71" s="25">
        <f t="shared" si="1"/>
        <v>28.5</v>
      </c>
      <c r="AT71" s="29">
        <f t="shared" si="2"/>
        <v>11.5</v>
      </c>
    </row>
    <row r="72">
      <c r="A72" s="7">
        <v>5000933.0</v>
      </c>
      <c r="B72" s="3" t="s">
        <v>338</v>
      </c>
      <c r="C72" s="24">
        <v>5.0</v>
      </c>
      <c r="D72" s="7" t="s">
        <v>185</v>
      </c>
      <c r="E72" s="30">
        <v>1.0</v>
      </c>
      <c r="F72" s="25">
        <v>1.0</v>
      </c>
      <c r="G72" s="25">
        <v>1.0</v>
      </c>
      <c r="H72" s="25">
        <v>1.0</v>
      </c>
      <c r="I72" s="88">
        <v>1.0</v>
      </c>
      <c r="J72" s="25">
        <v>1.0</v>
      </c>
      <c r="K72" s="25">
        <v>1.0</v>
      </c>
      <c r="L72" s="25">
        <v>1.0</v>
      </c>
      <c r="M72" s="25">
        <v>1.0</v>
      </c>
      <c r="N72" s="25">
        <v>1.0</v>
      </c>
      <c r="O72" s="25">
        <v>1.0</v>
      </c>
      <c r="P72" s="25">
        <v>1.0</v>
      </c>
      <c r="Q72" s="25">
        <v>1.0</v>
      </c>
      <c r="R72" s="25">
        <v>1.0</v>
      </c>
      <c r="S72" s="25">
        <v>1.0</v>
      </c>
      <c r="T72" s="25">
        <v>1.0</v>
      </c>
      <c r="U72" s="25">
        <v>1.0</v>
      </c>
      <c r="V72" s="25">
        <v>1.0</v>
      </c>
      <c r="W72" s="25">
        <v>1.0</v>
      </c>
      <c r="X72" s="25">
        <v>1.0</v>
      </c>
      <c r="Y72" s="25">
        <v>1.0</v>
      </c>
      <c r="Z72" s="25">
        <v>1.0</v>
      </c>
      <c r="AA72" s="25">
        <v>1.0</v>
      </c>
      <c r="AB72" s="25">
        <v>1.0</v>
      </c>
      <c r="AC72" s="25">
        <v>1.0</v>
      </c>
      <c r="AD72" s="25">
        <v>1.0</v>
      </c>
      <c r="AE72" s="25">
        <v>1.0</v>
      </c>
      <c r="AF72" s="25">
        <v>1.0</v>
      </c>
      <c r="AG72" s="25">
        <v>1.0</v>
      </c>
      <c r="AH72" s="25">
        <v>1.0</v>
      </c>
      <c r="AI72" s="25">
        <v>1.0</v>
      </c>
      <c r="AJ72" s="25">
        <v>1.0</v>
      </c>
      <c r="AK72" s="25">
        <v>1.0</v>
      </c>
      <c r="AL72" s="25">
        <v>1.0</v>
      </c>
      <c r="AM72" s="25">
        <v>1.0</v>
      </c>
      <c r="AN72" s="25">
        <v>1.0</v>
      </c>
      <c r="AO72" s="25">
        <v>1.0</v>
      </c>
      <c r="AP72" s="25">
        <v>1.0</v>
      </c>
      <c r="AQ72" s="25">
        <v>1.0</v>
      </c>
      <c r="AR72" s="25">
        <v>1.0</v>
      </c>
      <c r="AS72" s="25">
        <f t="shared" si="1"/>
        <v>40</v>
      </c>
      <c r="AT72" s="29">
        <f t="shared" si="2"/>
        <v>0</v>
      </c>
    </row>
    <row r="73">
      <c r="A73" s="7">
        <v>7082818.0</v>
      </c>
      <c r="B73" s="3" t="s">
        <v>339</v>
      </c>
      <c r="C73" s="24">
        <v>1.0</v>
      </c>
      <c r="D73" s="7" t="s">
        <v>87</v>
      </c>
      <c r="E73" s="30">
        <v>1.0</v>
      </c>
      <c r="F73" s="25">
        <v>1.0</v>
      </c>
      <c r="G73" s="25">
        <v>1.0</v>
      </c>
      <c r="H73" s="25">
        <v>1.0</v>
      </c>
      <c r="I73" s="88">
        <v>1.0</v>
      </c>
      <c r="J73" s="25">
        <v>1.0</v>
      </c>
      <c r="K73" s="25">
        <v>1.0</v>
      </c>
      <c r="L73" s="25">
        <v>1.0</v>
      </c>
      <c r="M73" s="25">
        <v>1.0</v>
      </c>
      <c r="N73" s="25">
        <v>1.0</v>
      </c>
      <c r="O73" s="25">
        <v>1.0</v>
      </c>
      <c r="P73" s="25">
        <v>1.0</v>
      </c>
      <c r="Q73" s="25">
        <v>0.0</v>
      </c>
      <c r="R73" s="25">
        <v>0.0</v>
      </c>
      <c r="S73" s="25">
        <v>0.0</v>
      </c>
      <c r="T73" s="25">
        <v>0.0</v>
      </c>
      <c r="U73" s="25">
        <v>1.0</v>
      </c>
      <c r="V73" s="25">
        <v>1.0</v>
      </c>
      <c r="W73" s="25">
        <v>1.0</v>
      </c>
      <c r="X73" s="25">
        <v>1.0</v>
      </c>
      <c r="Y73" s="25">
        <v>1.0</v>
      </c>
      <c r="Z73" s="25">
        <v>1.0</v>
      </c>
      <c r="AA73" s="25">
        <v>1.0</v>
      </c>
      <c r="AB73" s="25">
        <v>1.0</v>
      </c>
      <c r="AC73" s="25">
        <v>0.0</v>
      </c>
      <c r="AD73" s="25">
        <v>0.0</v>
      </c>
      <c r="AE73" s="25">
        <v>0.0</v>
      </c>
      <c r="AF73" s="25">
        <v>0.0</v>
      </c>
      <c r="AG73" s="25">
        <v>1.0</v>
      </c>
      <c r="AH73" s="25">
        <v>1.0</v>
      </c>
      <c r="AI73" s="25">
        <v>1.0</v>
      </c>
      <c r="AJ73" s="25">
        <v>1.0</v>
      </c>
      <c r="AK73" s="25">
        <v>1.0</v>
      </c>
      <c r="AL73" s="25">
        <v>1.0</v>
      </c>
      <c r="AM73" s="25">
        <v>1.0</v>
      </c>
      <c r="AN73" s="25">
        <v>1.0</v>
      </c>
      <c r="AO73" s="25">
        <v>0.0</v>
      </c>
      <c r="AP73" s="25">
        <v>0.0</v>
      </c>
      <c r="AQ73" s="25">
        <v>0.0</v>
      </c>
      <c r="AR73" s="25">
        <v>0.0</v>
      </c>
      <c r="AS73" s="25">
        <f t="shared" si="1"/>
        <v>28</v>
      </c>
      <c r="AT73" s="29">
        <f t="shared" si="2"/>
        <v>12</v>
      </c>
    </row>
    <row r="74">
      <c r="A74" s="7">
        <v>8276502.0</v>
      </c>
      <c r="B74" s="3" t="s">
        <v>341</v>
      </c>
      <c r="C74" s="24">
        <v>1.0</v>
      </c>
      <c r="D74" s="7" t="s">
        <v>94</v>
      </c>
      <c r="E74" s="30">
        <v>1.0</v>
      </c>
      <c r="F74" s="25">
        <v>1.0</v>
      </c>
      <c r="G74" s="25">
        <v>1.0</v>
      </c>
      <c r="H74" s="25">
        <v>1.0</v>
      </c>
      <c r="I74" s="88">
        <v>1.0</v>
      </c>
      <c r="J74" s="25">
        <v>1.0</v>
      </c>
      <c r="K74" s="25">
        <v>1.0</v>
      </c>
      <c r="L74" s="25">
        <v>1.0</v>
      </c>
      <c r="M74" s="25">
        <v>1.0</v>
      </c>
      <c r="N74" s="25">
        <v>1.0</v>
      </c>
      <c r="O74" s="25">
        <v>1.0</v>
      </c>
      <c r="P74" s="25">
        <v>1.0</v>
      </c>
      <c r="Q74" s="25">
        <v>0.0</v>
      </c>
      <c r="R74" s="25">
        <v>0.0</v>
      </c>
      <c r="S74" s="25">
        <v>0.0</v>
      </c>
      <c r="T74" s="25">
        <v>0.0</v>
      </c>
      <c r="U74" s="25">
        <v>1.0</v>
      </c>
      <c r="V74" s="25">
        <v>1.0</v>
      </c>
      <c r="W74" s="25">
        <v>1.0</v>
      </c>
      <c r="X74" s="25">
        <v>1.0</v>
      </c>
      <c r="Y74" s="25">
        <v>1.0</v>
      </c>
      <c r="Z74" s="25">
        <v>1.0</v>
      </c>
      <c r="AA74" s="25">
        <v>1.0</v>
      </c>
      <c r="AB74" s="25">
        <v>1.0</v>
      </c>
      <c r="AC74" s="25">
        <v>0.0</v>
      </c>
      <c r="AD74" s="25">
        <v>0.0</v>
      </c>
      <c r="AE74" s="25">
        <v>0.0</v>
      </c>
      <c r="AF74" s="25">
        <v>0.0</v>
      </c>
      <c r="AG74" s="25">
        <v>1.0</v>
      </c>
      <c r="AH74" s="25">
        <v>1.0</v>
      </c>
      <c r="AI74" s="25">
        <v>1.0</v>
      </c>
      <c r="AJ74" s="25">
        <v>1.0</v>
      </c>
      <c r="AK74" s="25">
        <v>1.0</v>
      </c>
      <c r="AL74" s="25">
        <v>1.0</v>
      </c>
      <c r="AM74" s="25">
        <v>1.0</v>
      </c>
      <c r="AN74" s="25">
        <v>1.0</v>
      </c>
      <c r="AO74" s="25">
        <v>0.0</v>
      </c>
      <c r="AP74" s="25">
        <v>0.0</v>
      </c>
      <c r="AQ74" s="25">
        <v>0.0</v>
      </c>
      <c r="AR74" s="25">
        <v>0.0</v>
      </c>
      <c r="AS74" s="25">
        <f t="shared" si="1"/>
        <v>28</v>
      </c>
      <c r="AT74" s="29">
        <f t="shared" si="2"/>
        <v>12</v>
      </c>
    </row>
    <row r="75">
      <c r="A75" s="7">
        <v>5071665.0</v>
      </c>
      <c r="B75" s="3" t="s">
        <v>85</v>
      </c>
      <c r="C75" s="24">
        <v>1.0</v>
      </c>
      <c r="D75" s="7" t="s">
        <v>94</v>
      </c>
      <c r="E75" s="30">
        <v>1.0</v>
      </c>
      <c r="F75" s="25">
        <v>1.0</v>
      </c>
      <c r="G75" s="25">
        <v>1.0</v>
      </c>
      <c r="H75" s="25">
        <v>1.0</v>
      </c>
      <c r="I75" s="88">
        <v>1.0</v>
      </c>
      <c r="J75" s="25">
        <v>0.0</v>
      </c>
      <c r="K75" s="25">
        <v>0.0</v>
      </c>
      <c r="L75" s="25">
        <v>0.0</v>
      </c>
      <c r="M75" s="25">
        <v>0.0</v>
      </c>
      <c r="N75" s="25">
        <v>1.0</v>
      </c>
      <c r="O75" s="25">
        <v>1.0</v>
      </c>
      <c r="P75" s="25">
        <v>1.0</v>
      </c>
      <c r="Q75" s="25">
        <v>1.0</v>
      </c>
      <c r="R75" s="25">
        <v>1.0</v>
      </c>
      <c r="S75" s="25">
        <v>1.0</v>
      </c>
      <c r="T75" s="25">
        <v>1.0</v>
      </c>
      <c r="U75" s="25">
        <v>1.0</v>
      </c>
      <c r="V75" s="25">
        <v>1.0</v>
      </c>
      <c r="W75" s="25">
        <v>1.0</v>
      </c>
      <c r="X75" s="25">
        <v>1.0</v>
      </c>
      <c r="Y75" s="25">
        <v>1.0</v>
      </c>
      <c r="Z75" s="25">
        <v>1.0</v>
      </c>
      <c r="AA75" s="25">
        <v>1.0</v>
      </c>
      <c r="AB75" s="25">
        <v>1.0</v>
      </c>
      <c r="AC75" s="25">
        <v>0.0</v>
      </c>
      <c r="AD75" s="25">
        <v>0.0</v>
      </c>
      <c r="AE75" s="25">
        <v>0.0</v>
      </c>
      <c r="AF75" s="25">
        <v>0.0</v>
      </c>
      <c r="AG75" s="25">
        <v>1.0</v>
      </c>
      <c r="AH75" s="25">
        <v>1.0</v>
      </c>
      <c r="AI75" s="25">
        <v>1.0</v>
      </c>
      <c r="AJ75" s="25">
        <v>1.0</v>
      </c>
      <c r="AK75" s="25">
        <v>1.0</v>
      </c>
      <c r="AL75" s="25">
        <v>1.0</v>
      </c>
      <c r="AM75" s="25">
        <v>1.0</v>
      </c>
      <c r="AN75" s="25">
        <v>1.0</v>
      </c>
      <c r="AO75" s="25">
        <v>0.0</v>
      </c>
      <c r="AP75" s="25">
        <v>0.0</v>
      </c>
      <c r="AQ75" s="25">
        <v>0.0</v>
      </c>
      <c r="AR75" s="25">
        <v>0.0</v>
      </c>
      <c r="AS75" s="25">
        <f t="shared" si="1"/>
        <v>28</v>
      </c>
      <c r="AT75" s="29">
        <f t="shared" si="2"/>
        <v>12</v>
      </c>
    </row>
    <row r="76">
      <c r="A76" s="7">
        <v>4382868.0</v>
      </c>
      <c r="B76" s="3" t="s">
        <v>463</v>
      </c>
      <c r="C76" s="24">
        <v>3.0</v>
      </c>
      <c r="D76" s="7" t="s">
        <v>94</v>
      </c>
      <c r="E76" s="30">
        <v>1.0</v>
      </c>
      <c r="F76" s="25">
        <v>1.0</v>
      </c>
      <c r="G76" s="25">
        <v>1.0</v>
      </c>
      <c r="H76" s="25">
        <v>1.0</v>
      </c>
      <c r="I76" s="88">
        <v>1.0</v>
      </c>
      <c r="J76" s="25">
        <v>1.0</v>
      </c>
      <c r="K76" s="25">
        <v>1.0</v>
      </c>
      <c r="L76" s="25">
        <v>1.0</v>
      </c>
      <c r="M76" s="25">
        <v>1.0</v>
      </c>
      <c r="N76" s="25">
        <v>1.0</v>
      </c>
      <c r="O76" s="25">
        <v>1.0</v>
      </c>
      <c r="P76" s="25">
        <v>1.0</v>
      </c>
      <c r="Q76" s="25">
        <v>1.0</v>
      </c>
      <c r="R76" s="25">
        <v>0.5</v>
      </c>
      <c r="S76" s="25">
        <v>0.0</v>
      </c>
      <c r="T76" s="25">
        <v>0.0</v>
      </c>
      <c r="U76" s="25">
        <v>0.0</v>
      </c>
      <c r="V76" s="25">
        <v>0.0</v>
      </c>
      <c r="W76" s="25">
        <v>0.0</v>
      </c>
      <c r="X76" s="25">
        <v>0.0</v>
      </c>
      <c r="Y76" s="25">
        <v>0.0</v>
      </c>
      <c r="Z76" s="25">
        <v>0.0</v>
      </c>
      <c r="AA76" s="25">
        <v>0.5</v>
      </c>
      <c r="AB76" s="25">
        <v>1.0</v>
      </c>
      <c r="AC76" s="25">
        <v>1.0</v>
      </c>
      <c r="AD76" s="25">
        <v>1.0</v>
      </c>
      <c r="AE76" s="25">
        <v>1.0</v>
      </c>
      <c r="AF76" s="25">
        <v>0.5</v>
      </c>
      <c r="AG76" s="25">
        <v>0.0</v>
      </c>
      <c r="AH76" s="25">
        <v>0.0</v>
      </c>
      <c r="AI76" s="25">
        <v>0.0</v>
      </c>
      <c r="AJ76" s="25">
        <v>0.0</v>
      </c>
      <c r="AK76" s="25">
        <v>0.0</v>
      </c>
      <c r="AL76" s="25">
        <v>0.0</v>
      </c>
      <c r="AM76" s="25">
        <v>0.0</v>
      </c>
      <c r="AN76" s="25">
        <v>0.0</v>
      </c>
      <c r="AO76" s="25">
        <v>0.5</v>
      </c>
      <c r="AP76" s="25">
        <v>1.0</v>
      </c>
      <c r="AQ76" s="25">
        <v>1.0</v>
      </c>
      <c r="AR76" s="25">
        <v>1.0</v>
      </c>
      <c r="AS76" s="25">
        <f t="shared" si="1"/>
        <v>22</v>
      </c>
      <c r="AT76" s="29">
        <f t="shared" si="2"/>
        <v>18</v>
      </c>
    </row>
    <row r="77">
      <c r="A77" s="7">
        <v>5151252.0</v>
      </c>
      <c r="B77" s="3" t="s">
        <v>86</v>
      </c>
      <c r="C77" s="24">
        <v>2.0</v>
      </c>
      <c r="D77" s="7" t="s">
        <v>94</v>
      </c>
      <c r="E77" s="30">
        <v>1.0</v>
      </c>
      <c r="F77" s="25">
        <v>1.0</v>
      </c>
      <c r="G77" s="25">
        <v>1.0</v>
      </c>
      <c r="H77" s="25">
        <v>1.0</v>
      </c>
      <c r="I77" s="88">
        <v>1.0</v>
      </c>
      <c r="J77" s="25">
        <v>1.0</v>
      </c>
      <c r="K77" s="25">
        <v>1.0</v>
      </c>
      <c r="L77" s="25">
        <v>1.0</v>
      </c>
      <c r="M77" s="25">
        <v>1.0</v>
      </c>
      <c r="N77" s="25">
        <v>1.0</v>
      </c>
      <c r="O77" s="25">
        <v>1.0</v>
      </c>
      <c r="P77" s="25">
        <v>1.0</v>
      </c>
      <c r="Q77" s="25">
        <v>1.0</v>
      </c>
      <c r="R77" s="25">
        <v>1.0</v>
      </c>
      <c r="S77" s="25">
        <v>1.0</v>
      </c>
      <c r="T77" s="25">
        <v>1.0</v>
      </c>
      <c r="U77" s="25">
        <v>1.0</v>
      </c>
      <c r="V77" s="25">
        <v>1.0</v>
      </c>
      <c r="W77" s="25">
        <v>0.5</v>
      </c>
      <c r="X77" s="25">
        <v>0.0</v>
      </c>
      <c r="Y77" s="25">
        <v>0.0</v>
      </c>
      <c r="Z77" s="25">
        <v>0.5</v>
      </c>
      <c r="AA77" s="25">
        <v>1.0</v>
      </c>
      <c r="AB77" s="25">
        <v>1.0</v>
      </c>
      <c r="AC77" s="25">
        <v>1.0</v>
      </c>
      <c r="AD77" s="25">
        <v>1.0</v>
      </c>
      <c r="AE77" s="25">
        <v>1.0</v>
      </c>
      <c r="AF77" s="25">
        <v>1.0</v>
      </c>
      <c r="AG77" s="25">
        <v>1.0</v>
      </c>
      <c r="AH77" s="25">
        <v>1.0</v>
      </c>
      <c r="AI77" s="25">
        <v>1.0</v>
      </c>
      <c r="AJ77" s="25">
        <v>0.0</v>
      </c>
      <c r="AK77" s="25">
        <v>0.0</v>
      </c>
      <c r="AL77" s="25">
        <v>0.0</v>
      </c>
      <c r="AM77" s="25">
        <v>0.0</v>
      </c>
      <c r="AN77" s="25">
        <v>0.0</v>
      </c>
      <c r="AO77" s="25">
        <v>0.0</v>
      </c>
      <c r="AP77" s="25">
        <v>0.0</v>
      </c>
      <c r="AQ77" s="25">
        <v>0.0</v>
      </c>
      <c r="AR77" s="25">
        <v>0.0</v>
      </c>
      <c r="AS77" s="25">
        <f t="shared" si="1"/>
        <v>28</v>
      </c>
      <c r="AT77" s="29">
        <f t="shared" si="2"/>
        <v>12</v>
      </c>
    </row>
    <row r="78">
      <c r="A78" s="7">
        <v>4357123.0</v>
      </c>
      <c r="B78" s="3" t="s">
        <v>342</v>
      </c>
      <c r="C78" s="24">
        <v>5.0</v>
      </c>
      <c r="D78" s="7" t="s">
        <v>112</v>
      </c>
      <c r="E78" s="30">
        <v>1.0</v>
      </c>
      <c r="F78" s="25">
        <v>1.0</v>
      </c>
      <c r="G78" s="25">
        <v>1.0</v>
      </c>
      <c r="H78" s="25">
        <v>1.0</v>
      </c>
      <c r="I78" s="88">
        <v>1.0</v>
      </c>
      <c r="J78" s="25">
        <v>1.0</v>
      </c>
      <c r="K78" s="25">
        <v>1.0</v>
      </c>
      <c r="L78" s="25">
        <v>1.0</v>
      </c>
      <c r="M78" s="25">
        <v>1.0</v>
      </c>
      <c r="N78" s="25">
        <v>1.0</v>
      </c>
      <c r="O78" s="25">
        <v>1.0</v>
      </c>
      <c r="P78" s="25">
        <v>0.0</v>
      </c>
      <c r="Q78" s="25">
        <v>0.0</v>
      </c>
      <c r="R78" s="25">
        <v>0.0</v>
      </c>
      <c r="S78" s="25">
        <v>0.0</v>
      </c>
      <c r="T78" s="25">
        <v>1.0</v>
      </c>
      <c r="U78" s="25">
        <v>1.0</v>
      </c>
      <c r="V78" s="25">
        <v>1.0</v>
      </c>
      <c r="W78" s="25">
        <v>1.0</v>
      </c>
      <c r="X78" s="25">
        <v>1.0</v>
      </c>
      <c r="Y78" s="25">
        <v>1.0</v>
      </c>
      <c r="Z78" s="25">
        <v>1.0</v>
      </c>
      <c r="AA78" s="25">
        <v>1.0</v>
      </c>
      <c r="AB78" s="25">
        <v>1.0</v>
      </c>
      <c r="AC78" s="25">
        <v>0.0</v>
      </c>
      <c r="AD78" s="25">
        <v>0.0</v>
      </c>
      <c r="AE78" s="25">
        <v>0.0</v>
      </c>
      <c r="AF78" s="25">
        <v>0.0</v>
      </c>
      <c r="AG78" s="25">
        <v>1.0</v>
      </c>
      <c r="AH78" s="25">
        <v>1.0</v>
      </c>
      <c r="AI78" s="25">
        <v>1.0</v>
      </c>
      <c r="AJ78" s="25">
        <v>1.0</v>
      </c>
      <c r="AK78" s="25">
        <v>1.0</v>
      </c>
      <c r="AL78" s="25">
        <v>1.0</v>
      </c>
      <c r="AM78" s="25">
        <v>1.0</v>
      </c>
      <c r="AN78" s="25">
        <v>1.0</v>
      </c>
      <c r="AO78" s="25">
        <v>0.0</v>
      </c>
      <c r="AP78" s="25">
        <v>0.0</v>
      </c>
      <c r="AQ78" s="25">
        <v>0.0</v>
      </c>
      <c r="AR78" s="25">
        <v>0.0</v>
      </c>
      <c r="AS78" s="25">
        <f t="shared" si="1"/>
        <v>28</v>
      </c>
      <c r="AT78" s="29">
        <f t="shared" si="2"/>
        <v>12</v>
      </c>
    </row>
    <row r="79">
      <c r="A79" s="7">
        <v>5645367.0</v>
      </c>
      <c r="B79" s="3" t="s">
        <v>254</v>
      </c>
      <c r="C79" s="24">
        <v>2.0</v>
      </c>
      <c r="D79" s="7" t="s">
        <v>94</v>
      </c>
      <c r="E79" s="30">
        <v>1.0</v>
      </c>
      <c r="F79" s="25">
        <v>1.0</v>
      </c>
      <c r="G79" s="25">
        <v>1.0</v>
      </c>
      <c r="H79" s="25">
        <v>1.0</v>
      </c>
      <c r="I79" s="88">
        <v>1.0</v>
      </c>
      <c r="J79" s="25">
        <v>1.0</v>
      </c>
      <c r="K79" s="25">
        <v>1.0</v>
      </c>
      <c r="L79" s="25">
        <v>1.0</v>
      </c>
      <c r="M79" s="25">
        <v>1.0</v>
      </c>
      <c r="N79" s="25">
        <v>1.0</v>
      </c>
      <c r="O79" s="25">
        <v>1.0</v>
      </c>
      <c r="P79" s="25">
        <v>0.5</v>
      </c>
      <c r="Q79" s="25">
        <v>0.0</v>
      </c>
      <c r="R79" s="25">
        <v>0.0</v>
      </c>
      <c r="S79" s="25">
        <v>0.5</v>
      </c>
      <c r="T79" s="25">
        <v>1.0</v>
      </c>
      <c r="U79" s="25">
        <v>1.0</v>
      </c>
      <c r="V79" s="25">
        <v>1.0</v>
      </c>
      <c r="W79" s="25">
        <v>0.5</v>
      </c>
      <c r="X79" s="25">
        <v>0.0</v>
      </c>
      <c r="Y79" s="25">
        <v>0.0</v>
      </c>
      <c r="Z79" s="25">
        <v>0.5</v>
      </c>
      <c r="AA79" s="25">
        <v>1.0</v>
      </c>
      <c r="AB79" s="25">
        <v>1.0</v>
      </c>
      <c r="AC79" s="25">
        <v>1.0</v>
      </c>
      <c r="AD79" s="25">
        <v>1.0</v>
      </c>
      <c r="AE79" s="25">
        <v>1.0</v>
      </c>
      <c r="AF79" s="25">
        <v>0.5</v>
      </c>
      <c r="AG79" s="25">
        <v>0.0</v>
      </c>
      <c r="AH79" s="25">
        <v>0.5</v>
      </c>
      <c r="AI79" s="25">
        <v>1.0</v>
      </c>
      <c r="AJ79" s="25">
        <v>1.0</v>
      </c>
      <c r="AK79" s="25">
        <v>1.0</v>
      </c>
      <c r="AL79" s="25">
        <v>1.0</v>
      </c>
      <c r="AM79" s="25">
        <v>1.0</v>
      </c>
      <c r="AN79" s="25">
        <v>1.0</v>
      </c>
      <c r="AO79" s="25">
        <v>0.0</v>
      </c>
      <c r="AP79" s="25">
        <v>0.0</v>
      </c>
      <c r="AQ79" s="25">
        <v>0.0</v>
      </c>
      <c r="AR79" s="25">
        <v>0.0</v>
      </c>
      <c r="AS79" s="25">
        <f t="shared" si="1"/>
        <v>28</v>
      </c>
      <c r="AT79" s="29">
        <f t="shared" si="2"/>
        <v>12</v>
      </c>
    </row>
    <row r="80">
      <c r="A80" s="7">
        <v>5811600.0</v>
      </c>
      <c r="B80" s="3" t="s">
        <v>343</v>
      </c>
      <c r="C80" s="24">
        <v>1.0</v>
      </c>
      <c r="D80" s="7" t="s">
        <v>94</v>
      </c>
      <c r="E80" s="30">
        <v>1.0</v>
      </c>
      <c r="F80" s="25">
        <v>1.0</v>
      </c>
      <c r="G80" s="25">
        <v>1.0</v>
      </c>
      <c r="H80" s="25">
        <v>1.0</v>
      </c>
      <c r="I80" s="88">
        <v>1.0</v>
      </c>
      <c r="J80" s="25">
        <v>0.0</v>
      </c>
      <c r="K80" s="25">
        <v>0.0</v>
      </c>
      <c r="L80" s="25">
        <v>0.0</v>
      </c>
      <c r="M80" s="25">
        <v>0.0</v>
      </c>
      <c r="N80" s="25">
        <v>0.0</v>
      </c>
      <c r="O80" s="25">
        <v>1.0</v>
      </c>
      <c r="P80" s="25">
        <v>1.0</v>
      </c>
      <c r="Q80" s="25">
        <v>1.0</v>
      </c>
      <c r="R80" s="25">
        <v>1.0</v>
      </c>
      <c r="S80" s="25">
        <v>1.0</v>
      </c>
      <c r="T80" s="25">
        <v>1.0</v>
      </c>
      <c r="U80" s="25">
        <v>1.0</v>
      </c>
      <c r="V80" s="25">
        <v>1.0</v>
      </c>
      <c r="W80" s="25">
        <v>0.0</v>
      </c>
      <c r="X80" s="25">
        <v>0.0</v>
      </c>
      <c r="Y80" s="25">
        <v>0.0</v>
      </c>
      <c r="Z80" s="25">
        <v>0.0</v>
      </c>
      <c r="AA80" s="25">
        <v>1.0</v>
      </c>
      <c r="AB80" s="25">
        <v>1.0</v>
      </c>
      <c r="AC80" s="25">
        <v>1.0</v>
      </c>
      <c r="AD80" s="25">
        <v>1.0</v>
      </c>
      <c r="AE80" s="25">
        <v>1.0</v>
      </c>
      <c r="AF80" s="25">
        <v>1.0</v>
      </c>
      <c r="AG80" s="25">
        <v>0.0</v>
      </c>
      <c r="AH80" s="25">
        <v>0.0</v>
      </c>
      <c r="AI80" s="25">
        <v>0.0</v>
      </c>
      <c r="AJ80" s="25">
        <v>1.0</v>
      </c>
      <c r="AK80" s="25">
        <v>1.0</v>
      </c>
      <c r="AL80" s="25">
        <v>1.0</v>
      </c>
      <c r="AM80" s="25">
        <v>1.0</v>
      </c>
      <c r="AN80" s="25">
        <v>1.0</v>
      </c>
      <c r="AO80" s="25">
        <v>0.0</v>
      </c>
      <c r="AP80" s="25">
        <v>0.0</v>
      </c>
      <c r="AQ80" s="25">
        <v>0.0</v>
      </c>
      <c r="AR80" s="25">
        <v>0.0</v>
      </c>
      <c r="AS80" s="25">
        <f t="shared" si="1"/>
        <v>24</v>
      </c>
      <c r="AT80" s="29">
        <f t="shared" si="2"/>
        <v>16</v>
      </c>
    </row>
    <row r="81">
      <c r="A81" s="7">
        <v>6370712.0</v>
      </c>
      <c r="B81" s="3" t="s">
        <v>320</v>
      </c>
      <c r="C81" s="24">
        <v>1.0</v>
      </c>
      <c r="D81" s="7" t="s">
        <v>87</v>
      </c>
      <c r="E81" s="30">
        <v>1.0</v>
      </c>
      <c r="F81" s="25">
        <v>1.0</v>
      </c>
      <c r="G81" s="25">
        <v>1.0</v>
      </c>
      <c r="H81" s="25">
        <v>1.0</v>
      </c>
      <c r="I81" s="88">
        <v>1.0</v>
      </c>
      <c r="J81" s="25">
        <v>0.0</v>
      </c>
      <c r="K81" s="25">
        <v>0.0</v>
      </c>
      <c r="L81" s="25">
        <v>0.0</v>
      </c>
      <c r="M81" s="25">
        <v>0.0</v>
      </c>
      <c r="N81" s="25">
        <v>0.0</v>
      </c>
      <c r="O81" s="25">
        <v>1.0</v>
      </c>
      <c r="P81" s="25">
        <v>1.0</v>
      </c>
      <c r="Q81" s="25">
        <v>1.0</v>
      </c>
      <c r="R81" s="25">
        <v>1.0</v>
      </c>
      <c r="S81" s="25">
        <v>1.0</v>
      </c>
      <c r="T81" s="25">
        <v>1.0</v>
      </c>
      <c r="U81" s="25">
        <v>1.0</v>
      </c>
      <c r="V81" s="25">
        <v>1.0</v>
      </c>
      <c r="W81" s="25">
        <v>0.0</v>
      </c>
      <c r="X81" s="25">
        <v>0.0</v>
      </c>
      <c r="Y81" s="25">
        <v>0.0</v>
      </c>
      <c r="Z81" s="25">
        <v>0.0</v>
      </c>
      <c r="AA81" s="25">
        <v>1.0</v>
      </c>
      <c r="AB81" s="25">
        <v>1.0</v>
      </c>
      <c r="AC81" s="25">
        <v>1.0</v>
      </c>
      <c r="AD81" s="25">
        <v>1.0</v>
      </c>
      <c r="AE81" s="25">
        <v>1.0</v>
      </c>
      <c r="AF81" s="25">
        <v>1.0</v>
      </c>
      <c r="AG81" s="25">
        <v>0.0</v>
      </c>
      <c r="AH81" s="25">
        <v>0.0</v>
      </c>
      <c r="AI81" s="25">
        <v>0.0</v>
      </c>
      <c r="AJ81" s="25">
        <v>1.0</v>
      </c>
      <c r="AK81" s="25">
        <v>1.0</v>
      </c>
      <c r="AL81" s="25">
        <v>1.0</v>
      </c>
      <c r="AM81" s="25">
        <v>1.0</v>
      </c>
      <c r="AN81" s="25">
        <v>1.0</v>
      </c>
      <c r="AO81" s="25">
        <v>1.0</v>
      </c>
      <c r="AP81" s="25">
        <v>1.0</v>
      </c>
      <c r="AQ81" s="25">
        <v>1.0</v>
      </c>
      <c r="AR81" s="25">
        <v>1.0</v>
      </c>
      <c r="AS81" s="25">
        <f t="shared" si="1"/>
        <v>28</v>
      </c>
      <c r="AT81" s="29">
        <f t="shared" si="2"/>
        <v>12</v>
      </c>
    </row>
    <row r="82">
      <c r="A82" s="7">
        <v>7379590.0</v>
      </c>
      <c r="B82" s="3" t="s">
        <v>506</v>
      </c>
      <c r="C82" s="24">
        <v>4.0</v>
      </c>
      <c r="D82" s="3" t="s">
        <v>507</v>
      </c>
      <c r="E82" s="30">
        <v>1.0</v>
      </c>
      <c r="F82" s="30">
        <v>1.0</v>
      </c>
      <c r="G82" s="30">
        <v>1.0</v>
      </c>
      <c r="H82" s="30">
        <v>1.0</v>
      </c>
      <c r="I82" s="30">
        <v>1.0</v>
      </c>
      <c r="J82" s="30">
        <v>0.0</v>
      </c>
      <c r="K82" s="30">
        <v>0.0</v>
      </c>
      <c r="L82" s="30">
        <v>0.0</v>
      </c>
      <c r="M82" s="30">
        <v>0.0</v>
      </c>
      <c r="N82" s="30">
        <v>0.0</v>
      </c>
      <c r="O82" s="30">
        <v>1.0</v>
      </c>
      <c r="P82" s="30">
        <v>1.0</v>
      </c>
      <c r="Q82" s="30">
        <v>1.0</v>
      </c>
      <c r="R82" s="30">
        <v>1.0</v>
      </c>
      <c r="S82" s="30">
        <v>1.0</v>
      </c>
      <c r="T82" s="30">
        <v>1.0</v>
      </c>
      <c r="U82" s="30">
        <v>1.0</v>
      </c>
      <c r="V82" s="30">
        <v>1.0</v>
      </c>
      <c r="W82" s="30">
        <v>0.0</v>
      </c>
      <c r="X82" s="30">
        <v>0.0</v>
      </c>
      <c r="Y82" s="30">
        <v>0.0</v>
      </c>
      <c r="Z82" s="30">
        <v>0.0</v>
      </c>
      <c r="AA82" s="30">
        <v>1.0</v>
      </c>
      <c r="AB82" s="30">
        <v>1.0</v>
      </c>
      <c r="AC82" s="30">
        <v>1.0</v>
      </c>
      <c r="AD82" s="30">
        <v>1.0</v>
      </c>
      <c r="AE82" s="30">
        <v>1.0</v>
      </c>
      <c r="AF82" s="30">
        <v>1.0</v>
      </c>
      <c r="AG82" s="30">
        <v>0.0</v>
      </c>
      <c r="AH82" s="30">
        <v>0.0</v>
      </c>
      <c r="AI82" s="30">
        <v>0.0</v>
      </c>
      <c r="AJ82" s="30">
        <v>1.0</v>
      </c>
      <c r="AK82" s="30">
        <v>1.0</v>
      </c>
      <c r="AL82" s="30">
        <v>1.0</v>
      </c>
      <c r="AM82" s="30">
        <v>1.0</v>
      </c>
      <c r="AN82" s="30">
        <v>1.0</v>
      </c>
      <c r="AO82" s="30">
        <v>1.0</v>
      </c>
      <c r="AP82" s="30">
        <v>1.0</v>
      </c>
      <c r="AQ82" s="30">
        <v>1.0</v>
      </c>
      <c r="AR82" s="30">
        <v>1.0</v>
      </c>
      <c r="AS82" s="25">
        <f t="shared" si="1"/>
        <v>28</v>
      </c>
      <c r="AT82" s="29"/>
    </row>
    <row r="83">
      <c r="A83" s="3"/>
      <c r="B83" s="3"/>
      <c r="C83" s="10"/>
      <c r="D83" s="125"/>
      <c r="E83" s="30"/>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9"/>
    </row>
    <row r="84">
      <c r="A84" s="3"/>
      <c r="B84" s="3"/>
      <c r="C84" s="10"/>
      <c r="D84" s="125"/>
      <c r="E84" s="30"/>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9"/>
    </row>
    <row r="85">
      <c r="A85" s="3" t="s">
        <v>510</v>
      </c>
      <c r="B85" s="125"/>
      <c r="C85" s="127"/>
      <c r="D85" s="125"/>
      <c r="E85" s="128">
        <f>SUM(E2:E82)</f>
        <v>71.5</v>
      </c>
      <c r="F85" s="29">
        <f t="shared" ref="F85:AR85" si="3">SUM(F2:F81)</f>
        <v>70.5</v>
      </c>
      <c r="G85" s="29">
        <f t="shared" si="3"/>
        <v>71.5</v>
      </c>
      <c r="H85" s="29">
        <f t="shared" si="3"/>
        <v>71</v>
      </c>
      <c r="I85" s="129">
        <f t="shared" si="3"/>
        <v>69</v>
      </c>
      <c r="J85" s="29">
        <f t="shared" si="3"/>
        <v>63.5</v>
      </c>
      <c r="K85" s="29">
        <f t="shared" si="3"/>
        <v>63</v>
      </c>
      <c r="L85" s="29">
        <f t="shared" si="3"/>
        <v>62.5</v>
      </c>
      <c r="M85" s="29">
        <f t="shared" si="3"/>
        <v>65.5</v>
      </c>
      <c r="N85" s="29">
        <f t="shared" si="3"/>
        <v>66</v>
      </c>
      <c r="O85" s="29">
        <f t="shared" si="3"/>
        <v>66</v>
      </c>
      <c r="P85" s="29">
        <f t="shared" si="3"/>
        <v>62.5</v>
      </c>
      <c r="Q85" s="29">
        <f t="shared" si="3"/>
        <v>58.5</v>
      </c>
      <c r="R85" s="29">
        <f t="shared" si="3"/>
        <v>55</v>
      </c>
      <c r="S85" s="29">
        <f t="shared" si="3"/>
        <v>55.5</v>
      </c>
      <c r="T85" s="29">
        <f t="shared" si="3"/>
        <v>61</v>
      </c>
      <c r="U85" s="29">
        <f t="shared" si="3"/>
        <v>64.5</v>
      </c>
      <c r="V85" s="29">
        <f t="shared" si="3"/>
        <v>67.5</v>
      </c>
      <c r="W85" s="29">
        <f t="shared" si="3"/>
        <v>64.5</v>
      </c>
      <c r="X85" s="29">
        <f t="shared" si="3"/>
        <v>64.5</v>
      </c>
      <c r="Y85" s="29">
        <f t="shared" si="3"/>
        <v>62</v>
      </c>
      <c r="Z85" s="29">
        <f t="shared" si="3"/>
        <v>61.5</v>
      </c>
      <c r="AA85" s="29">
        <f t="shared" si="3"/>
        <v>64</v>
      </c>
      <c r="AB85" s="29">
        <f t="shared" si="3"/>
        <v>61.5</v>
      </c>
      <c r="AC85" s="29">
        <f t="shared" si="3"/>
        <v>55</v>
      </c>
      <c r="AD85" s="29">
        <f t="shared" si="3"/>
        <v>52.5</v>
      </c>
      <c r="AE85" s="29">
        <f t="shared" si="3"/>
        <v>52</v>
      </c>
      <c r="AF85" s="29">
        <f t="shared" si="3"/>
        <v>52</v>
      </c>
      <c r="AG85" s="29">
        <f t="shared" si="3"/>
        <v>39</v>
      </c>
      <c r="AH85" s="29">
        <f t="shared" si="3"/>
        <v>40.5</v>
      </c>
      <c r="AI85" s="29">
        <f t="shared" si="3"/>
        <v>41.5</v>
      </c>
      <c r="AJ85" s="29">
        <f t="shared" si="3"/>
        <v>44</v>
      </c>
      <c r="AK85" s="29">
        <f t="shared" si="3"/>
        <v>40</v>
      </c>
      <c r="AL85" s="29">
        <f t="shared" si="3"/>
        <v>41.5</v>
      </c>
      <c r="AM85" s="29">
        <f t="shared" si="3"/>
        <v>37</v>
      </c>
      <c r="AN85" s="29">
        <f t="shared" si="3"/>
        <v>38</v>
      </c>
      <c r="AO85" s="29">
        <f t="shared" si="3"/>
        <v>31</v>
      </c>
      <c r="AP85" s="29">
        <f t="shared" si="3"/>
        <v>31</v>
      </c>
      <c r="AQ85" s="29">
        <f t="shared" si="3"/>
        <v>28.5</v>
      </c>
      <c r="AR85" s="29">
        <f t="shared" si="3"/>
        <v>30.5</v>
      </c>
      <c r="AS85" s="25">
        <f>SUM(E85:AR85)</f>
        <v>2196.5</v>
      </c>
      <c r="AT85" s="29">
        <f>40-AS85</f>
        <v>-2156.5</v>
      </c>
    </row>
    <row r="86">
      <c r="A86" s="3"/>
      <c r="C86" s="24"/>
      <c r="D86" s="7"/>
      <c r="E86" s="128"/>
      <c r="F86" s="29"/>
      <c r="G86" s="29"/>
      <c r="H86" s="29"/>
      <c r="I86" s="1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row>
    <row r="87">
      <c r="A87" s="3" t="s">
        <v>108</v>
      </c>
      <c r="C87" s="24"/>
      <c r="D87" s="7" t="s">
        <v>87</v>
      </c>
      <c r="E87" s="128">
        <f t="shared" ref="E87:AR87" si="4">SUMIF($D$2:$D$81,"Com1",E2:E81)</f>
        <v>8</v>
      </c>
      <c r="F87" s="29">
        <f t="shared" si="4"/>
        <v>8</v>
      </c>
      <c r="G87" s="29">
        <f t="shared" si="4"/>
        <v>8.5</v>
      </c>
      <c r="H87" s="29">
        <f t="shared" si="4"/>
        <v>9</v>
      </c>
      <c r="I87" s="129">
        <f t="shared" si="4"/>
        <v>8.5</v>
      </c>
      <c r="J87" s="29">
        <f t="shared" si="4"/>
        <v>6</v>
      </c>
      <c r="K87" s="29">
        <f t="shared" si="4"/>
        <v>6.5</v>
      </c>
      <c r="L87" s="29">
        <f t="shared" si="4"/>
        <v>6</v>
      </c>
      <c r="M87" s="29">
        <f t="shared" si="4"/>
        <v>6.5</v>
      </c>
      <c r="N87" s="29">
        <f t="shared" si="4"/>
        <v>7</v>
      </c>
      <c r="O87" s="29">
        <f t="shared" si="4"/>
        <v>8</v>
      </c>
      <c r="P87" s="29">
        <f t="shared" si="4"/>
        <v>8</v>
      </c>
      <c r="Q87" s="29">
        <f t="shared" si="4"/>
        <v>6</v>
      </c>
      <c r="R87" s="29">
        <f t="shared" si="4"/>
        <v>6</v>
      </c>
      <c r="S87" s="29">
        <f t="shared" si="4"/>
        <v>7</v>
      </c>
      <c r="T87" s="29">
        <f t="shared" si="4"/>
        <v>7</v>
      </c>
      <c r="U87" s="29">
        <f t="shared" si="4"/>
        <v>8</v>
      </c>
      <c r="V87" s="29">
        <f t="shared" si="4"/>
        <v>8</v>
      </c>
      <c r="W87" s="29">
        <f t="shared" si="4"/>
        <v>7</v>
      </c>
      <c r="X87" s="29">
        <f t="shared" si="4"/>
        <v>7</v>
      </c>
      <c r="Y87" s="29">
        <f t="shared" si="4"/>
        <v>6</v>
      </c>
      <c r="Z87" s="29">
        <f t="shared" si="4"/>
        <v>7</v>
      </c>
      <c r="AA87" s="29">
        <f t="shared" si="4"/>
        <v>7</v>
      </c>
      <c r="AB87" s="29">
        <f t="shared" si="4"/>
        <v>7</v>
      </c>
      <c r="AC87" s="29">
        <f t="shared" si="4"/>
        <v>7</v>
      </c>
      <c r="AD87" s="29">
        <f t="shared" si="4"/>
        <v>7</v>
      </c>
      <c r="AE87" s="29">
        <f t="shared" si="4"/>
        <v>7</v>
      </c>
      <c r="AF87" s="29">
        <f t="shared" si="4"/>
        <v>8</v>
      </c>
      <c r="AG87" s="29">
        <f t="shared" si="4"/>
        <v>5</v>
      </c>
      <c r="AH87" s="29">
        <f t="shared" si="4"/>
        <v>4.5</v>
      </c>
      <c r="AI87" s="29">
        <f t="shared" si="4"/>
        <v>4</v>
      </c>
      <c r="AJ87" s="29">
        <f t="shared" si="4"/>
        <v>4</v>
      </c>
      <c r="AK87" s="29">
        <f t="shared" si="4"/>
        <v>3.5</v>
      </c>
      <c r="AL87" s="29">
        <f t="shared" si="4"/>
        <v>4</v>
      </c>
      <c r="AM87" s="29">
        <f t="shared" si="4"/>
        <v>3</v>
      </c>
      <c r="AN87" s="29">
        <f t="shared" si="4"/>
        <v>4</v>
      </c>
      <c r="AO87" s="29">
        <f t="shared" si="4"/>
        <v>4</v>
      </c>
      <c r="AP87" s="29">
        <f t="shared" si="4"/>
        <v>4</v>
      </c>
      <c r="AQ87" s="29">
        <f t="shared" si="4"/>
        <v>4</v>
      </c>
      <c r="AR87" s="29">
        <f t="shared" si="4"/>
        <v>4</v>
      </c>
      <c r="AS87" s="29"/>
    </row>
    <row r="88">
      <c r="A88" s="3" t="s">
        <v>109</v>
      </c>
      <c r="C88" s="24"/>
      <c r="D88" s="7" t="s">
        <v>214</v>
      </c>
      <c r="E88" s="128">
        <f t="shared" ref="E88:AR88" si="5">SUMIF($D$2:$D$81,"Com2",E2:E81)</f>
        <v>3</v>
      </c>
      <c r="F88" s="29">
        <f t="shared" si="5"/>
        <v>3</v>
      </c>
      <c r="G88" s="29">
        <f t="shared" si="5"/>
        <v>3</v>
      </c>
      <c r="H88" s="29">
        <f t="shared" si="5"/>
        <v>3</v>
      </c>
      <c r="I88" s="129">
        <f t="shared" si="5"/>
        <v>3</v>
      </c>
      <c r="J88" s="29">
        <f t="shared" si="5"/>
        <v>3</v>
      </c>
      <c r="K88" s="29">
        <f t="shared" si="5"/>
        <v>3</v>
      </c>
      <c r="L88" s="29">
        <f t="shared" si="5"/>
        <v>2.5</v>
      </c>
      <c r="M88" s="29">
        <f t="shared" si="5"/>
        <v>2</v>
      </c>
      <c r="N88" s="29">
        <f t="shared" si="5"/>
        <v>2</v>
      </c>
      <c r="O88" s="29">
        <f t="shared" si="5"/>
        <v>2</v>
      </c>
      <c r="P88" s="29">
        <f t="shared" si="5"/>
        <v>2</v>
      </c>
      <c r="Q88" s="29">
        <f t="shared" si="5"/>
        <v>2</v>
      </c>
      <c r="R88" s="29">
        <f t="shared" si="5"/>
        <v>2</v>
      </c>
      <c r="S88" s="29">
        <f t="shared" si="5"/>
        <v>2</v>
      </c>
      <c r="T88" s="29">
        <f t="shared" si="5"/>
        <v>1.5</v>
      </c>
      <c r="U88" s="29">
        <f t="shared" si="5"/>
        <v>1</v>
      </c>
      <c r="V88" s="29">
        <f t="shared" si="5"/>
        <v>1.5</v>
      </c>
      <c r="W88" s="29">
        <f t="shared" si="5"/>
        <v>2</v>
      </c>
      <c r="X88" s="29">
        <f t="shared" si="5"/>
        <v>2</v>
      </c>
      <c r="Y88" s="29">
        <f t="shared" si="5"/>
        <v>2</v>
      </c>
      <c r="Z88" s="29">
        <f t="shared" si="5"/>
        <v>2</v>
      </c>
      <c r="AA88" s="29">
        <f t="shared" si="5"/>
        <v>2</v>
      </c>
      <c r="AB88" s="29">
        <f t="shared" si="5"/>
        <v>2</v>
      </c>
      <c r="AC88" s="29">
        <f t="shared" si="5"/>
        <v>2</v>
      </c>
      <c r="AD88" s="29">
        <f t="shared" si="5"/>
        <v>2</v>
      </c>
      <c r="AE88" s="29">
        <f t="shared" si="5"/>
        <v>2</v>
      </c>
      <c r="AF88" s="29">
        <f t="shared" si="5"/>
        <v>2</v>
      </c>
      <c r="AG88" s="29">
        <f t="shared" si="5"/>
        <v>1</v>
      </c>
      <c r="AH88" s="29">
        <f t="shared" si="5"/>
        <v>1</v>
      </c>
      <c r="AI88" s="29">
        <f t="shared" si="5"/>
        <v>0</v>
      </c>
      <c r="AJ88" s="29">
        <f t="shared" si="5"/>
        <v>0</v>
      </c>
      <c r="AK88" s="29">
        <f t="shared" si="5"/>
        <v>0</v>
      </c>
      <c r="AL88" s="29">
        <f t="shared" si="5"/>
        <v>0</v>
      </c>
      <c r="AM88" s="29">
        <f t="shared" si="5"/>
        <v>0</v>
      </c>
      <c r="AN88" s="29">
        <f t="shared" si="5"/>
        <v>0</v>
      </c>
      <c r="AO88" s="29">
        <f t="shared" si="5"/>
        <v>0</v>
      </c>
      <c r="AP88" s="29">
        <f t="shared" si="5"/>
        <v>0</v>
      </c>
      <c r="AQ88" s="29">
        <f t="shared" si="5"/>
        <v>0</v>
      </c>
      <c r="AR88" s="29">
        <f t="shared" si="5"/>
        <v>0</v>
      </c>
      <c r="AS88" s="29"/>
    </row>
    <row r="89">
      <c r="A89" s="3" t="s">
        <v>98</v>
      </c>
      <c r="C89" s="24"/>
      <c r="D89" s="7" t="s">
        <v>146</v>
      </c>
      <c r="E89" s="128">
        <f t="shared" ref="E89:AR89" si="6">SUMIF($D$2:$D$81,"HM",E2:E81)</f>
        <v>2</v>
      </c>
      <c r="F89" s="29">
        <f t="shared" si="6"/>
        <v>2</v>
      </c>
      <c r="G89" s="29">
        <f t="shared" si="6"/>
        <v>2</v>
      </c>
      <c r="H89" s="29">
        <f t="shared" si="6"/>
        <v>2</v>
      </c>
      <c r="I89" s="129">
        <f t="shared" si="6"/>
        <v>2</v>
      </c>
      <c r="J89" s="29">
        <f t="shared" si="6"/>
        <v>1.5</v>
      </c>
      <c r="K89" s="29">
        <f t="shared" si="6"/>
        <v>1</v>
      </c>
      <c r="L89" s="29">
        <f t="shared" si="6"/>
        <v>1</v>
      </c>
      <c r="M89" s="29">
        <f t="shared" si="6"/>
        <v>1</v>
      </c>
      <c r="N89" s="29">
        <f t="shared" si="6"/>
        <v>1.5</v>
      </c>
      <c r="O89" s="29">
        <f t="shared" si="6"/>
        <v>1.5</v>
      </c>
      <c r="P89" s="29">
        <f t="shared" si="6"/>
        <v>1</v>
      </c>
      <c r="Q89" s="29">
        <f t="shared" si="6"/>
        <v>1</v>
      </c>
      <c r="R89" s="29">
        <f t="shared" si="6"/>
        <v>1</v>
      </c>
      <c r="S89" s="29">
        <f t="shared" si="6"/>
        <v>1.5</v>
      </c>
      <c r="T89" s="29">
        <f t="shared" si="6"/>
        <v>1.5</v>
      </c>
      <c r="U89" s="29">
        <f t="shared" si="6"/>
        <v>1.5</v>
      </c>
      <c r="V89" s="29">
        <f t="shared" si="6"/>
        <v>2</v>
      </c>
      <c r="W89" s="29">
        <f t="shared" si="6"/>
        <v>2</v>
      </c>
      <c r="X89" s="29">
        <f t="shared" si="6"/>
        <v>2.5</v>
      </c>
      <c r="Y89" s="29">
        <f t="shared" si="6"/>
        <v>3</v>
      </c>
      <c r="Z89" s="29">
        <f t="shared" si="6"/>
        <v>3</v>
      </c>
      <c r="AA89" s="29">
        <f t="shared" si="6"/>
        <v>3</v>
      </c>
      <c r="AB89" s="29">
        <f t="shared" si="6"/>
        <v>3</v>
      </c>
      <c r="AC89" s="29">
        <f t="shared" si="6"/>
        <v>3</v>
      </c>
      <c r="AD89" s="29">
        <f t="shared" si="6"/>
        <v>2.5</v>
      </c>
      <c r="AE89" s="29">
        <f t="shared" si="6"/>
        <v>2</v>
      </c>
      <c r="AF89" s="29">
        <f t="shared" si="6"/>
        <v>2</v>
      </c>
      <c r="AG89" s="29">
        <f t="shared" si="6"/>
        <v>2.5</v>
      </c>
      <c r="AH89" s="29">
        <f t="shared" si="6"/>
        <v>2.5</v>
      </c>
      <c r="AI89" s="29">
        <f t="shared" si="6"/>
        <v>2</v>
      </c>
      <c r="AJ89" s="29">
        <f t="shared" si="6"/>
        <v>2</v>
      </c>
      <c r="AK89" s="29">
        <f t="shared" si="6"/>
        <v>2</v>
      </c>
      <c r="AL89" s="29">
        <f t="shared" si="6"/>
        <v>2.5</v>
      </c>
      <c r="AM89" s="29">
        <f t="shared" si="6"/>
        <v>3</v>
      </c>
      <c r="AN89" s="29">
        <f t="shared" si="6"/>
        <v>3</v>
      </c>
      <c r="AO89" s="29">
        <f t="shared" si="6"/>
        <v>3</v>
      </c>
      <c r="AP89" s="29">
        <f t="shared" si="6"/>
        <v>3</v>
      </c>
      <c r="AQ89" s="29">
        <f t="shared" si="6"/>
        <v>3</v>
      </c>
      <c r="AR89" s="29">
        <f t="shared" si="6"/>
        <v>2.5</v>
      </c>
      <c r="AS89" s="29"/>
    </row>
    <row r="90">
      <c r="A90" s="3" t="s">
        <v>99</v>
      </c>
      <c r="C90" s="24"/>
      <c r="D90" s="7" t="s">
        <v>112</v>
      </c>
      <c r="E90" s="128">
        <f t="shared" ref="E90:AR90" si="7">SUMIF($D$2:$D$81,"HPK",E2:E81)</f>
        <v>2</v>
      </c>
      <c r="F90" s="29">
        <f t="shared" si="7"/>
        <v>2</v>
      </c>
      <c r="G90" s="29">
        <f t="shared" si="7"/>
        <v>2</v>
      </c>
      <c r="H90" s="29">
        <f t="shared" si="7"/>
        <v>2</v>
      </c>
      <c r="I90" s="129">
        <f t="shared" si="7"/>
        <v>2</v>
      </c>
      <c r="J90" s="29">
        <f t="shared" si="7"/>
        <v>2</v>
      </c>
      <c r="K90" s="29">
        <f t="shared" si="7"/>
        <v>2</v>
      </c>
      <c r="L90" s="29">
        <f t="shared" si="7"/>
        <v>2</v>
      </c>
      <c r="M90" s="29">
        <f t="shared" si="7"/>
        <v>2</v>
      </c>
      <c r="N90" s="29">
        <f t="shared" si="7"/>
        <v>2</v>
      </c>
      <c r="O90" s="29">
        <f t="shared" si="7"/>
        <v>2</v>
      </c>
      <c r="P90" s="29">
        <f t="shared" si="7"/>
        <v>1</v>
      </c>
      <c r="Q90" s="29">
        <f t="shared" si="7"/>
        <v>1</v>
      </c>
      <c r="R90" s="29">
        <f t="shared" si="7"/>
        <v>1</v>
      </c>
      <c r="S90" s="29">
        <f t="shared" si="7"/>
        <v>1</v>
      </c>
      <c r="T90" s="29">
        <f t="shared" si="7"/>
        <v>2</v>
      </c>
      <c r="U90" s="29">
        <f t="shared" si="7"/>
        <v>2</v>
      </c>
      <c r="V90" s="29">
        <f t="shared" si="7"/>
        <v>2</v>
      </c>
      <c r="W90" s="29">
        <f t="shared" si="7"/>
        <v>2</v>
      </c>
      <c r="X90" s="29">
        <f t="shared" si="7"/>
        <v>2</v>
      </c>
      <c r="Y90" s="29">
        <f t="shared" si="7"/>
        <v>2</v>
      </c>
      <c r="Z90" s="29">
        <f t="shared" si="7"/>
        <v>2</v>
      </c>
      <c r="AA90" s="29">
        <f t="shared" si="7"/>
        <v>2</v>
      </c>
      <c r="AB90" s="29">
        <f t="shared" si="7"/>
        <v>2</v>
      </c>
      <c r="AC90" s="29">
        <f t="shared" si="7"/>
        <v>1</v>
      </c>
      <c r="AD90" s="29">
        <f t="shared" si="7"/>
        <v>1</v>
      </c>
      <c r="AE90" s="29">
        <f t="shared" si="7"/>
        <v>1</v>
      </c>
      <c r="AF90" s="29">
        <f t="shared" si="7"/>
        <v>1</v>
      </c>
      <c r="AG90" s="29">
        <f t="shared" si="7"/>
        <v>2</v>
      </c>
      <c r="AH90" s="29">
        <f t="shared" si="7"/>
        <v>2</v>
      </c>
      <c r="AI90" s="29">
        <f t="shared" si="7"/>
        <v>2</v>
      </c>
      <c r="AJ90" s="29">
        <f t="shared" si="7"/>
        <v>2</v>
      </c>
      <c r="AK90" s="29">
        <f t="shared" si="7"/>
        <v>2</v>
      </c>
      <c r="AL90" s="29">
        <f t="shared" si="7"/>
        <v>2</v>
      </c>
      <c r="AM90" s="29">
        <f t="shared" si="7"/>
        <v>1.5</v>
      </c>
      <c r="AN90" s="29">
        <f t="shared" si="7"/>
        <v>1</v>
      </c>
      <c r="AO90" s="29">
        <f t="shared" si="7"/>
        <v>0</v>
      </c>
      <c r="AP90" s="29">
        <f t="shared" si="7"/>
        <v>0</v>
      </c>
      <c r="AQ90" s="29">
        <f t="shared" si="7"/>
        <v>0</v>
      </c>
      <c r="AR90" s="29">
        <f t="shared" si="7"/>
        <v>0</v>
      </c>
      <c r="AS90" s="29"/>
    </row>
    <row r="91">
      <c r="A91" s="3" t="s">
        <v>101</v>
      </c>
      <c r="C91" s="24"/>
      <c r="D91" s="7" t="s">
        <v>116</v>
      </c>
      <c r="E91" s="128">
        <f t="shared" ref="E91:AR91" si="8">SUMIF($D$2:$D$81,"Off1",E2:E81)</f>
        <v>3</v>
      </c>
      <c r="F91" s="29">
        <f t="shared" si="8"/>
        <v>3</v>
      </c>
      <c r="G91" s="29">
        <f t="shared" si="8"/>
        <v>3</v>
      </c>
      <c r="H91" s="29">
        <f t="shared" si="8"/>
        <v>3</v>
      </c>
      <c r="I91" s="129">
        <f t="shared" si="8"/>
        <v>3</v>
      </c>
      <c r="J91" s="29">
        <f t="shared" si="8"/>
        <v>3</v>
      </c>
      <c r="K91" s="29">
        <f t="shared" si="8"/>
        <v>3</v>
      </c>
      <c r="L91" s="29">
        <f t="shared" si="8"/>
        <v>3</v>
      </c>
      <c r="M91" s="29">
        <f t="shared" si="8"/>
        <v>3</v>
      </c>
      <c r="N91" s="29">
        <f t="shared" si="8"/>
        <v>3</v>
      </c>
      <c r="O91" s="29">
        <f t="shared" si="8"/>
        <v>3</v>
      </c>
      <c r="P91" s="29">
        <f t="shared" si="8"/>
        <v>3</v>
      </c>
      <c r="Q91" s="29">
        <f t="shared" si="8"/>
        <v>2.5</v>
      </c>
      <c r="R91" s="29">
        <f t="shared" si="8"/>
        <v>1</v>
      </c>
      <c r="S91" s="29">
        <f t="shared" si="8"/>
        <v>0</v>
      </c>
      <c r="T91" s="29">
        <f t="shared" si="8"/>
        <v>0.5</v>
      </c>
      <c r="U91" s="29">
        <f t="shared" si="8"/>
        <v>1</v>
      </c>
      <c r="V91" s="29">
        <f t="shared" si="8"/>
        <v>1</v>
      </c>
      <c r="W91" s="29">
        <f t="shared" si="8"/>
        <v>1</v>
      </c>
      <c r="X91" s="29">
        <f t="shared" si="8"/>
        <v>1.5</v>
      </c>
      <c r="Y91" s="29">
        <f t="shared" si="8"/>
        <v>2</v>
      </c>
      <c r="Z91" s="29">
        <f t="shared" si="8"/>
        <v>1</v>
      </c>
      <c r="AA91" s="29">
        <f t="shared" si="8"/>
        <v>1</v>
      </c>
      <c r="AB91" s="29">
        <f t="shared" si="8"/>
        <v>1</v>
      </c>
      <c r="AC91" s="29">
        <f t="shared" si="8"/>
        <v>1</v>
      </c>
      <c r="AD91" s="29">
        <f t="shared" si="8"/>
        <v>1</v>
      </c>
      <c r="AE91" s="29">
        <f t="shared" si="8"/>
        <v>2</v>
      </c>
      <c r="AF91" s="29">
        <f t="shared" si="8"/>
        <v>2</v>
      </c>
      <c r="AG91" s="29">
        <f t="shared" si="8"/>
        <v>1.5</v>
      </c>
      <c r="AH91" s="29">
        <f t="shared" si="8"/>
        <v>1</v>
      </c>
      <c r="AI91" s="29">
        <f t="shared" si="8"/>
        <v>1.5</v>
      </c>
      <c r="AJ91" s="29">
        <f t="shared" si="8"/>
        <v>2</v>
      </c>
      <c r="AK91" s="29">
        <f t="shared" si="8"/>
        <v>2</v>
      </c>
      <c r="AL91" s="29">
        <f t="shared" si="8"/>
        <v>2.5</v>
      </c>
      <c r="AM91" s="29">
        <f t="shared" si="8"/>
        <v>2</v>
      </c>
      <c r="AN91" s="29">
        <f t="shared" si="8"/>
        <v>2</v>
      </c>
      <c r="AO91" s="29">
        <f t="shared" si="8"/>
        <v>2</v>
      </c>
      <c r="AP91" s="29">
        <f t="shared" si="8"/>
        <v>2</v>
      </c>
      <c r="AQ91" s="29">
        <f t="shared" si="8"/>
        <v>2</v>
      </c>
      <c r="AR91" s="29">
        <f t="shared" si="8"/>
        <v>2</v>
      </c>
      <c r="AS91" s="29"/>
    </row>
    <row r="92">
      <c r="A92" s="3" t="s">
        <v>103</v>
      </c>
      <c r="C92" s="24"/>
      <c r="D92" s="7" t="s">
        <v>185</v>
      </c>
      <c r="E92" s="128">
        <f t="shared" ref="E92:AR92" si="9">SUMIF($D$2:$D$81,"Off2",E2:E81)</f>
        <v>1</v>
      </c>
      <c r="F92" s="29">
        <f t="shared" si="9"/>
        <v>1</v>
      </c>
      <c r="G92" s="29">
        <f t="shared" si="9"/>
        <v>1</v>
      </c>
      <c r="H92" s="29">
        <f t="shared" si="9"/>
        <v>1</v>
      </c>
      <c r="I92" s="129">
        <f t="shared" si="9"/>
        <v>1</v>
      </c>
      <c r="J92" s="29">
        <f t="shared" si="9"/>
        <v>1.5</v>
      </c>
      <c r="K92" s="29">
        <f t="shared" si="9"/>
        <v>2</v>
      </c>
      <c r="L92" s="29">
        <f t="shared" si="9"/>
        <v>2</v>
      </c>
      <c r="M92" s="29">
        <f t="shared" si="9"/>
        <v>2</v>
      </c>
      <c r="N92" s="29">
        <f t="shared" si="9"/>
        <v>2</v>
      </c>
      <c r="O92" s="29">
        <f t="shared" si="9"/>
        <v>2</v>
      </c>
      <c r="P92" s="29">
        <f t="shared" si="9"/>
        <v>2</v>
      </c>
      <c r="Q92" s="29">
        <f t="shared" si="9"/>
        <v>2</v>
      </c>
      <c r="R92" s="29">
        <f t="shared" si="9"/>
        <v>2</v>
      </c>
      <c r="S92" s="29">
        <f t="shared" si="9"/>
        <v>2</v>
      </c>
      <c r="T92" s="29">
        <f t="shared" si="9"/>
        <v>2</v>
      </c>
      <c r="U92" s="29">
        <f t="shared" si="9"/>
        <v>2</v>
      </c>
      <c r="V92" s="29">
        <f t="shared" si="9"/>
        <v>2</v>
      </c>
      <c r="W92" s="29">
        <f t="shared" si="9"/>
        <v>2</v>
      </c>
      <c r="X92" s="29">
        <f t="shared" si="9"/>
        <v>2</v>
      </c>
      <c r="Y92" s="29">
        <f t="shared" si="9"/>
        <v>2</v>
      </c>
      <c r="Z92" s="29">
        <f t="shared" si="9"/>
        <v>2</v>
      </c>
      <c r="AA92" s="29">
        <f t="shared" si="9"/>
        <v>2</v>
      </c>
      <c r="AB92" s="29">
        <f t="shared" si="9"/>
        <v>2</v>
      </c>
      <c r="AC92" s="29">
        <f t="shared" si="9"/>
        <v>2</v>
      </c>
      <c r="AD92" s="29">
        <f t="shared" si="9"/>
        <v>2</v>
      </c>
      <c r="AE92" s="29">
        <f t="shared" si="9"/>
        <v>2</v>
      </c>
      <c r="AF92" s="29">
        <f t="shared" si="9"/>
        <v>2</v>
      </c>
      <c r="AG92" s="29">
        <f t="shared" si="9"/>
        <v>2</v>
      </c>
      <c r="AH92" s="29">
        <f t="shared" si="9"/>
        <v>2</v>
      </c>
      <c r="AI92" s="29">
        <f t="shared" si="9"/>
        <v>2</v>
      </c>
      <c r="AJ92" s="29">
        <f t="shared" si="9"/>
        <v>2</v>
      </c>
      <c r="AK92" s="29">
        <f t="shared" si="9"/>
        <v>2</v>
      </c>
      <c r="AL92" s="29">
        <f t="shared" si="9"/>
        <v>2</v>
      </c>
      <c r="AM92" s="29">
        <f t="shared" si="9"/>
        <v>2</v>
      </c>
      <c r="AN92" s="29">
        <f t="shared" si="9"/>
        <v>2</v>
      </c>
      <c r="AO92" s="29">
        <f t="shared" si="9"/>
        <v>2</v>
      </c>
      <c r="AP92" s="29">
        <f t="shared" si="9"/>
        <v>2</v>
      </c>
      <c r="AQ92" s="29">
        <f t="shared" si="9"/>
        <v>2</v>
      </c>
      <c r="AR92" s="29">
        <f t="shared" si="9"/>
        <v>2</v>
      </c>
      <c r="AS92" s="29"/>
    </row>
    <row r="93">
      <c r="A93" s="3" t="s">
        <v>100</v>
      </c>
      <c r="C93" s="24"/>
      <c r="D93" s="7" t="s">
        <v>188</v>
      </c>
      <c r="E93" s="128">
        <f t="shared" ref="E93:AR93" si="10">SUMIF($D$2:$D$81,"RSP",E2:E81)</f>
        <v>3</v>
      </c>
      <c r="F93" s="29">
        <f t="shared" si="10"/>
        <v>3</v>
      </c>
      <c r="G93" s="29">
        <f t="shared" si="10"/>
        <v>3</v>
      </c>
      <c r="H93" s="29">
        <f t="shared" si="10"/>
        <v>3</v>
      </c>
      <c r="I93" s="129">
        <f t="shared" si="10"/>
        <v>3</v>
      </c>
      <c r="J93" s="29">
        <f t="shared" si="10"/>
        <v>3</v>
      </c>
      <c r="K93" s="29">
        <f t="shared" si="10"/>
        <v>3</v>
      </c>
      <c r="L93" s="29">
        <f t="shared" si="10"/>
        <v>3</v>
      </c>
      <c r="M93" s="29">
        <f t="shared" si="10"/>
        <v>3</v>
      </c>
      <c r="N93" s="29">
        <f t="shared" si="10"/>
        <v>3</v>
      </c>
      <c r="O93" s="29">
        <f t="shared" si="10"/>
        <v>3</v>
      </c>
      <c r="P93" s="29">
        <f t="shared" si="10"/>
        <v>3</v>
      </c>
      <c r="Q93" s="29">
        <f t="shared" si="10"/>
        <v>3</v>
      </c>
      <c r="R93" s="29">
        <f t="shared" si="10"/>
        <v>3</v>
      </c>
      <c r="S93" s="29">
        <f t="shared" si="10"/>
        <v>3</v>
      </c>
      <c r="T93" s="29">
        <f t="shared" si="10"/>
        <v>3</v>
      </c>
      <c r="U93" s="29">
        <f t="shared" si="10"/>
        <v>3</v>
      </c>
      <c r="V93" s="29">
        <f t="shared" si="10"/>
        <v>3</v>
      </c>
      <c r="W93" s="29">
        <f t="shared" si="10"/>
        <v>3</v>
      </c>
      <c r="X93" s="29">
        <f t="shared" si="10"/>
        <v>3</v>
      </c>
      <c r="Y93" s="29">
        <f t="shared" si="10"/>
        <v>3</v>
      </c>
      <c r="Z93" s="29">
        <f t="shared" si="10"/>
        <v>3</v>
      </c>
      <c r="AA93" s="29">
        <f t="shared" si="10"/>
        <v>3</v>
      </c>
      <c r="AB93" s="29">
        <f t="shared" si="10"/>
        <v>3</v>
      </c>
      <c r="AC93" s="29">
        <f t="shared" si="10"/>
        <v>3</v>
      </c>
      <c r="AD93" s="29">
        <f t="shared" si="10"/>
        <v>3</v>
      </c>
      <c r="AE93" s="29">
        <f t="shared" si="10"/>
        <v>3</v>
      </c>
      <c r="AF93" s="29">
        <f t="shared" si="10"/>
        <v>3</v>
      </c>
      <c r="AG93" s="29">
        <f t="shared" si="10"/>
        <v>3</v>
      </c>
      <c r="AH93" s="29">
        <f t="shared" si="10"/>
        <v>3</v>
      </c>
      <c r="AI93" s="29">
        <f t="shared" si="10"/>
        <v>3</v>
      </c>
      <c r="AJ93" s="29">
        <f t="shared" si="10"/>
        <v>3</v>
      </c>
      <c r="AK93" s="29">
        <f t="shared" si="10"/>
        <v>3</v>
      </c>
      <c r="AL93" s="29">
        <f t="shared" si="10"/>
        <v>3</v>
      </c>
      <c r="AM93" s="29">
        <f t="shared" si="10"/>
        <v>3</v>
      </c>
      <c r="AN93" s="29">
        <f t="shared" si="10"/>
        <v>3</v>
      </c>
      <c r="AO93" s="29">
        <f t="shared" si="10"/>
        <v>3</v>
      </c>
      <c r="AP93" s="29">
        <f t="shared" si="10"/>
        <v>3</v>
      </c>
      <c r="AQ93" s="29">
        <f t="shared" si="10"/>
        <v>3</v>
      </c>
      <c r="AR93" s="29">
        <f t="shared" si="10"/>
        <v>3</v>
      </c>
      <c r="AS93" s="29"/>
    </row>
    <row r="94">
      <c r="A94" s="3" t="s">
        <v>107</v>
      </c>
      <c r="C94" s="24"/>
      <c r="D94" s="7" t="s">
        <v>94</v>
      </c>
      <c r="E94" s="128">
        <f t="shared" ref="E94:AR94" si="11">SUMIF($D$2:$D$81,"Sol",E2:E81)</f>
        <v>48.5</v>
      </c>
      <c r="F94" s="29">
        <f t="shared" si="11"/>
        <v>48.5</v>
      </c>
      <c r="G94" s="29">
        <f t="shared" si="11"/>
        <v>49</v>
      </c>
      <c r="H94" s="29">
        <f t="shared" si="11"/>
        <v>48</v>
      </c>
      <c r="I94" s="129">
        <f t="shared" si="11"/>
        <v>46.5</v>
      </c>
      <c r="J94" s="29">
        <f t="shared" si="11"/>
        <v>43.5</v>
      </c>
      <c r="K94" s="29">
        <f t="shared" si="11"/>
        <v>42.5</v>
      </c>
      <c r="L94" s="29">
        <f t="shared" si="11"/>
        <v>43</v>
      </c>
      <c r="M94" s="29">
        <f t="shared" si="11"/>
        <v>46</v>
      </c>
      <c r="N94" s="29">
        <f t="shared" si="11"/>
        <v>45.5</v>
      </c>
      <c r="O94" s="29">
        <f t="shared" si="11"/>
        <v>44.5</v>
      </c>
      <c r="P94" s="29">
        <f t="shared" si="11"/>
        <v>42.5</v>
      </c>
      <c r="Q94" s="29">
        <f t="shared" si="11"/>
        <v>41</v>
      </c>
      <c r="R94" s="29">
        <f t="shared" si="11"/>
        <v>39</v>
      </c>
      <c r="S94" s="29">
        <f t="shared" si="11"/>
        <v>39</v>
      </c>
      <c r="T94" s="29">
        <f t="shared" si="11"/>
        <v>43.5</v>
      </c>
      <c r="U94" s="29">
        <f t="shared" si="11"/>
        <v>46</v>
      </c>
      <c r="V94" s="29">
        <f t="shared" si="11"/>
        <v>48</v>
      </c>
      <c r="W94" s="29">
        <f t="shared" si="11"/>
        <v>45.5</v>
      </c>
      <c r="X94" s="29">
        <f t="shared" si="11"/>
        <v>44.5</v>
      </c>
      <c r="Y94" s="29">
        <f t="shared" si="11"/>
        <v>42</v>
      </c>
      <c r="Z94" s="29">
        <f t="shared" si="11"/>
        <v>41.5</v>
      </c>
      <c r="AA94" s="29">
        <f t="shared" si="11"/>
        <v>44</v>
      </c>
      <c r="AB94" s="29">
        <f t="shared" si="11"/>
        <v>41.5</v>
      </c>
      <c r="AC94" s="29">
        <f t="shared" si="11"/>
        <v>36</v>
      </c>
      <c r="AD94" s="29">
        <f t="shared" si="11"/>
        <v>34</v>
      </c>
      <c r="AE94" s="29">
        <f t="shared" si="11"/>
        <v>33</v>
      </c>
      <c r="AF94" s="29">
        <f t="shared" si="11"/>
        <v>32</v>
      </c>
      <c r="AG94" s="29">
        <f t="shared" si="11"/>
        <v>22</v>
      </c>
      <c r="AH94" s="29">
        <f t="shared" si="11"/>
        <v>24.5</v>
      </c>
      <c r="AI94" s="29">
        <f t="shared" si="11"/>
        <v>27</v>
      </c>
      <c r="AJ94" s="29">
        <f t="shared" si="11"/>
        <v>29</v>
      </c>
      <c r="AK94" s="29">
        <f t="shared" si="11"/>
        <v>25.5</v>
      </c>
      <c r="AL94" s="29">
        <f t="shared" si="11"/>
        <v>25.5</v>
      </c>
      <c r="AM94" s="29">
        <f t="shared" si="11"/>
        <v>22.5</v>
      </c>
      <c r="AN94" s="29">
        <f t="shared" si="11"/>
        <v>23</v>
      </c>
      <c r="AO94" s="29">
        <f t="shared" si="11"/>
        <v>17</v>
      </c>
      <c r="AP94" s="29">
        <f t="shared" si="11"/>
        <v>17</v>
      </c>
      <c r="AQ94" s="29">
        <f t="shared" si="11"/>
        <v>14.5</v>
      </c>
      <c r="AR94" s="29">
        <f t="shared" si="11"/>
        <v>17</v>
      </c>
      <c r="AS94" s="29"/>
    </row>
    <row r="95">
      <c r="A95" s="125"/>
      <c r="C95" s="127"/>
      <c r="D95" s="125"/>
      <c r="E95" s="128">
        <f t="shared" ref="E95:AR95" si="12">SUM(E87:E94)</f>
        <v>70.5</v>
      </c>
      <c r="F95" s="128">
        <f t="shared" si="12"/>
        <v>70.5</v>
      </c>
      <c r="G95" s="128">
        <f t="shared" si="12"/>
        <v>71.5</v>
      </c>
      <c r="H95" s="128">
        <f t="shared" si="12"/>
        <v>71</v>
      </c>
      <c r="I95" s="128">
        <f t="shared" si="12"/>
        <v>69</v>
      </c>
      <c r="J95" s="128">
        <f t="shared" si="12"/>
        <v>63.5</v>
      </c>
      <c r="K95" s="128">
        <f t="shared" si="12"/>
        <v>63</v>
      </c>
      <c r="L95" s="128">
        <f t="shared" si="12"/>
        <v>62.5</v>
      </c>
      <c r="M95" s="128">
        <f t="shared" si="12"/>
        <v>65.5</v>
      </c>
      <c r="N95" s="128">
        <f t="shared" si="12"/>
        <v>66</v>
      </c>
      <c r="O95" s="128">
        <f t="shared" si="12"/>
        <v>66</v>
      </c>
      <c r="P95" s="128">
        <f t="shared" si="12"/>
        <v>62.5</v>
      </c>
      <c r="Q95" s="128">
        <f t="shared" si="12"/>
        <v>58.5</v>
      </c>
      <c r="R95" s="128">
        <f t="shared" si="12"/>
        <v>55</v>
      </c>
      <c r="S95" s="128">
        <f t="shared" si="12"/>
        <v>55.5</v>
      </c>
      <c r="T95" s="128">
        <f t="shared" si="12"/>
        <v>61</v>
      </c>
      <c r="U95" s="128">
        <f t="shared" si="12"/>
        <v>64.5</v>
      </c>
      <c r="V95" s="128">
        <f t="shared" si="12"/>
        <v>67.5</v>
      </c>
      <c r="W95" s="128">
        <f t="shared" si="12"/>
        <v>64.5</v>
      </c>
      <c r="X95" s="128">
        <f t="shared" si="12"/>
        <v>64.5</v>
      </c>
      <c r="Y95" s="128">
        <f t="shared" si="12"/>
        <v>62</v>
      </c>
      <c r="Z95" s="128">
        <f t="shared" si="12"/>
        <v>61.5</v>
      </c>
      <c r="AA95" s="128">
        <f t="shared" si="12"/>
        <v>64</v>
      </c>
      <c r="AB95" s="128">
        <f t="shared" si="12"/>
        <v>61.5</v>
      </c>
      <c r="AC95" s="128">
        <f t="shared" si="12"/>
        <v>55</v>
      </c>
      <c r="AD95" s="128">
        <f t="shared" si="12"/>
        <v>52.5</v>
      </c>
      <c r="AE95" s="128">
        <f t="shared" si="12"/>
        <v>52</v>
      </c>
      <c r="AF95" s="128">
        <f t="shared" si="12"/>
        <v>52</v>
      </c>
      <c r="AG95" s="128">
        <f t="shared" si="12"/>
        <v>39</v>
      </c>
      <c r="AH95" s="128">
        <f t="shared" si="12"/>
        <v>40.5</v>
      </c>
      <c r="AI95" s="128">
        <f t="shared" si="12"/>
        <v>41.5</v>
      </c>
      <c r="AJ95" s="128">
        <f t="shared" si="12"/>
        <v>44</v>
      </c>
      <c r="AK95" s="128">
        <f t="shared" si="12"/>
        <v>40</v>
      </c>
      <c r="AL95" s="128">
        <f t="shared" si="12"/>
        <v>41.5</v>
      </c>
      <c r="AM95" s="128">
        <f t="shared" si="12"/>
        <v>37</v>
      </c>
      <c r="AN95" s="128">
        <f t="shared" si="12"/>
        <v>38</v>
      </c>
      <c r="AO95" s="128">
        <f t="shared" si="12"/>
        <v>31</v>
      </c>
      <c r="AP95" s="128">
        <f t="shared" si="12"/>
        <v>31</v>
      </c>
      <c r="AQ95" s="128">
        <f t="shared" si="12"/>
        <v>28.5</v>
      </c>
      <c r="AR95" s="128">
        <f t="shared" si="12"/>
        <v>30.5</v>
      </c>
      <c r="AS95" s="29"/>
    </row>
    <row r="96">
      <c r="A96" s="125"/>
      <c r="C96" s="127"/>
      <c r="D96" s="125"/>
      <c r="E96" s="128"/>
      <c r="F96" s="29"/>
      <c r="G96" s="29"/>
      <c r="H96" s="29"/>
      <c r="I96" s="1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row>
    <row r="97">
      <c r="A97" s="3" t="s">
        <v>553</v>
      </c>
      <c r="C97" s="127"/>
      <c r="D97" s="125"/>
      <c r="E97" s="128"/>
      <c r="F97" s="29"/>
      <c r="G97" s="29"/>
      <c r="H97" s="29"/>
      <c r="I97" s="129"/>
      <c r="J97" s="29">
        <f t="shared" ref="J97:AR97" si="13">sumif($C2:$C84,4,J2:J84)</f>
        <v>5</v>
      </c>
      <c r="K97" s="29">
        <f t="shared" si="13"/>
        <v>5</v>
      </c>
      <c r="L97" s="29">
        <f t="shared" si="13"/>
        <v>5</v>
      </c>
      <c r="M97" s="29">
        <f t="shared" si="13"/>
        <v>5</v>
      </c>
      <c r="N97" s="29">
        <f t="shared" si="13"/>
        <v>5</v>
      </c>
      <c r="O97" s="29">
        <f t="shared" si="13"/>
        <v>6</v>
      </c>
      <c r="P97" s="29">
        <f t="shared" si="13"/>
        <v>6</v>
      </c>
      <c r="Q97" s="29">
        <f t="shared" si="13"/>
        <v>6</v>
      </c>
      <c r="R97" s="29">
        <f t="shared" si="13"/>
        <v>6</v>
      </c>
      <c r="S97" s="29">
        <f t="shared" si="13"/>
        <v>6</v>
      </c>
      <c r="T97" s="29">
        <f t="shared" si="13"/>
        <v>6</v>
      </c>
      <c r="U97" s="29">
        <f t="shared" si="13"/>
        <v>6</v>
      </c>
      <c r="V97" s="29">
        <f t="shared" si="13"/>
        <v>6</v>
      </c>
      <c r="W97" s="29">
        <f t="shared" si="13"/>
        <v>5</v>
      </c>
      <c r="X97" s="29">
        <f t="shared" si="13"/>
        <v>5</v>
      </c>
      <c r="Y97" s="29">
        <f t="shared" si="13"/>
        <v>5</v>
      </c>
      <c r="Z97" s="29">
        <f t="shared" si="13"/>
        <v>5</v>
      </c>
      <c r="AA97" s="29">
        <f t="shared" si="13"/>
        <v>6</v>
      </c>
      <c r="AB97" s="29">
        <f t="shared" si="13"/>
        <v>6</v>
      </c>
      <c r="AC97" s="29">
        <f t="shared" si="13"/>
        <v>6</v>
      </c>
      <c r="AD97" s="29">
        <f t="shared" si="13"/>
        <v>6</v>
      </c>
      <c r="AE97" s="29">
        <f t="shared" si="13"/>
        <v>6</v>
      </c>
      <c r="AF97" s="29">
        <f t="shared" si="13"/>
        <v>6</v>
      </c>
      <c r="AG97" s="29">
        <f t="shared" si="13"/>
        <v>5</v>
      </c>
      <c r="AH97" s="29">
        <f t="shared" si="13"/>
        <v>5</v>
      </c>
      <c r="AI97" s="29">
        <f t="shared" si="13"/>
        <v>5</v>
      </c>
      <c r="AJ97" s="29">
        <f t="shared" si="13"/>
        <v>6</v>
      </c>
      <c r="AK97" s="29">
        <f t="shared" si="13"/>
        <v>6</v>
      </c>
      <c r="AL97" s="29">
        <f t="shared" si="13"/>
        <v>6</v>
      </c>
      <c r="AM97" s="29">
        <f t="shared" si="13"/>
        <v>6</v>
      </c>
      <c r="AN97" s="29">
        <f t="shared" si="13"/>
        <v>6</v>
      </c>
      <c r="AO97" s="29">
        <f t="shared" si="13"/>
        <v>6</v>
      </c>
      <c r="AP97" s="29">
        <f t="shared" si="13"/>
        <v>6</v>
      </c>
      <c r="AQ97" s="29">
        <f t="shared" si="13"/>
        <v>6</v>
      </c>
      <c r="AR97" s="29">
        <f t="shared" si="13"/>
        <v>6</v>
      </c>
      <c r="AS97" s="29"/>
    </row>
    <row r="98">
      <c r="C98" s="127"/>
      <c r="E98" s="136"/>
      <c r="I98" s="137"/>
    </row>
    <row r="99">
      <c r="A99" s="3" t="s">
        <v>554</v>
      </c>
      <c r="C99" s="127"/>
      <c r="E99" s="136"/>
      <c r="I99" s="137"/>
      <c r="J99" s="138">
        <f t="shared" ref="J99:AR99" si="14">sumif($C2:$C84,"&lt;&gt;4",J2:J84)</f>
        <v>58.5</v>
      </c>
      <c r="K99" s="138">
        <f t="shared" si="14"/>
        <v>58</v>
      </c>
      <c r="L99" s="138">
        <f t="shared" si="14"/>
        <v>57.5</v>
      </c>
      <c r="M99" s="138">
        <f t="shared" si="14"/>
        <v>60.5</v>
      </c>
      <c r="N99" s="138">
        <f t="shared" si="14"/>
        <v>61</v>
      </c>
      <c r="O99" s="138">
        <f t="shared" si="14"/>
        <v>61</v>
      </c>
      <c r="P99" s="138">
        <f t="shared" si="14"/>
        <v>57.5</v>
      </c>
      <c r="Q99" s="138">
        <f t="shared" si="14"/>
        <v>53.5</v>
      </c>
      <c r="R99" s="138">
        <f t="shared" si="14"/>
        <v>50</v>
      </c>
      <c r="S99" s="138">
        <f t="shared" si="14"/>
        <v>50.5</v>
      </c>
      <c r="T99" s="138">
        <f t="shared" si="14"/>
        <v>56</v>
      </c>
      <c r="U99" s="138">
        <f t="shared" si="14"/>
        <v>59.5</v>
      </c>
      <c r="V99" s="138">
        <f t="shared" si="14"/>
        <v>62.5</v>
      </c>
      <c r="W99" s="138">
        <f t="shared" si="14"/>
        <v>59.5</v>
      </c>
      <c r="X99" s="138">
        <f t="shared" si="14"/>
        <v>59.5</v>
      </c>
      <c r="Y99" s="138">
        <f t="shared" si="14"/>
        <v>57</v>
      </c>
      <c r="Z99" s="138">
        <f t="shared" si="14"/>
        <v>56.5</v>
      </c>
      <c r="AA99" s="138">
        <f t="shared" si="14"/>
        <v>59</v>
      </c>
      <c r="AB99" s="138">
        <f t="shared" si="14"/>
        <v>56.5</v>
      </c>
      <c r="AC99" s="138">
        <f t="shared" si="14"/>
        <v>50</v>
      </c>
      <c r="AD99" s="138">
        <f t="shared" si="14"/>
        <v>47.5</v>
      </c>
      <c r="AE99" s="138">
        <f t="shared" si="14"/>
        <v>47</v>
      </c>
      <c r="AF99" s="138">
        <f t="shared" si="14"/>
        <v>47</v>
      </c>
      <c r="AG99" s="138">
        <f t="shared" si="14"/>
        <v>34</v>
      </c>
      <c r="AH99" s="138">
        <f t="shared" si="14"/>
        <v>35.5</v>
      </c>
      <c r="AI99" s="138">
        <f t="shared" si="14"/>
        <v>36.5</v>
      </c>
      <c r="AJ99" s="138">
        <f t="shared" si="14"/>
        <v>39</v>
      </c>
      <c r="AK99" s="138">
        <f t="shared" si="14"/>
        <v>35</v>
      </c>
      <c r="AL99" s="138">
        <f t="shared" si="14"/>
        <v>36.5</v>
      </c>
      <c r="AM99" s="138">
        <f t="shared" si="14"/>
        <v>32</v>
      </c>
      <c r="AN99" s="138">
        <f t="shared" si="14"/>
        <v>33</v>
      </c>
      <c r="AO99" s="138">
        <f t="shared" si="14"/>
        <v>26</v>
      </c>
      <c r="AP99" s="138">
        <f t="shared" si="14"/>
        <v>26</v>
      </c>
      <c r="AQ99" s="138">
        <f t="shared" si="14"/>
        <v>23.5</v>
      </c>
      <c r="AR99" s="138">
        <f t="shared" si="14"/>
        <v>25.5</v>
      </c>
    </row>
    <row r="100">
      <c r="C100" s="127"/>
      <c r="E100" s="136"/>
      <c r="I100" s="137"/>
    </row>
    <row r="101">
      <c r="C101" s="127"/>
      <c r="E101" s="136"/>
      <c r="I101" s="137"/>
    </row>
    <row r="102">
      <c r="C102" s="127"/>
      <c r="E102" s="136"/>
      <c r="I102" s="137"/>
    </row>
    <row r="103">
      <c r="C103" s="127"/>
      <c r="E103" s="136"/>
      <c r="I103" s="137"/>
    </row>
    <row r="104">
      <c r="C104" s="127"/>
      <c r="E104" s="136"/>
      <c r="I104" s="137"/>
    </row>
    <row r="105">
      <c r="C105" s="127"/>
      <c r="E105" s="136"/>
      <c r="I105" s="137"/>
    </row>
    <row r="106">
      <c r="C106" s="127"/>
      <c r="E106" s="136"/>
      <c r="I106" s="137"/>
    </row>
    <row r="107">
      <c r="C107" s="127"/>
      <c r="E107" s="136"/>
      <c r="I107" s="137"/>
    </row>
    <row r="108">
      <c r="C108" s="127"/>
      <c r="E108" s="136"/>
      <c r="I108" s="137"/>
    </row>
    <row r="109">
      <c r="C109" s="127"/>
      <c r="E109" s="136"/>
      <c r="I109" s="137"/>
    </row>
    <row r="110">
      <c r="C110" s="127"/>
      <c r="E110" s="136"/>
      <c r="I110" s="137"/>
    </row>
    <row r="111">
      <c r="C111" s="127"/>
      <c r="E111" s="136"/>
      <c r="I111" s="137"/>
    </row>
    <row r="112">
      <c r="C112" s="127"/>
      <c r="E112" s="136"/>
      <c r="I112" s="137"/>
    </row>
    <row r="113">
      <c r="C113" s="127"/>
      <c r="E113" s="136"/>
      <c r="I113" s="137"/>
    </row>
    <row r="114">
      <c r="C114" s="127"/>
      <c r="E114" s="136"/>
      <c r="I114" s="137"/>
    </row>
    <row r="115">
      <c r="C115" s="127"/>
      <c r="E115" s="136"/>
      <c r="I115" s="137"/>
    </row>
    <row r="116">
      <c r="C116" s="127"/>
      <c r="E116" s="136"/>
      <c r="I116" s="137"/>
    </row>
    <row r="117">
      <c r="C117" s="127"/>
      <c r="E117" s="136"/>
      <c r="I117" s="137"/>
    </row>
    <row r="118">
      <c r="C118" s="127"/>
      <c r="E118" s="136"/>
      <c r="I118" s="137"/>
    </row>
    <row r="119">
      <c r="C119" s="127"/>
      <c r="E119" s="136"/>
      <c r="I119" s="137"/>
    </row>
    <row r="120">
      <c r="C120" s="127"/>
      <c r="E120" s="136"/>
      <c r="I120" s="137"/>
    </row>
    <row r="121">
      <c r="C121" s="127"/>
      <c r="E121" s="136"/>
      <c r="I121" s="137"/>
    </row>
    <row r="122">
      <c r="C122" s="127"/>
      <c r="E122" s="136"/>
      <c r="I122" s="137"/>
    </row>
    <row r="123">
      <c r="C123" s="127"/>
      <c r="E123" s="136"/>
      <c r="I123" s="137"/>
    </row>
    <row r="124">
      <c r="C124" s="127"/>
      <c r="E124" s="136"/>
      <c r="I124" s="137"/>
    </row>
    <row r="125">
      <c r="C125" s="127"/>
      <c r="E125" s="136"/>
      <c r="I125" s="137"/>
    </row>
    <row r="126">
      <c r="C126" s="127"/>
      <c r="E126" s="136"/>
      <c r="I126" s="137"/>
    </row>
    <row r="127">
      <c r="C127" s="127"/>
      <c r="E127" s="136"/>
      <c r="I127" s="137"/>
    </row>
    <row r="128">
      <c r="C128" s="127"/>
      <c r="E128" s="136"/>
      <c r="I128" s="137"/>
    </row>
    <row r="129">
      <c r="C129" s="127"/>
      <c r="E129" s="136"/>
      <c r="I129" s="137"/>
    </row>
    <row r="130">
      <c r="C130" s="127"/>
      <c r="E130" s="136"/>
      <c r="I130" s="137"/>
    </row>
    <row r="131">
      <c r="C131" s="127"/>
      <c r="E131" s="136"/>
      <c r="I131" s="137"/>
    </row>
    <row r="132">
      <c r="C132" s="127"/>
      <c r="E132" s="136"/>
      <c r="I132" s="137"/>
    </row>
    <row r="133">
      <c r="C133" s="127"/>
      <c r="E133" s="136"/>
      <c r="I133" s="137"/>
    </row>
    <row r="134">
      <c r="C134" s="127"/>
      <c r="E134" s="136"/>
      <c r="I134" s="137"/>
    </row>
    <row r="135">
      <c r="C135" s="127"/>
      <c r="E135" s="136"/>
      <c r="I135" s="137"/>
    </row>
    <row r="136">
      <c r="C136" s="127"/>
      <c r="E136" s="136"/>
      <c r="I136" s="137"/>
    </row>
    <row r="137">
      <c r="C137" s="127"/>
      <c r="E137" s="136"/>
      <c r="I137" s="137"/>
    </row>
    <row r="138">
      <c r="C138" s="127"/>
      <c r="E138" s="136"/>
      <c r="I138" s="137"/>
    </row>
    <row r="139">
      <c r="C139" s="127"/>
      <c r="E139" s="136"/>
      <c r="I139" s="137"/>
    </row>
    <row r="140">
      <c r="C140" s="127"/>
      <c r="E140" s="136"/>
      <c r="I140" s="137"/>
    </row>
    <row r="141">
      <c r="C141" s="127"/>
      <c r="E141" s="136"/>
      <c r="I141" s="137"/>
    </row>
    <row r="142">
      <c r="C142" s="127"/>
      <c r="E142" s="136"/>
      <c r="I142" s="137"/>
    </row>
    <row r="143">
      <c r="C143" s="127"/>
      <c r="E143" s="136"/>
      <c r="I143" s="137"/>
    </row>
    <row r="144">
      <c r="C144" s="127"/>
      <c r="E144" s="136"/>
      <c r="I144" s="137"/>
    </row>
    <row r="145">
      <c r="C145" s="127"/>
      <c r="E145" s="136"/>
      <c r="I145" s="137"/>
    </row>
    <row r="146">
      <c r="C146" s="127"/>
      <c r="E146" s="136"/>
      <c r="I146" s="137"/>
    </row>
    <row r="147">
      <c r="C147" s="127"/>
      <c r="E147" s="136"/>
      <c r="I147" s="137"/>
    </row>
    <row r="148">
      <c r="C148" s="127"/>
      <c r="E148" s="136"/>
      <c r="I148" s="137"/>
    </row>
    <row r="149">
      <c r="C149" s="127"/>
      <c r="E149" s="136"/>
      <c r="I149" s="137"/>
    </row>
    <row r="150">
      <c r="C150" s="127"/>
      <c r="E150" s="136"/>
      <c r="I150" s="137"/>
    </row>
    <row r="151">
      <c r="C151" s="127"/>
      <c r="E151" s="136"/>
      <c r="I151" s="137"/>
    </row>
    <row r="152">
      <c r="C152" s="127"/>
      <c r="E152" s="136"/>
      <c r="I152" s="137"/>
    </row>
    <row r="153">
      <c r="C153" s="127"/>
      <c r="E153" s="136"/>
      <c r="I153" s="137"/>
    </row>
    <row r="154">
      <c r="C154" s="127"/>
      <c r="E154" s="136"/>
      <c r="I154" s="137"/>
    </row>
    <row r="155">
      <c r="C155" s="127"/>
      <c r="E155" s="136"/>
      <c r="I155" s="137"/>
    </row>
    <row r="156">
      <c r="C156" s="127"/>
      <c r="E156" s="136"/>
      <c r="I156" s="137"/>
    </row>
    <row r="157">
      <c r="C157" s="127"/>
      <c r="E157" s="136"/>
      <c r="I157" s="137"/>
    </row>
    <row r="158">
      <c r="C158" s="127"/>
      <c r="E158" s="136"/>
      <c r="I158" s="137"/>
    </row>
    <row r="159">
      <c r="C159" s="127"/>
      <c r="E159" s="136"/>
      <c r="I159" s="137"/>
    </row>
    <row r="160">
      <c r="C160" s="127"/>
      <c r="E160" s="136"/>
      <c r="I160" s="137"/>
    </row>
    <row r="161">
      <c r="C161" s="127"/>
      <c r="E161" s="136"/>
      <c r="I161" s="137"/>
    </row>
    <row r="162">
      <c r="C162" s="127"/>
      <c r="E162" s="136"/>
      <c r="I162" s="137"/>
    </row>
    <row r="163">
      <c r="C163" s="127"/>
      <c r="E163" s="136"/>
      <c r="I163" s="137"/>
    </row>
    <row r="164">
      <c r="C164" s="127"/>
      <c r="E164" s="136"/>
      <c r="I164" s="137"/>
    </row>
    <row r="165">
      <c r="C165" s="127"/>
      <c r="E165" s="136"/>
      <c r="I165" s="137"/>
    </row>
    <row r="166">
      <c r="C166" s="127"/>
      <c r="E166" s="136"/>
      <c r="I166" s="137"/>
    </row>
    <row r="167">
      <c r="C167" s="127"/>
      <c r="E167" s="136"/>
      <c r="I167" s="137"/>
    </row>
    <row r="168">
      <c r="C168" s="127"/>
      <c r="E168" s="136"/>
      <c r="I168" s="137"/>
    </row>
    <row r="169">
      <c r="C169" s="127"/>
      <c r="E169" s="136"/>
      <c r="I169" s="137"/>
    </row>
    <row r="170">
      <c r="C170" s="127"/>
      <c r="E170" s="136"/>
      <c r="I170" s="137"/>
    </row>
    <row r="171">
      <c r="C171" s="127"/>
      <c r="E171" s="136"/>
      <c r="I171" s="137"/>
    </row>
    <row r="172">
      <c r="C172" s="127"/>
      <c r="E172" s="136"/>
      <c r="I172" s="137"/>
    </row>
    <row r="173">
      <c r="C173" s="127"/>
      <c r="E173" s="136"/>
      <c r="I173" s="137"/>
    </row>
    <row r="174">
      <c r="C174" s="127"/>
      <c r="E174" s="136"/>
      <c r="I174" s="137"/>
    </row>
    <row r="175">
      <c r="C175" s="127"/>
      <c r="E175" s="136"/>
      <c r="I175" s="137"/>
    </row>
    <row r="176">
      <c r="C176" s="127"/>
      <c r="E176" s="136"/>
      <c r="I176" s="137"/>
    </row>
    <row r="177">
      <c r="C177" s="127"/>
      <c r="E177" s="136"/>
      <c r="I177" s="137"/>
    </row>
    <row r="178">
      <c r="C178" s="127"/>
      <c r="E178" s="136"/>
      <c r="I178" s="137"/>
    </row>
    <row r="179">
      <c r="C179" s="127"/>
      <c r="E179" s="136"/>
      <c r="I179" s="137"/>
    </row>
    <row r="180">
      <c r="C180" s="127"/>
      <c r="E180" s="136"/>
      <c r="I180" s="137"/>
    </row>
    <row r="181">
      <c r="C181" s="127"/>
      <c r="E181" s="136"/>
      <c r="I181" s="137"/>
    </row>
    <row r="182">
      <c r="C182" s="127"/>
      <c r="E182" s="136"/>
      <c r="I182" s="137"/>
    </row>
    <row r="183">
      <c r="C183" s="127"/>
      <c r="E183" s="136"/>
      <c r="I183" s="137"/>
    </row>
    <row r="184">
      <c r="C184" s="127"/>
      <c r="E184" s="136"/>
      <c r="I184" s="137"/>
    </row>
    <row r="185">
      <c r="C185" s="127"/>
      <c r="E185" s="136"/>
      <c r="I185" s="137"/>
    </row>
    <row r="186">
      <c r="C186" s="127"/>
      <c r="E186" s="136"/>
      <c r="I186" s="137"/>
    </row>
    <row r="187">
      <c r="C187" s="127"/>
      <c r="E187" s="136"/>
      <c r="I187" s="137"/>
    </row>
    <row r="188">
      <c r="C188" s="127"/>
      <c r="E188" s="136"/>
      <c r="I188" s="137"/>
    </row>
    <row r="189">
      <c r="C189" s="127"/>
      <c r="E189" s="136"/>
      <c r="I189" s="137"/>
    </row>
    <row r="190">
      <c r="C190" s="127"/>
      <c r="E190" s="136"/>
      <c r="I190" s="137"/>
    </row>
    <row r="191">
      <c r="C191" s="127"/>
      <c r="E191" s="136"/>
      <c r="I191" s="137"/>
    </row>
    <row r="192">
      <c r="C192" s="127"/>
      <c r="E192" s="136"/>
      <c r="I192" s="137"/>
    </row>
    <row r="193">
      <c r="C193" s="127"/>
      <c r="E193" s="136"/>
      <c r="I193" s="137"/>
    </row>
    <row r="194">
      <c r="C194" s="127"/>
      <c r="E194" s="136"/>
      <c r="I194" s="137"/>
    </row>
    <row r="195">
      <c r="C195" s="127"/>
      <c r="E195" s="136"/>
      <c r="I195" s="137"/>
    </row>
    <row r="196">
      <c r="C196" s="127"/>
      <c r="E196" s="136"/>
      <c r="I196" s="137"/>
    </row>
    <row r="197">
      <c r="C197" s="127"/>
      <c r="E197" s="136"/>
      <c r="I197" s="137"/>
    </row>
    <row r="198">
      <c r="C198" s="127"/>
      <c r="E198" s="136"/>
      <c r="I198" s="137"/>
    </row>
    <row r="199">
      <c r="C199" s="127"/>
      <c r="E199" s="136"/>
      <c r="I199" s="137"/>
    </row>
    <row r="200">
      <c r="C200" s="127"/>
      <c r="E200" s="136"/>
      <c r="I200" s="137"/>
    </row>
    <row r="201">
      <c r="C201" s="127"/>
      <c r="E201" s="136"/>
      <c r="I201" s="137"/>
    </row>
    <row r="202">
      <c r="C202" s="127"/>
      <c r="E202" s="136"/>
      <c r="I202" s="137"/>
    </row>
    <row r="203">
      <c r="C203" s="127"/>
      <c r="E203" s="136"/>
      <c r="I203" s="137"/>
    </row>
    <row r="204">
      <c r="C204" s="127"/>
      <c r="E204" s="136"/>
      <c r="I204" s="137"/>
    </row>
    <row r="205">
      <c r="C205" s="127"/>
      <c r="E205" s="136"/>
      <c r="I205" s="137"/>
    </row>
    <row r="206">
      <c r="C206" s="127"/>
      <c r="E206" s="136"/>
      <c r="I206" s="137"/>
    </row>
    <row r="207">
      <c r="C207" s="127"/>
      <c r="E207" s="136"/>
      <c r="I207" s="137"/>
    </row>
    <row r="208">
      <c r="C208" s="127"/>
      <c r="E208" s="136"/>
      <c r="I208" s="137"/>
    </row>
    <row r="209">
      <c r="C209" s="127"/>
      <c r="E209" s="136"/>
      <c r="I209" s="137"/>
    </row>
    <row r="210">
      <c r="C210" s="127"/>
      <c r="E210" s="136"/>
      <c r="I210" s="137"/>
    </row>
    <row r="211">
      <c r="C211" s="127"/>
      <c r="E211" s="136"/>
      <c r="I211" s="137"/>
    </row>
    <row r="212">
      <c r="C212" s="127"/>
      <c r="E212" s="136"/>
      <c r="I212" s="137"/>
    </row>
    <row r="213">
      <c r="C213" s="127"/>
      <c r="E213" s="136"/>
      <c r="I213" s="137"/>
    </row>
    <row r="214">
      <c r="C214" s="127"/>
      <c r="E214" s="136"/>
      <c r="I214" s="137"/>
    </row>
    <row r="215">
      <c r="C215" s="127"/>
      <c r="E215" s="136"/>
      <c r="I215" s="137"/>
    </row>
    <row r="216">
      <c r="C216" s="127"/>
      <c r="E216" s="136"/>
      <c r="I216" s="137"/>
    </row>
    <row r="217">
      <c r="C217" s="127"/>
      <c r="E217" s="136"/>
      <c r="I217" s="137"/>
    </row>
    <row r="218">
      <c r="C218" s="127"/>
      <c r="E218" s="136"/>
      <c r="I218" s="137"/>
    </row>
    <row r="219">
      <c r="C219" s="127"/>
      <c r="E219" s="136"/>
      <c r="I219" s="137"/>
    </row>
    <row r="220">
      <c r="C220" s="127"/>
      <c r="E220" s="136"/>
      <c r="I220" s="137"/>
    </row>
    <row r="221">
      <c r="C221" s="127"/>
      <c r="E221" s="136"/>
      <c r="I221" s="137"/>
    </row>
    <row r="222">
      <c r="C222" s="127"/>
      <c r="E222" s="136"/>
      <c r="I222" s="137"/>
    </row>
    <row r="223">
      <c r="C223" s="127"/>
      <c r="E223" s="136"/>
      <c r="I223" s="137"/>
    </row>
    <row r="224">
      <c r="C224" s="127"/>
      <c r="E224" s="136"/>
      <c r="I224" s="137"/>
    </row>
    <row r="225">
      <c r="C225" s="127"/>
      <c r="E225" s="136"/>
      <c r="I225" s="137"/>
    </row>
    <row r="226">
      <c r="C226" s="127"/>
      <c r="E226" s="136"/>
      <c r="I226" s="137"/>
    </row>
    <row r="227">
      <c r="C227" s="127"/>
      <c r="E227" s="136"/>
      <c r="I227" s="137"/>
    </row>
    <row r="228">
      <c r="C228" s="127"/>
      <c r="E228" s="136"/>
      <c r="I228" s="137"/>
    </row>
    <row r="229">
      <c r="C229" s="127"/>
      <c r="E229" s="136"/>
      <c r="I229" s="137"/>
    </row>
    <row r="230">
      <c r="C230" s="127"/>
      <c r="E230" s="136"/>
      <c r="I230" s="137"/>
    </row>
    <row r="231">
      <c r="C231" s="127"/>
      <c r="E231" s="136"/>
      <c r="I231" s="137"/>
    </row>
    <row r="232">
      <c r="C232" s="127"/>
      <c r="E232" s="136"/>
      <c r="I232" s="137"/>
    </row>
    <row r="233">
      <c r="C233" s="127"/>
      <c r="E233" s="136"/>
      <c r="I233" s="137"/>
    </row>
    <row r="234">
      <c r="C234" s="127"/>
      <c r="E234" s="136"/>
      <c r="I234" s="137"/>
    </row>
    <row r="235">
      <c r="C235" s="127"/>
      <c r="E235" s="136"/>
      <c r="I235" s="137"/>
    </row>
    <row r="236">
      <c r="C236" s="127"/>
      <c r="E236" s="136"/>
      <c r="I236" s="137"/>
    </row>
    <row r="237">
      <c r="C237" s="127"/>
      <c r="E237" s="136"/>
      <c r="I237" s="137"/>
    </row>
    <row r="238">
      <c r="C238" s="127"/>
      <c r="E238" s="136"/>
      <c r="I238" s="137"/>
    </row>
    <row r="239">
      <c r="C239" s="127"/>
      <c r="E239" s="136"/>
      <c r="I239" s="137"/>
    </row>
    <row r="240">
      <c r="C240" s="127"/>
      <c r="E240" s="136"/>
      <c r="I240" s="137"/>
    </row>
    <row r="241">
      <c r="C241" s="127"/>
      <c r="E241" s="136"/>
      <c r="I241" s="137"/>
    </row>
    <row r="242">
      <c r="C242" s="127"/>
      <c r="E242" s="136"/>
      <c r="I242" s="137"/>
    </row>
    <row r="243">
      <c r="C243" s="127"/>
      <c r="E243" s="136"/>
      <c r="I243" s="137"/>
    </row>
    <row r="244">
      <c r="C244" s="127"/>
      <c r="E244" s="136"/>
      <c r="I244" s="137"/>
    </row>
    <row r="245">
      <c r="C245" s="127"/>
      <c r="E245" s="136"/>
      <c r="I245" s="137"/>
    </row>
    <row r="246">
      <c r="C246" s="127"/>
      <c r="E246" s="136"/>
      <c r="I246" s="137"/>
    </row>
    <row r="247">
      <c r="C247" s="127"/>
      <c r="E247" s="136"/>
      <c r="I247" s="137"/>
    </row>
    <row r="248">
      <c r="C248" s="127"/>
      <c r="E248" s="136"/>
      <c r="I248" s="137"/>
    </row>
    <row r="249">
      <c r="C249" s="127"/>
      <c r="E249" s="136"/>
      <c r="I249" s="137"/>
    </row>
    <row r="250">
      <c r="C250" s="127"/>
      <c r="E250" s="136"/>
      <c r="I250" s="137"/>
    </row>
    <row r="251">
      <c r="C251" s="127"/>
      <c r="E251" s="136"/>
      <c r="I251" s="137"/>
    </row>
    <row r="252">
      <c r="C252" s="127"/>
      <c r="E252" s="136"/>
      <c r="I252" s="137"/>
    </row>
    <row r="253">
      <c r="C253" s="127"/>
      <c r="E253" s="136"/>
      <c r="I253" s="137"/>
    </row>
    <row r="254">
      <c r="C254" s="127"/>
      <c r="E254" s="136"/>
      <c r="I254" s="137"/>
    </row>
    <row r="255">
      <c r="C255" s="127"/>
      <c r="E255" s="136"/>
      <c r="I255" s="137"/>
    </row>
    <row r="256">
      <c r="C256" s="127"/>
      <c r="E256" s="136"/>
      <c r="I256" s="137"/>
    </row>
    <row r="257">
      <c r="C257" s="127"/>
      <c r="E257" s="136"/>
      <c r="I257" s="137"/>
    </row>
    <row r="258">
      <c r="C258" s="127"/>
      <c r="E258" s="136"/>
      <c r="I258" s="137"/>
    </row>
    <row r="259">
      <c r="C259" s="127"/>
      <c r="E259" s="136"/>
      <c r="I259" s="137"/>
    </row>
    <row r="260">
      <c r="C260" s="127"/>
      <c r="E260" s="136"/>
      <c r="I260" s="137"/>
    </row>
    <row r="261">
      <c r="C261" s="127"/>
      <c r="E261" s="136"/>
      <c r="I261" s="137"/>
    </row>
    <row r="262">
      <c r="C262" s="127"/>
      <c r="E262" s="136"/>
      <c r="I262" s="137"/>
    </row>
    <row r="263">
      <c r="C263" s="127"/>
      <c r="E263" s="136"/>
      <c r="I263" s="137"/>
    </row>
    <row r="264">
      <c r="C264" s="127"/>
      <c r="E264" s="136"/>
      <c r="I264" s="137"/>
    </row>
    <row r="265">
      <c r="C265" s="127"/>
      <c r="E265" s="136"/>
      <c r="I265" s="137"/>
    </row>
    <row r="266">
      <c r="C266" s="127"/>
      <c r="E266" s="136"/>
      <c r="I266" s="137"/>
    </row>
    <row r="267">
      <c r="C267" s="127"/>
      <c r="E267" s="136"/>
      <c r="I267" s="137"/>
    </row>
    <row r="268">
      <c r="C268" s="127"/>
      <c r="E268" s="136"/>
      <c r="I268" s="137"/>
    </row>
    <row r="269">
      <c r="C269" s="127"/>
      <c r="E269" s="136"/>
      <c r="I269" s="137"/>
    </row>
    <row r="270">
      <c r="C270" s="127"/>
      <c r="E270" s="136"/>
      <c r="I270" s="137"/>
    </row>
    <row r="271">
      <c r="C271" s="127"/>
      <c r="E271" s="136"/>
      <c r="I271" s="137"/>
    </row>
    <row r="272">
      <c r="C272" s="127"/>
      <c r="E272" s="136"/>
      <c r="I272" s="137"/>
    </row>
    <row r="273">
      <c r="C273" s="127"/>
      <c r="E273" s="136"/>
      <c r="I273" s="137"/>
    </row>
    <row r="274">
      <c r="C274" s="127"/>
      <c r="E274" s="136"/>
      <c r="I274" s="137"/>
    </row>
    <row r="275">
      <c r="C275" s="127"/>
      <c r="E275" s="136"/>
      <c r="I275" s="137"/>
    </row>
    <row r="276">
      <c r="C276" s="127"/>
      <c r="E276" s="136"/>
      <c r="I276" s="137"/>
    </row>
    <row r="277">
      <c r="C277" s="127"/>
      <c r="E277" s="136"/>
      <c r="I277" s="137"/>
    </row>
    <row r="278">
      <c r="C278" s="127"/>
      <c r="E278" s="136"/>
      <c r="I278" s="137"/>
    </row>
    <row r="279">
      <c r="C279" s="127"/>
      <c r="E279" s="136"/>
      <c r="I279" s="137"/>
    </row>
    <row r="280">
      <c r="C280" s="127"/>
      <c r="E280" s="136"/>
      <c r="I280" s="137"/>
    </row>
    <row r="281">
      <c r="C281" s="127"/>
      <c r="E281" s="136"/>
      <c r="I281" s="137"/>
    </row>
    <row r="282">
      <c r="C282" s="127"/>
      <c r="E282" s="136"/>
      <c r="I282" s="137"/>
    </row>
    <row r="283">
      <c r="C283" s="127"/>
      <c r="E283" s="136"/>
      <c r="I283" s="137"/>
    </row>
    <row r="284">
      <c r="C284" s="127"/>
      <c r="E284" s="136"/>
      <c r="I284" s="137"/>
    </row>
    <row r="285">
      <c r="C285" s="127"/>
      <c r="E285" s="136"/>
      <c r="I285" s="137"/>
    </row>
    <row r="286">
      <c r="C286" s="127"/>
      <c r="E286" s="136"/>
      <c r="I286" s="137"/>
    </row>
    <row r="287">
      <c r="C287" s="127"/>
      <c r="E287" s="136"/>
      <c r="I287" s="137"/>
    </row>
    <row r="288">
      <c r="C288" s="127"/>
      <c r="E288" s="136"/>
      <c r="I288" s="137"/>
    </row>
    <row r="289">
      <c r="C289" s="127"/>
      <c r="E289" s="136"/>
      <c r="I289" s="137"/>
    </row>
    <row r="290">
      <c r="C290" s="127"/>
      <c r="E290" s="136"/>
      <c r="I290" s="137"/>
    </row>
    <row r="291">
      <c r="C291" s="127"/>
      <c r="E291" s="136"/>
      <c r="I291" s="137"/>
    </row>
    <row r="292">
      <c r="C292" s="127"/>
      <c r="E292" s="136"/>
      <c r="I292" s="137"/>
    </row>
    <row r="293">
      <c r="C293" s="127"/>
      <c r="E293" s="136"/>
      <c r="I293" s="137"/>
    </row>
    <row r="294">
      <c r="C294" s="127"/>
      <c r="E294" s="136"/>
      <c r="I294" s="137"/>
    </row>
    <row r="295">
      <c r="C295" s="127"/>
      <c r="E295" s="136"/>
      <c r="I295" s="137"/>
    </row>
    <row r="296">
      <c r="C296" s="127"/>
      <c r="E296" s="136"/>
      <c r="I296" s="137"/>
    </row>
    <row r="297">
      <c r="C297" s="127"/>
      <c r="E297" s="136"/>
      <c r="I297" s="137"/>
    </row>
    <row r="298">
      <c r="C298" s="127"/>
      <c r="E298" s="136"/>
      <c r="I298" s="137"/>
    </row>
    <row r="299">
      <c r="C299" s="127"/>
      <c r="E299" s="136"/>
      <c r="I299" s="137"/>
    </row>
    <row r="300">
      <c r="C300" s="127"/>
      <c r="E300" s="136"/>
      <c r="I300" s="137"/>
    </row>
    <row r="301">
      <c r="C301" s="127"/>
      <c r="E301" s="136"/>
      <c r="I301" s="137"/>
    </row>
    <row r="302">
      <c r="C302" s="127"/>
      <c r="E302" s="136"/>
      <c r="I302" s="137"/>
    </row>
    <row r="303">
      <c r="C303" s="127"/>
      <c r="E303" s="136"/>
      <c r="I303" s="137"/>
    </row>
    <row r="304">
      <c r="C304" s="127"/>
      <c r="E304" s="136"/>
      <c r="I304" s="137"/>
    </row>
    <row r="305">
      <c r="C305" s="127"/>
      <c r="E305" s="136"/>
      <c r="I305" s="137"/>
    </row>
    <row r="306">
      <c r="C306" s="127"/>
      <c r="E306" s="136"/>
      <c r="I306" s="137"/>
    </row>
    <row r="307">
      <c r="C307" s="127"/>
      <c r="E307" s="136"/>
      <c r="I307" s="137"/>
    </row>
    <row r="308">
      <c r="C308" s="127"/>
      <c r="E308" s="136"/>
      <c r="I308" s="137"/>
    </row>
    <row r="309">
      <c r="C309" s="127"/>
      <c r="E309" s="136"/>
      <c r="I309" s="137"/>
    </row>
    <row r="310">
      <c r="C310" s="127"/>
      <c r="E310" s="136"/>
      <c r="I310" s="137"/>
    </row>
    <row r="311">
      <c r="C311" s="127"/>
      <c r="E311" s="136"/>
      <c r="I311" s="137"/>
    </row>
    <row r="312">
      <c r="C312" s="127"/>
      <c r="E312" s="136"/>
      <c r="I312" s="137"/>
    </row>
    <row r="313">
      <c r="C313" s="127"/>
      <c r="E313" s="136"/>
      <c r="I313" s="137"/>
    </row>
    <row r="314">
      <c r="C314" s="127"/>
      <c r="E314" s="136"/>
      <c r="I314" s="137"/>
    </row>
    <row r="315">
      <c r="C315" s="127"/>
      <c r="E315" s="136"/>
      <c r="I315" s="137"/>
    </row>
    <row r="316">
      <c r="C316" s="127"/>
      <c r="E316" s="136"/>
      <c r="I316" s="137"/>
    </row>
    <row r="317">
      <c r="C317" s="127"/>
      <c r="E317" s="136"/>
      <c r="I317" s="137"/>
    </row>
    <row r="318">
      <c r="C318" s="127"/>
      <c r="E318" s="136"/>
      <c r="I318" s="137"/>
    </row>
    <row r="319">
      <c r="C319" s="127"/>
      <c r="E319" s="136"/>
      <c r="I319" s="137"/>
    </row>
    <row r="320">
      <c r="C320" s="127"/>
      <c r="E320" s="136"/>
      <c r="I320" s="137"/>
    </row>
    <row r="321">
      <c r="C321" s="127"/>
      <c r="E321" s="136"/>
      <c r="I321" s="137"/>
    </row>
    <row r="322">
      <c r="C322" s="127"/>
      <c r="E322" s="136"/>
      <c r="I322" s="137"/>
    </row>
    <row r="323">
      <c r="C323" s="127"/>
      <c r="E323" s="136"/>
      <c r="I323" s="137"/>
    </row>
    <row r="324">
      <c r="C324" s="127"/>
      <c r="E324" s="136"/>
      <c r="I324" s="137"/>
    </row>
    <row r="325">
      <c r="C325" s="127"/>
      <c r="E325" s="136"/>
      <c r="I325" s="137"/>
    </row>
    <row r="326">
      <c r="C326" s="127"/>
      <c r="E326" s="136"/>
      <c r="I326" s="137"/>
    </row>
    <row r="327">
      <c r="C327" s="127"/>
      <c r="E327" s="136"/>
      <c r="I327" s="137"/>
    </row>
    <row r="328">
      <c r="C328" s="127"/>
      <c r="E328" s="136"/>
      <c r="I328" s="137"/>
    </row>
    <row r="329">
      <c r="C329" s="127"/>
      <c r="E329" s="136"/>
      <c r="I329" s="137"/>
    </row>
    <row r="330">
      <c r="C330" s="127"/>
      <c r="E330" s="136"/>
      <c r="I330" s="137"/>
    </row>
    <row r="331">
      <c r="C331" s="127"/>
      <c r="E331" s="136"/>
      <c r="I331" s="137"/>
    </row>
    <row r="332">
      <c r="C332" s="127"/>
      <c r="E332" s="136"/>
      <c r="I332" s="137"/>
    </row>
    <row r="333">
      <c r="C333" s="127"/>
      <c r="E333" s="136"/>
      <c r="I333" s="137"/>
    </row>
    <row r="334">
      <c r="C334" s="127"/>
      <c r="E334" s="136"/>
      <c r="I334" s="137"/>
    </row>
    <row r="335">
      <c r="C335" s="127"/>
      <c r="E335" s="136"/>
      <c r="I335" s="137"/>
    </row>
    <row r="336">
      <c r="C336" s="127"/>
      <c r="E336" s="136"/>
      <c r="I336" s="137"/>
    </row>
    <row r="337">
      <c r="C337" s="127"/>
      <c r="E337" s="136"/>
      <c r="I337" s="137"/>
    </row>
    <row r="338">
      <c r="C338" s="127"/>
      <c r="E338" s="136"/>
      <c r="I338" s="137"/>
    </row>
    <row r="339">
      <c r="C339" s="127"/>
      <c r="E339" s="136"/>
      <c r="I339" s="137"/>
    </row>
    <row r="340">
      <c r="C340" s="127"/>
      <c r="E340" s="136"/>
      <c r="I340" s="137"/>
    </row>
    <row r="341">
      <c r="C341" s="127"/>
      <c r="E341" s="136"/>
      <c r="I341" s="137"/>
    </row>
    <row r="342">
      <c r="C342" s="127"/>
      <c r="E342" s="136"/>
      <c r="I342" s="137"/>
    </row>
    <row r="343">
      <c r="C343" s="127"/>
      <c r="E343" s="136"/>
      <c r="I343" s="137"/>
    </row>
    <row r="344">
      <c r="C344" s="127"/>
      <c r="E344" s="136"/>
      <c r="I344" s="137"/>
    </row>
    <row r="345">
      <c r="C345" s="127"/>
      <c r="E345" s="136"/>
      <c r="I345" s="137"/>
    </row>
    <row r="346">
      <c r="C346" s="127"/>
      <c r="E346" s="136"/>
      <c r="I346" s="137"/>
    </row>
    <row r="347">
      <c r="C347" s="127"/>
      <c r="E347" s="136"/>
      <c r="I347" s="137"/>
    </row>
    <row r="348">
      <c r="C348" s="127"/>
      <c r="E348" s="136"/>
      <c r="I348" s="137"/>
    </row>
    <row r="349">
      <c r="C349" s="127"/>
      <c r="E349" s="136"/>
      <c r="I349" s="137"/>
    </row>
    <row r="350">
      <c r="C350" s="127"/>
      <c r="E350" s="136"/>
      <c r="I350" s="137"/>
    </row>
    <row r="351">
      <c r="C351" s="127"/>
      <c r="E351" s="136"/>
      <c r="I351" s="137"/>
    </row>
    <row r="352">
      <c r="C352" s="127"/>
      <c r="E352" s="136"/>
      <c r="I352" s="137"/>
    </row>
    <row r="353">
      <c r="C353" s="127"/>
      <c r="E353" s="136"/>
      <c r="I353" s="137"/>
    </row>
    <row r="354">
      <c r="C354" s="127"/>
      <c r="E354" s="136"/>
      <c r="I354" s="137"/>
    </row>
    <row r="355">
      <c r="C355" s="127"/>
      <c r="E355" s="136"/>
      <c r="I355" s="137"/>
    </row>
    <row r="356">
      <c r="C356" s="127"/>
      <c r="E356" s="136"/>
      <c r="I356" s="137"/>
    </row>
    <row r="357">
      <c r="C357" s="127"/>
      <c r="E357" s="136"/>
      <c r="I357" s="137"/>
    </row>
    <row r="358">
      <c r="C358" s="127"/>
      <c r="E358" s="136"/>
      <c r="I358" s="137"/>
    </row>
    <row r="359">
      <c r="C359" s="127"/>
      <c r="E359" s="136"/>
      <c r="I359" s="137"/>
    </row>
    <row r="360">
      <c r="C360" s="127"/>
      <c r="E360" s="136"/>
      <c r="I360" s="137"/>
    </row>
    <row r="361">
      <c r="C361" s="127"/>
      <c r="E361" s="136"/>
      <c r="I361" s="137"/>
    </row>
    <row r="362">
      <c r="C362" s="127"/>
      <c r="E362" s="136"/>
      <c r="I362" s="137"/>
    </row>
    <row r="363">
      <c r="C363" s="127"/>
      <c r="E363" s="136"/>
      <c r="I363" s="137"/>
    </row>
    <row r="364">
      <c r="C364" s="127"/>
      <c r="E364" s="136"/>
      <c r="I364" s="137"/>
    </row>
    <row r="365">
      <c r="C365" s="127"/>
      <c r="E365" s="136"/>
      <c r="I365" s="137"/>
    </row>
    <row r="366">
      <c r="C366" s="127"/>
      <c r="E366" s="136"/>
      <c r="I366" s="137"/>
    </row>
    <row r="367">
      <c r="C367" s="127"/>
      <c r="E367" s="136"/>
      <c r="I367" s="137"/>
    </row>
    <row r="368">
      <c r="C368" s="127"/>
      <c r="E368" s="136"/>
      <c r="I368" s="137"/>
    </row>
    <row r="369">
      <c r="C369" s="127"/>
      <c r="E369" s="136"/>
      <c r="I369" s="137"/>
    </row>
    <row r="370">
      <c r="C370" s="127"/>
      <c r="E370" s="136"/>
      <c r="I370" s="137"/>
    </row>
    <row r="371">
      <c r="C371" s="127"/>
      <c r="E371" s="136"/>
      <c r="I371" s="137"/>
    </row>
    <row r="372">
      <c r="C372" s="127"/>
      <c r="E372" s="136"/>
      <c r="I372" s="137"/>
    </row>
    <row r="373">
      <c r="C373" s="127"/>
      <c r="E373" s="136"/>
      <c r="I373" s="137"/>
    </row>
    <row r="374">
      <c r="C374" s="127"/>
      <c r="E374" s="136"/>
      <c r="I374" s="137"/>
    </row>
    <row r="375">
      <c r="C375" s="127"/>
      <c r="E375" s="136"/>
      <c r="I375" s="137"/>
    </row>
    <row r="376">
      <c r="C376" s="127"/>
      <c r="E376" s="136"/>
      <c r="I376" s="137"/>
    </row>
    <row r="377">
      <c r="C377" s="127"/>
      <c r="E377" s="136"/>
      <c r="I377" s="137"/>
    </row>
    <row r="378">
      <c r="C378" s="127"/>
      <c r="E378" s="136"/>
      <c r="I378" s="137"/>
    </row>
    <row r="379">
      <c r="C379" s="127"/>
      <c r="E379" s="136"/>
      <c r="I379" s="137"/>
    </row>
    <row r="380">
      <c r="C380" s="127"/>
      <c r="E380" s="136"/>
      <c r="I380" s="137"/>
    </row>
    <row r="381">
      <c r="C381" s="127"/>
      <c r="E381" s="136"/>
      <c r="I381" s="137"/>
    </row>
    <row r="382">
      <c r="C382" s="127"/>
      <c r="E382" s="136"/>
      <c r="I382" s="137"/>
    </row>
    <row r="383">
      <c r="C383" s="127"/>
      <c r="E383" s="136"/>
      <c r="I383" s="137"/>
    </row>
    <row r="384">
      <c r="C384" s="127"/>
      <c r="E384" s="136"/>
      <c r="I384" s="137"/>
    </row>
    <row r="385">
      <c r="C385" s="127"/>
      <c r="E385" s="136"/>
      <c r="I385" s="137"/>
    </row>
    <row r="386">
      <c r="C386" s="127"/>
      <c r="E386" s="136"/>
      <c r="I386" s="137"/>
    </row>
    <row r="387">
      <c r="C387" s="127"/>
      <c r="E387" s="136"/>
      <c r="I387" s="137"/>
    </row>
    <row r="388">
      <c r="C388" s="127"/>
      <c r="E388" s="136"/>
      <c r="I388" s="137"/>
    </row>
    <row r="389">
      <c r="C389" s="127"/>
      <c r="E389" s="136"/>
      <c r="I389" s="137"/>
    </row>
    <row r="390">
      <c r="C390" s="127"/>
      <c r="E390" s="136"/>
      <c r="I390" s="137"/>
    </row>
    <row r="391">
      <c r="C391" s="127"/>
      <c r="E391" s="136"/>
      <c r="I391" s="137"/>
    </row>
    <row r="392">
      <c r="C392" s="127"/>
      <c r="E392" s="136"/>
      <c r="I392" s="137"/>
    </row>
    <row r="393">
      <c r="C393" s="127"/>
      <c r="E393" s="136"/>
      <c r="I393" s="137"/>
    </row>
    <row r="394">
      <c r="C394" s="127"/>
      <c r="E394" s="136"/>
      <c r="I394" s="137"/>
    </row>
    <row r="395">
      <c r="C395" s="127"/>
      <c r="E395" s="136"/>
      <c r="I395" s="137"/>
    </row>
    <row r="396">
      <c r="C396" s="127"/>
      <c r="E396" s="136"/>
      <c r="I396" s="137"/>
    </row>
    <row r="397">
      <c r="C397" s="127"/>
      <c r="E397" s="136"/>
      <c r="I397" s="137"/>
    </row>
    <row r="398">
      <c r="C398" s="127"/>
      <c r="E398" s="136"/>
      <c r="I398" s="137"/>
    </row>
    <row r="399">
      <c r="C399" s="127"/>
      <c r="E399" s="136"/>
      <c r="I399" s="137"/>
    </row>
    <row r="400">
      <c r="C400" s="127"/>
      <c r="E400" s="136"/>
      <c r="I400" s="137"/>
    </row>
    <row r="401">
      <c r="C401" s="127"/>
      <c r="E401" s="136"/>
      <c r="I401" s="137"/>
    </row>
    <row r="402">
      <c r="C402" s="127"/>
      <c r="E402" s="136"/>
      <c r="I402" s="137"/>
    </row>
    <row r="403">
      <c r="C403" s="127"/>
      <c r="E403" s="136"/>
      <c r="I403" s="137"/>
    </row>
    <row r="404">
      <c r="C404" s="127"/>
      <c r="E404" s="136"/>
      <c r="I404" s="137"/>
    </row>
    <row r="405">
      <c r="C405" s="127"/>
      <c r="E405" s="136"/>
      <c r="I405" s="137"/>
    </row>
    <row r="406">
      <c r="C406" s="127"/>
      <c r="E406" s="136"/>
      <c r="I406" s="137"/>
    </row>
    <row r="407">
      <c r="C407" s="127"/>
      <c r="E407" s="136"/>
      <c r="I407" s="137"/>
    </row>
    <row r="408">
      <c r="C408" s="127"/>
      <c r="E408" s="136"/>
      <c r="I408" s="137"/>
    </row>
    <row r="409">
      <c r="C409" s="127"/>
      <c r="E409" s="136"/>
      <c r="I409" s="137"/>
    </row>
    <row r="410">
      <c r="C410" s="127"/>
      <c r="E410" s="136"/>
      <c r="I410" s="137"/>
    </row>
    <row r="411">
      <c r="C411" s="127"/>
      <c r="E411" s="136"/>
      <c r="I411" s="137"/>
    </row>
    <row r="412">
      <c r="C412" s="127"/>
      <c r="E412" s="136"/>
      <c r="I412" s="137"/>
    </row>
    <row r="413">
      <c r="C413" s="127"/>
      <c r="E413" s="136"/>
      <c r="I413" s="137"/>
    </row>
    <row r="414">
      <c r="C414" s="127"/>
      <c r="E414" s="136"/>
      <c r="I414" s="137"/>
    </row>
    <row r="415">
      <c r="C415" s="127"/>
      <c r="E415" s="136"/>
      <c r="I415" s="137"/>
    </row>
    <row r="416">
      <c r="C416" s="127"/>
      <c r="E416" s="136"/>
      <c r="I416" s="137"/>
    </row>
    <row r="417">
      <c r="C417" s="127"/>
      <c r="E417" s="136"/>
      <c r="I417" s="137"/>
    </row>
    <row r="418">
      <c r="C418" s="127"/>
      <c r="E418" s="136"/>
      <c r="I418" s="137"/>
    </row>
    <row r="419">
      <c r="C419" s="127"/>
      <c r="E419" s="136"/>
      <c r="I419" s="137"/>
    </row>
    <row r="420">
      <c r="C420" s="127"/>
      <c r="E420" s="136"/>
      <c r="I420" s="137"/>
    </row>
    <row r="421">
      <c r="C421" s="127"/>
      <c r="E421" s="136"/>
      <c r="I421" s="137"/>
    </row>
    <row r="422">
      <c r="C422" s="127"/>
      <c r="E422" s="136"/>
      <c r="I422" s="137"/>
    </row>
    <row r="423">
      <c r="C423" s="127"/>
      <c r="E423" s="136"/>
      <c r="I423" s="137"/>
    </row>
    <row r="424">
      <c r="C424" s="127"/>
      <c r="E424" s="136"/>
      <c r="I424" s="137"/>
    </row>
    <row r="425">
      <c r="C425" s="127"/>
      <c r="E425" s="136"/>
      <c r="I425" s="137"/>
    </row>
    <row r="426">
      <c r="C426" s="127"/>
      <c r="E426" s="136"/>
      <c r="I426" s="137"/>
    </row>
    <row r="427">
      <c r="C427" s="127"/>
      <c r="E427" s="136"/>
      <c r="I427" s="137"/>
    </row>
    <row r="428">
      <c r="C428" s="127"/>
      <c r="E428" s="136"/>
      <c r="I428" s="137"/>
    </row>
    <row r="429">
      <c r="C429" s="127"/>
      <c r="E429" s="136"/>
      <c r="I429" s="137"/>
    </row>
    <row r="430">
      <c r="C430" s="127"/>
      <c r="E430" s="136"/>
      <c r="I430" s="137"/>
    </row>
    <row r="431">
      <c r="C431" s="127"/>
      <c r="E431" s="136"/>
      <c r="I431" s="137"/>
    </row>
    <row r="432">
      <c r="C432" s="127"/>
      <c r="E432" s="136"/>
      <c r="I432" s="137"/>
    </row>
    <row r="433">
      <c r="C433" s="127"/>
      <c r="E433" s="136"/>
      <c r="I433" s="137"/>
    </row>
    <row r="434">
      <c r="C434" s="127"/>
      <c r="E434" s="136"/>
      <c r="I434" s="137"/>
    </row>
    <row r="435">
      <c r="C435" s="127"/>
      <c r="E435" s="136"/>
      <c r="I435" s="137"/>
    </row>
    <row r="436">
      <c r="C436" s="127"/>
      <c r="E436" s="136"/>
      <c r="I436" s="137"/>
    </row>
    <row r="437">
      <c r="C437" s="127"/>
      <c r="E437" s="136"/>
      <c r="I437" s="137"/>
    </row>
    <row r="438">
      <c r="C438" s="127"/>
      <c r="E438" s="136"/>
      <c r="I438" s="137"/>
    </row>
    <row r="439">
      <c r="C439" s="127"/>
      <c r="E439" s="136"/>
      <c r="I439" s="137"/>
    </row>
    <row r="440">
      <c r="C440" s="127"/>
      <c r="E440" s="136"/>
      <c r="I440" s="137"/>
    </row>
    <row r="441">
      <c r="C441" s="127"/>
      <c r="E441" s="136"/>
      <c r="I441" s="137"/>
    </row>
    <row r="442">
      <c r="C442" s="127"/>
      <c r="E442" s="136"/>
      <c r="I442" s="137"/>
    </row>
    <row r="443">
      <c r="C443" s="127"/>
      <c r="E443" s="136"/>
      <c r="I443" s="137"/>
    </row>
    <row r="444">
      <c r="C444" s="127"/>
      <c r="E444" s="136"/>
      <c r="I444" s="137"/>
    </row>
    <row r="445">
      <c r="C445" s="127"/>
      <c r="E445" s="136"/>
      <c r="I445" s="137"/>
    </row>
    <row r="446">
      <c r="C446" s="127"/>
      <c r="E446" s="136"/>
      <c r="I446" s="137"/>
    </row>
    <row r="447">
      <c r="C447" s="127"/>
      <c r="E447" s="136"/>
      <c r="I447" s="137"/>
    </row>
    <row r="448">
      <c r="C448" s="127"/>
      <c r="E448" s="136"/>
      <c r="I448" s="137"/>
    </row>
    <row r="449">
      <c r="C449" s="127"/>
      <c r="E449" s="136"/>
      <c r="I449" s="137"/>
    </row>
    <row r="450">
      <c r="C450" s="127"/>
      <c r="E450" s="136"/>
      <c r="I450" s="137"/>
    </row>
    <row r="451">
      <c r="C451" s="127"/>
      <c r="E451" s="136"/>
      <c r="I451" s="137"/>
    </row>
    <row r="452">
      <c r="C452" s="127"/>
      <c r="E452" s="136"/>
      <c r="I452" s="137"/>
    </row>
    <row r="453">
      <c r="C453" s="127"/>
      <c r="E453" s="136"/>
      <c r="I453" s="137"/>
    </row>
    <row r="454">
      <c r="C454" s="127"/>
      <c r="E454" s="136"/>
      <c r="I454" s="137"/>
    </row>
    <row r="455">
      <c r="C455" s="127"/>
      <c r="E455" s="136"/>
      <c r="I455" s="137"/>
    </row>
    <row r="456">
      <c r="C456" s="127"/>
      <c r="E456" s="136"/>
      <c r="I456" s="137"/>
    </row>
    <row r="457">
      <c r="C457" s="127"/>
      <c r="E457" s="136"/>
      <c r="I457" s="137"/>
    </row>
    <row r="458">
      <c r="C458" s="127"/>
      <c r="E458" s="136"/>
      <c r="I458" s="137"/>
    </row>
    <row r="459">
      <c r="C459" s="127"/>
      <c r="E459" s="136"/>
      <c r="I459" s="137"/>
    </row>
    <row r="460">
      <c r="C460" s="127"/>
      <c r="E460" s="136"/>
      <c r="I460" s="137"/>
    </row>
    <row r="461">
      <c r="C461" s="127"/>
      <c r="E461" s="136"/>
      <c r="I461" s="137"/>
    </row>
    <row r="462">
      <c r="C462" s="127"/>
      <c r="E462" s="136"/>
      <c r="I462" s="137"/>
    </row>
    <row r="463">
      <c r="C463" s="127"/>
      <c r="E463" s="136"/>
      <c r="I463" s="137"/>
    </row>
    <row r="464">
      <c r="C464" s="127"/>
      <c r="E464" s="136"/>
      <c r="I464" s="137"/>
    </row>
    <row r="465">
      <c r="C465" s="127"/>
      <c r="E465" s="136"/>
      <c r="I465" s="137"/>
    </row>
    <row r="466">
      <c r="C466" s="127"/>
      <c r="E466" s="136"/>
      <c r="I466" s="137"/>
    </row>
    <row r="467">
      <c r="C467" s="127"/>
      <c r="E467" s="136"/>
      <c r="I467" s="137"/>
    </row>
    <row r="468">
      <c r="C468" s="127"/>
      <c r="E468" s="136"/>
      <c r="I468" s="137"/>
    </row>
    <row r="469">
      <c r="C469" s="127"/>
      <c r="E469" s="136"/>
      <c r="I469" s="137"/>
    </row>
    <row r="470">
      <c r="C470" s="127"/>
      <c r="E470" s="136"/>
      <c r="I470" s="137"/>
    </row>
    <row r="471">
      <c r="C471" s="127"/>
      <c r="E471" s="136"/>
      <c r="I471" s="137"/>
    </row>
    <row r="472">
      <c r="C472" s="127"/>
      <c r="E472" s="136"/>
      <c r="I472" s="137"/>
    </row>
    <row r="473">
      <c r="C473" s="127"/>
      <c r="E473" s="136"/>
      <c r="I473" s="137"/>
    </row>
    <row r="474">
      <c r="C474" s="127"/>
      <c r="E474" s="136"/>
      <c r="I474" s="137"/>
    </row>
    <row r="475">
      <c r="C475" s="127"/>
      <c r="E475" s="136"/>
      <c r="I475" s="137"/>
    </row>
    <row r="476">
      <c r="C476" s="127"/>
      <c r="E476" s="136"/>
      <c r="I476" s="137"/>
    </row>
    <row r="477">
      <c r="C477" s="127"/>
      <c r="E477" s="136"/>
      <c r="I477" s="137"/>
    </row>
    <row r="478">
      <c r="C478" s="127"/>
      <c r="E478" s="136"/>
      <c r="I478" s="137"/>
    </row>
    <row r="479">
      <c r="C479" s="127"/>
      <c r="E479" s="136"/>
      <c r="I479" s="137"/>
    </row>
    <row r="480">
      <c r="C480" s="127"/>
      <c r="E480" s="136"/>
      <c r="I480" s="137"/>
    </row>
    <row r="481">
      <c r="C481" s="127"/>
      <c r="E481" s="136"/>
      <c r="I481" s="137"/>
    </row>
    <row r="482">
      <c r="C482" s="127"/>
      <c r="E482" s="136"/>
      <c r="I482" s="137"/>
    </row>
    <row r="483">
      <c r="C483" s="127"/>
      <c r="E483" s="136"/>
      <c r="I483" s="137"/>
    </row>
    <row r="484">
      <c r="C484" s="127"/>
      <c r="E484" s="136"/>
      <c r="I484" s="137"/>
    </row>
    <row r="485">
      <c r="C485" s="127"/>
      <c r="E485" s="136"/>
      <c r="I485" s="137"/>
    </row>
    <row r="486">
      <c r="C486" s="127"/>
      <c r="E486" s="136"/>
      <c r="I486" s="137"/>
    </row>
    <row r="487">
      <c r="C487" s="127"/>
      <c r="E487" s="136"/>
      <c r="I487" s="137"/>
    </row>
    <row r="488">
      <c r="C488" s="127"/>
      <c r="E488" s="136"/>
      <c r="I488" s="137"/>
    </row>
    <row r="489">
      <c r="C489" s="127"/>
      <c r="E489" s="136"/>
      <c r="I489" s="137"/>
    </row>
    <row r="490">
      <c r="C490" s="127"/>
      <c r="E490" s="136"/>
      <c r="I490" s="137"/>
    </row>
    <row r="491">
      <c r="C491" s="127"/>
      <c r="E491" s="136"/>
      <c r="I491" s="137"/>
    </row>
    <row r="492">
      <c r="C492" s="127"/>
      <c r="E492" s="136"/>
      <c r="I492" s="137"/>
    </row>
    <row r="493">
      <c r="C493" s="127"/>
      <c r="E493" s="136"/>
      <c r="I493" s="137"/>
    </row>
    <row r="494">
      <c r="C494" s="127"/>
      <c r="E494" s="136"/>
      <c r="I494" s="137"/>
    </row>
    <row r="495">
      <c r="C495" s="127"/>
      <c r="E495" s="136"/>
      <c r="I495" s="137"/>
    </row>
    <row r="496">
      <c r="C496" s="127"/>
      <c r="E496" s="136"/>
      <c r="I496" s="137"/>
    </row>
    <row r="497">
      <c r="C497" s="127"/>
      <c r="E497" s="136"/>
      <c r="I497" s="137"/>
    </row>
    <row r="498">
      <c r="C498" s="127"/>
      <c r="E498" s="136"/>
      <c r="I498" s="137"/>
    </row>
    <row r="499">
      <c r="C499" s="127"/>
      <c r="E499" s="136"/>
      <c r="I499" s="137"/>
    </row>
    <row r="500">
      <c r="C500" s="127"/>
      <c r="E500" s="136"/>
      <c r="I500" s="137"/>
    </row>
    <row r="501">
      <c r="C501" s="127"/>
      <c r="E501" s="136"/>
      <c r="I501" s="137"/>
    </row>
    <row r="502">
      <c r="C502" s="127"/>
      <c r="E502" s="136"/>
      <c r="I502" s="137"/>
    </row>
    <row r="503">
      <c r="C503" s="127"/>
      <c r="E503" s="136"/>
      <c r="I503" s="137"/>
    </row>
    <row r="504">
      <c r="C504" s="127"/>
      <c r="E504" s="136"/>
      <c r="I504" s="137"/>
    </row>
    <row r="505">
      <c r="C505" s="127"/>
      <c r="E505" s="136"/>
      <c r="I505" s="137"/>
    </row>
    <row r="506">
      <c r="C506" s="127"/>
      <c r="E506" s="136"/>
      <c r="I506" s="137"/>
    </row>
    <row r="507">
      <c r="C507" s="127"/>
      <c r="E507" s="136"/>
      <c r="I507" s="137"/>
    </row>
    <row r="508">
      <c r="C508" s="127"/>
      <c r="E508" s="136"/>
      <c r="I508" s="137"/>
    </row>
    <row r="509">
      <c r="C509" s="127"/>
      <c r="E509" s="136"/>
      <c r="I509" s="137"/>
    </row>
    <row r="510">
      <c r="C510" s="127"/>
      <c r="E510" s="136"/>
      <c r="I510" s="137"/>
    </row>
    <row r="511">
      <c r="C511" s="127"/>
      <c r="E511" s="136"/>
      <c r="I511" s="137"/>
    </row>
    <row r="512">
      <c r="C512" s="127"/>
      <c r="E512" s="136"/>
      <c r="I512" s="137"/>
    </row>
    <row r="513">
      <c r="C513" s="127"/>
      <c r="E513" s="136"/>
      <c r="I513" s="137"/>
    </row>
    <row r="514">
      <c r="C514" s="127"/>
      <c r="E514" s="136"/>
      <c r="I514" s="137"/>
    </row>
    <row r="515">
      <c r="C515" s="127"/>
      <c r="E515" s="136"/>
      <c r="I515" s="137"/>
    </row>
    <row r="516">
      <c r="C516" s="127"/>
      <c r="E516" s="136"/>
      <c r="I516" s="137"/>
    </row>
    <row r="517">
      <c r="C517" s="127"/>
      <c r="E517" s="136"/>
      <c r="I517" s="137"/>
    </row>
    <row r="518">
      <c r="C518" s="127"/>
      <c r="E518" s="136"/>
      <c r="I518" s="137"/>
    </row>
    <row r="519">
      <c r="C519" s="127"/>
      <c r="E519" s="136"/>
      <c r="I519" s="137"/>
    </row>
    <row r="520">
      <c r="C520" s="127"/>
      <c r="E520" s="136"/>
      <c r="I520" s="137"/>
    </row>
    <row r="521">
      <c r="C521" s="127"/>
      <c r="E521" s="136"/>
      <c r="I521" s="137"/>
    </row>
    <row r="522">
      <c r="C522" s="127"/>
      <c r="E522" s="136"/>
      <c r="I522" s="137"/>
    </row>
    <row r="523">
      <c r="C523" s="127"/>
      <c r="E523" s="136"/>
      <c r="I523" s="137"/>
    </row>
    <row r="524">
      <c r="C524" s="127"/>
      <c r="E524" s="136"/>
      <c r="I524" s="137"/>
    </row>
    <row r="525">
      <c r="C525" s="127"/>
      <c r="E525" s="136"/>
      <c r="I525" s="137"/>
    </row>
    <row r="526">
      <c r="C526" s="127"/>
      <c r="E526" s="136"/>
      <c r="I526" s="137"/>
    </row>
    <row r="527">
      <c r="C527" s="127"/>
      <c r="E527" s="136"/>
      <c r="I527" s="137"/>
    </row>
    <row r="528">
      <c r="C528" s="127"/>
      <c r="E528" s="136"/>
      <c r="I528" s="137"/>
    </row>
    <row r="529">
      <c r="C529" s="127"/>
      <c r="E529" s="136"/>
      <c r="I529" s="137"/>
    </row>
    <row r="530">
      <c r="C530" s="127"/>
      <c r="E530" s="136"/>
      <c r="I530" s="137"/>
    </row>
    <row r="531">
      <c r="C531" s="127"/>
      <c r="E531" s="136"/>
      <c r="I531" s="137"/>
    </row>
    <row r="532">
      <c r="C532" s="127"/>
      <c r="E532" s="136"/>
      <c r="I532" s="137"/>
    </row>
    <row r="533">
      <c r="C533" s="127"/>
      <c r="E533" s="136"/>
      <c r="I533" s="137"/>
    </row>
    <row r="534">
      <c r="C534" s="127"/>
      <c r="E534" s="136"/>
      <c r="I534" s="137"/>
    </row>
    <row r="535">
      <c r="C535" s="127"/>
      <c r="E535" s="136"/>
      <c r="I535" s="137"/>
    </row>
    <row r="536">
      <c r="C536" s="127"/>
      <c r="E536" s="136"/>
      <c r="I536" s="137"/>
    </row>
    <row r="537">
      <c r="C537" s="127"/>
      <c r="E537" s="136"/>
      <c r="I537" s="137"/>
    </row>
    <row r="538">
      <c r="C538" s="127"/>
      <c r="E538" s="136"/>
      <c r="I538" s="137"/>
    </row>
    <row r="539">
      <c r="C539" s="127"/>
      <c r="E539" s="136"/>
      <c r="I539" s="137"/>
    </row>
    <row r="540">
      <c r="C540" s="127"/>
      <c r="E540" s="136"/>
      <c r="I540" s="137"/>
    </row>
    <row r="541">
      <c r="C541" s="127"/>
      <c r="E541" s="136"/>
      <c r="I541" s="137"/>
    </row>
    <row r="542">
      <c r="C542" s="127"/>
      <c r="E542" s="136"/>
      <c r="I542" s="137"/>
    </row>
    <row r="543">
      <c r="C543" s="127"/>
      <c r="E543" s="136"/>
      <c r="I543" s="137"/>
    </row>
    <row r="544">
      <c r="C544" s="127"/>
      <c r="E544" s="136"/>
      <c r="I544" s="137"/>
    </row>
    <row r="545">
      <c r="C545" s="127"/>
      <c r="E545" s="136"/>
      <c r="I545" s="137"/>
    </row>
    <row r="546">
      <c r="C546" s="127"/>
      <c r="E546" s="136"/>
      <c r="I546" s="137"/>
    </row>
    <row r="547">
      <c r="C547" s="127"/>
      <c r="E547" s="136"/>
      <c r="I547" s="137"/>
    </row>
    <row r="548">
      <c r="C548" s="127"/>
      <c r="E548" s="136"/>
      <c r="I548" s="137"/>
    </row>
    <row r="549">
      <c r="C549" s="127"/>
      <c r="E549" s="136"/>
      <c r="I549" s="137"/>
    </row>
    <row r="550">
      <c r="C550" s="127"/>
      <c r="E550" s="136"/>
      <c r="I550" s="137"/>
    </row>
    <row r="551">
      <c r="C551" s="127"/>
      <c r="E551" s="136"/>
      <c r="I551" s="137"/>
    </row>
    <row r="552">
      <c r="C552" s="127"/>
      <c r="E552" s="136"/>
      <c r="I552" s="137"/>
    </row>
    <row r="553">
      <c r="C553" s="127"/>
      <c r="E553" s="136"/>
      <c r="I553" s="137"/>
    </row>
    <row r="554">
      <c r="C554" s="127"/>
      <c r="E554" s="136"/>
      <c r="I554" s="137"/>
    </row>
    <row r="555">
      <c r="C555" s="127"/>
      <c r="E555" s="136"/>
      <c r="I555" s="137"/>
    </row>
    <row r="556">
      <c r="C556" s="127"/>
      <c r="E556" s="136"/>
      <c r="I556" s="137"/>
    </row>
    <row r="557">
      <c r="C557" s="127"/>
      <c r="E557" s="136"/>
      <c r="I557" s="137"/>
    </row>
    <row r="558">
      <c r="C558" s="127"/>
      <c r="E558" s="136"/>
      <c r="I558" s="137"/>
    </row>
    <row r="559">
      <c r="C559" s="127"/>
      <c r="E559" s="136"/>
      <c r="I559" s="137"/>
    </row>
    <row r="560">
      <c r="C560" s="127"/>
      <c r="E560" s="136"/>
      <c r="I560" s="137"/>
    </row>
    <row r="561">
      <c r="C561" s="127"/>
      <c r="E561" s="136"/>
      <c r="I561" s="137"/>
    </row>
    <row r="562">
      <c r="C562" s="127"/>
      <c r="E562" s="136"/>
      <c r="I562" s="137"/>
    </row>
    <row r="563">
      <c r="C563" s="127"/>
      <c r="E563" s="136"/>
      <c r="I563" s="137"/>
    </row>
    <row r="564">
      <c r="C564" s="127"/>
      <c r="E564" s="136"/>
      <c r="I564" s="137"/>
    </row>
    <row r="565">
      <c r="C565" s="127"/>
      <c r="E565" s="136"/>
      <c r="I565" s="137"/>
    </row>
    <row r="566">
      <c r="C566" s="127"/>
      <c r="E566" s="136"/>
      <c r="I566" s="137"/>
    </row>
    <row r="567">
      <c r="C567" s="127"/>
      <c r="E567" s="136"/>
      <c r="I567" s="137"/>
    </row>
    <row r="568">
      <c r="C568" s="127"/>
      <c r="E568" s="136"/>
      <c r="I568" s="137"/>
    </row>
    <row r="569">
      <c r="C569" s="127"/>
      <c r="E569" s="136"/>
      <c r="I569" s="137"/>
    </row>
    <row r="570">
      <c r="C570" s="127"/>
      <c r="E570" s="136"/>
      <c r="I570" s="137"/>
    </row>
    <row r="571">
      <c r="C571" s="127"/>
      <c r="E571" s="136"/>
      <c r="I571" s="137"/>
    </row>
    <row r="572">
      <c r="C572" s="127"/>
      <c r="E572" s="136"/>
      <c r="I572" s="137"/>
    </row>
    <row r="573">
      <c r="C573" s="127"/>
      <c r="E573" s="136"/>
      <c r="I573" s="137"/>
    </row>
    <row r="574">
      <c r="C574" s="127"/>
      <c r="E574" s="136"/>
      <c r="I574" s="137"/>
    </row>
    <row r="575">
      <c r="C575" s="127"/>
      <c r="E575" s="136"/>
      <c r="I575" s="137"/>
    </row>
    <row r="576">
      <c r="C576" s="127"/>
      <c r="E576" s="136"/>
      <c r="I576" s="137"/>
    </row>
    <row r="577">
      <c r="C577" s="127"/>
      <c r="E577" s="136"/>
      <c r="I577" s="137"/>
    </row>
    <row r="578">
      <c r="C578" s="127"/>
      <c r="E578" s="136"/>
      <c r="I578" s="137"/>
    </row>
    <row r="579">
      <c r="C579" s="127"/>
      <c r="E579" s="136"/>
      <c r="I579" s="137"/>
    </row>
    <row r="580">
      <c r="C580" s="127"/>
      <c r="E580" s="136"/>
      <c r="I580" s="137"/>
    </row>
    <row r="581">
      <c r="C581" s="127"/>
      <c r="E581" s="136"/>
      <c r="I581" s="137"/>
    </row>
    <row r="582">
      <c r="C582" s="127"/>
      <c r="E582" s="136"/>
      <c r="I582" s="137"/>
    </row>
    <row r="583">
      <c r="C583" s="127"/>
      <c r="E583" s="136"/>
      <c r="I583" s="137"/>
    </row>
    <row r="584">
      <c r="C584" s="127"/>
      <c r="E584" s="136"/>
      <c r="I584" s="137"/>
    </row>
    <row r="585">
      <c r="C585" s="127"/>
      <c r="E585" s="136"/>
      <c r="I585" s="137"/>
    </row>
    <row r="586">
      <c r="C586" s="127"/>
      <c r="E586" s="136"/>
      <c r="I586" s="137"/>
    </row>
    <row r="587">
      <c r="C587" s="127"/>
      <c r="E587" s="136"/>
      <c r="I587" s="137"/>
    </row>
    <row r="588">
      <c r="C588" s="127"/>
      <c r="E588" s="136"/>
      <c r="I588" s="137"/>
    </row>
    <row r="589">
      <c r="C589" s="127"/>
      <c r="E589" s="136"/>
      <c r="I589" s="137"/>
    </row>
    <row r="590">
      <c r="C590" s="127"/>
      <c r="E590" s="136"/>
      <c r="I590" s="137"/>
    </row>
    <row r="591">
      <c r="C591" s="127"/>
      <c r="E591" s="136"/>
      <c r="I591" s="137"/>
    </row>
    <row r="592">
      <c r="C592" s="127"/>
      <c r="E592" s="136"/>
      <c r="I592" s="137"/>
    </row>
    <row r="593">
      <c r="C593" s="127"/>
      <c r="E593" s="136"/>
      <c r="I593" s="137"/>
    </row>
    <row r="594">
      <c r="C594" s="127"/>
      <c r="E594" s="136"/>
      <c r="I594" s="137"/>
    </row>
    <row r="595">
      <c r="C595" s="127"/>
      <c r="E595" s="136"/>
      <c r="I595" s="137"/>
    </row>
    <row r="596">
      <c r="C596" s="127"/>
      <c r="E596" s="136"/>
      <c r="I596" s="137"/>
    </row>
    <row r="597">
      <c r="C597" s="127"/>
      <c r="E597" s="136"/>
      <c r="I597" s="137"/>
    </row>
    <row r="598">
      <c r="C598" s="127"/>
      <c r="E598" s="136"/>
      <c r="I598" s="137"/>
    </row>
    <row r="599">
      <c r="C599" s="127"/>
      <c r="E599" s="136"/>
      <c r="I599" s="137"/>
    </row>
    <row r="600">
      <c r="C600" s="127"/>
      <c r="E600" s="136"/>
      <c r="I600" s="137"/>
    </row>
    <row r="601">
      <c r="C601" s="127"/>
      <c r="E601" s="136"/>
      <c r="I601" s="137"/>
    </row>
    <row r="602">
      <c r="C602" s="127"/>
      <c r="E602" s="136"/>
      <c r="I602" s="137"/>
    </row>
    <row r="603">
      <c r="C603" s="127"/>
      <c r="E603" s="136"/>
      <c r="I603" s="137"/>
    </row>
    <row r="604">
      <c r="C604" s="127"/>
      <c r="E604" s="136"/>
      <c r="I604" s="137"/>
    </row>
    <row r="605">
      <c r="C605" s="127"/>
      <c r="E605" s="136"/>
      <c r="I605" s="137"/>
    </row>
    <row r="606">
      <c r="C606" s="127"/>
      <c r="E606" s="136"/>
      <c r="I606" s="137"/>
    </row>
    <row r="607">
      <c r="C607" s="127"/>
      <c r="E607" s="136"/>
      <c r="I607" s="137"/>
    </row>
    <row r="608">
      <c r="C608" s="127"/>
      <c r="E608" s="136"/>
      <c r="I608" s="137"/>
    </row>
    <row r="609">
      <c r="C609" s="127"/>
      <c r="E609" s="136"/>
      <c r="I609" s="137"/>
    </row>
    <row r="610">
      <c r="C610" s="127"/>
      <c r="E610" s="136"/>
      <c r="I610" s="137"/>
    </row>
    <row r="611">
      <c r="C611" s="127"/>
      <c r="E611" s="136"/>
      <c r="I611" s="137"/>
    </row>
    <row r="612">
      <c r="C612" s="127"/>
      <c r="E612" s="136"/>
      <c r="I612" s="137"/>
    </row>
    <row r="613">
      <c r="C613" s="127"/>
      <c r="E613" s="136"/>
      <c r="I613" s="137"/>
    </row>
    <row r="614">
      <c r="C614" s="127"/>
      <c r="E614" s="136"/>
      <c r="I614" s="137"/>
    </row>
    <row r="615">
      <c r="C615" s="127"/>
      <c r="E615" s="136"/>
      <c r="I615" s="137"/>
    </row>
    <row r="616">
      <c r="C616" s="127"/>
      <c r="E616" s="136"/>
      <c r="I616" s="137"/>
    </row>
    <row r="617">
      <c r="C617" s="127"/>
      <c r="E617" s="136"/>
      <c r="I617" s="137"/>
    </row>
    <row r="618">
      <c r="C618" s="127"/>
      <c r="E618" s="136"/>
      <c r="I618" s="137"/>
    </row>
    <row r="619">
      <c r="C619" s="127"/>
      <c r="E619" s="136"/>
      <c r="I619" s="137"/>
    </row>
    <row r="620">
      <c r="C620" s="127"/>
      <c r="E620" s="136"/>
      <c r="I620" s="137"/>
    </row>
    <row r="621">
      <c r="C621" s="127"/>
      <c r="E621" s="136"/>
      <c r="I621" s="137"/>
    </row>
    <row r="622">
      <c r="C622" s="127"/>
      <c r="E622" s="136"/>
      <c r="I622" s="137"/>
    </row>
    <row r="623">
      <c r="C623" s="127"/>
      <c r="E623" s="136"/>
      <c r="I623" s="137"/>
    </row>
    <row r="624">
      <c r="C624" s="127"/>
      <c r="E624" s="136"/>
      <c r="I624" s="137"/>
    </row>
    <row r="625">
      <c r="C625" s="127"/>
      <c r="E625" s="136"/>
      <c r="I625" s="137"/>
    </row>
    <row r="626">
      <c r="C626" s="127"/>
      <c r="E626" s="136"/>
      <c r="I626" s="137"/>
    </row>
    <row r="627">
      <c r="C627" s="127"/>
      <c r="E627" s="136"/>
      <c r="I627" s="137"/>
    </row>
    <row r="628">
      <c r="C628" s="127"/>
      <c r="E628" s="136"/>
      <c r="I628" s="137"/>
    </row>
    <row r="629">
      <c r="C629" s="127"/>
      <c r="E629" s="136"/>
      <c r="I629" s="137"/>
    </row>
    <row r="630">
      <c r="C630" s="127"/>
      <c r="E630" s="136"/>
      <c r="I630" s="137"/>
    </row>
    <row r="631">
      <c r="C631" s="127"/>
      <c r="E631" s="136"/>
      <c r="I631" s="137"/>
    </row>
    <row r="632">
      <c r="C632" s="127"/>
      <c r="E632" s="136"/>
      <c r="I632" s="137"/>
    </row>
    <row r="633">
      <c r="C633" s="127"/>
      <c r="E633" s="136"/>
      <c r="I633" s="137"/>
    </row>
    <row r="634">
      <c r="C634" s="127"/>
      <c r="E634" s="136"/>
      <c r="I634" s="137"/>
    </row>
    <row r="635">
      <c r="C635" s="127"/>
      <c r="E635" s="136"/>
      <c r="I635" s="137"/>
    </row>
    <row r="636">
      <c r="C636" s="127"/>
      <c r="E636" s="136"/>
      <c r="I636" s="137"/>
    </row>
    <row r="637">
      <c r="C637" s="127"/>
      <c r="E637" s="136"/>
      <c r="I637" s="137"/>
    </row>
    <row r="638">
      <c r="C638" s="127"/>
      <c r="E638" s="136"/>
      <c r="I638" s="137"/>
    </row>
    <row r="639">
      <c r="C639" s="127"/>
      <c r="E639" s="136"/>
      <c r="I639" s="137"/>
    </row>
    <row r="640">
      <c r="C640" s="127"/>
      <c r="E640" s="136"/>
      <c r="I640" s="137"/>
    </row>
    <row r="641">
      <c r="C641" s="127"/>
      <c r="E641" s="136"/>
      <c r="I641" s="137"/>
    </row>
    <row r="642">
      <c r="C642" s="127"/>
      <c r="E642" s="136"/>
      <c r="I642" s="137"/>
    </row>
    <row r="643">
      <c r="C643" s="127"/>
      <c r="E643" s="136"/>
      <c r="I643" s="137"/>
    </row>
    <row r="644">
      <c r="C644" s="127"/>
      <c r="E644" s="136"/>
      <c r="I644" s="137"/>
    </row>
    <row r="645">
      <c r="C645" s="127"/>
      <c r="E645" s="136"/>
      <c r="I645" s="137"/>
    </row>
    <row r="646">
      <c r="C646" s="127"/>
      <c r="E646" s="136"/>
      <c r="I646" s="137"/>
    </row>
    <row r="647">
      <c r="C647" s="127"/>
      <c r="E647" s="136"/>
      <c r="I647" s="137"/>
    </row>
    <row r="648">
      <c r="C648" s="127"/>
      <c r="E648" s="136"/>
      <c r="I648" s="137"/>
    </row>
    <row r="649">
      <c r="C649" s="127"/>
      <c r="E649" s="136"/>
      <c r="I649" s="137"/>
    </row>
    <row r="650">
      <c r="C650" s="127"/>
      <c r="E650" s="136"/>
      <c r="I650" s="137"/>
    </row>
    <row r="651">
      <c r="C651" s="127"/>
      <c r="E651" s="136"/>
      <c r="I651" s="137"/>
    </row>
    <row r="652">
      <c r="C652" s="127"/>
      <c r="E652" s="136"/>
      <c r="I652" s="137"/>
    </row>
    <row r="653">
      <c r="C653" s="127"/>
      <c r="E653" s="136"/>
      <c r="I653" s="137"/>
    </row>
    <row r="654">
      <c r="C654" s="127"/>
      <c r="E654" s="136"/>
      <c r="I654" s="137"/>
    </row>
    <row r="655">
      <c r="C655" s="127"/>
      <c r="E655" s="136"/>
      <c r="I655" s="137"/>
    </row>
    <row r="656">
      <c r="C656" s="127"/>
      <c r="E656" s="136"/>
      <c r="I656" s="137"/>
    </row>
    <row r="657">
      <c r="C657" s="127"/>
      <c r="E657" s="136"/>
      <c r="I657" s="137"/>
    </row>
    <row r="658">
      <c r="C658" s="127"/>
      <c r="E658" s="136"/>
      <c r="I658" s="137"/>
    </row>
    <row r="659">
      <c r="C659" s="127"/>
      <c r="E659" s="136"/>
      <c r="I659" s="137"/>
    </row>
    <row r="660">
      <c r="C660" s="127"/>
      <c r="E660" s="136"/>
      <c r="I660" s="137"/>
    </row>
    <row r="661">
      <c r="C661" s="127"/>
      <c r="E661" s="136"/>
      <c r="I661" s="137"/>
    </row>
    <row r="662">
      <c r="C662" s="127"/>
      <c r="E662" s="136"/>
      <c r="I662" s="137"/>
    </row>
    <row r="663">
      <c r="C663" s="127"/>
      <c r="E663" s="136"/>
      <c r="I663" s="137"/>
    </row>
    <row r="664">
      <c r="C664" s="127"/>
      <c r="E664" s="136"/>
      <c r="I664" s="137"/>
    </row>
    <row r="665">
      <c r="C665" s="127"/>
      <c r="E665" s="136"/>
      <c r="I665" s="137"/>
    </row>
    <row r="666">
      <c r="C666" s="127"/>
      <c r="E666" s="136"/>
      <c r="I666" s="137"/>
    </row>
    <row r="667">
      <c r="C667" s="127"/>
      <c r="E667" s="136"/>
      <c r="I667" s="137"/>
    </row>
    <row r="668">
      <c r="C668" s="127"/>
      <c r="E668" s="136"/>
      <c r="I668" s="137"/>
    </row>
    <row r="669">
      <c r="C669" s="127"/>
      <c r="E669" s="136"/>
      <c r="I669" s="137"/>
    </row>
    <row r="670">
      <c r="C670" s="127"/>
      <c r="E670" s="136"/>
      <c r="I670" s="137"/>
    </row>
    <row r="671">
      <c r="C671" s="127"/>
      <c r="E671" s="136"/>
      <c r="I671" s="137"/>
    </row>
    <row r="672">
      <c r="C672" s="127"/>
      <c r="E672" s="136"/>
      <c r="I672" s="137"/>
    </row>
    <row r="673">
      <c r="C673" s="127"/>
      <c r="E673" s="136"/>
      <c r="I673" s="137"/>
    </row>
    <row r="674">
      <c r="C674" s="127"/>
      <c r="E674" s="136"/>
      <c r="I674" s="137"/>
    </row>
    <row r="675">
      <c r="C675" s="127"/>
      <c r="E675" s="136"/>
      <c r="I675" s="137"/>
    </row>
    <row r="676">
      <c r="C676" s="127"/>
      <c r="E676" s="136"/>
      <c r="I676" s="137"/>
    </row>
    <row r="677">
      <c r="C677" s="127"/>
      <c r="E677" s="136"/>
      <c r="I677" s="137"/>
    </row>
    <row r="678">
      <c r="C678" s="127"/>
      <c r="E678" s="136"/>
      <c r="I678" s="137"/>
    </row>
    <row r="679">
      <c r="C679" s="127"/>
      <c r="E679" s="136"/>
      <c r="I679" s="137"/>
    </row>
    <row r="680">
      <c r="C680" s="127"/>
      <c r="E680" s="136"/>
      <c r="I680" s="137"/>
    </row>
    <row r="681">
      <c r="C681" s="127"/>
      <c r="E681" s="136"/>
      <c r="I681" s="137"/>
    </row>
    <row r="682">
      <c r="C682" s="127"/>
      <c r="E682" s="136"/>
      <c r="I682" s="137"/>
    </row>
    <row r="683">
      <c r="C683" s="127"/>
      <c r="E683" s="136"/>
      <c r="I683" s="137"/>
    </row>
    <row r="684">
      <c r="C684" s="127"/>
      <c r="E684" s="136"/>
      <c r="I684" s="137"/>
    </row>
    <row r="685">
      <c r="C685" s="127"/>
      <c r="E685" s="136"/>
      <c r="I685" s="137"/>
    </row>
    <row r="686">
      <c r="C686" s="127"/>
      <c r="E686" s="136"/>
      <c r="I686" s="137"/>
    </row>
    <row r="687">
      <c r="C687" s="127"/>
      <c r="E687" s="136"/>
      <c r="I687" s="137"/>
    </row>
    <row r="688">
      <c r="C688" s="127"/>
      <c r="E688" s="136"/>
      <c r="I688" s="137"/>
    </row>
    <row r="689">
      <c r="C689" s="127"/>
      <c r="E689" s="136"/>
      <c r="I689" s="137"/>
    </row>
    <row r="690">
      <c r="C690" s="127"/>
      <c r="E690" s="136"/>
      <c r="I690" s="137"/>
    </row>
    <row r="691">
      <c r="C691" s="127"/>
      <c r="E691" s="136"/>
      <c r="I691" s="137"/>
    </row>
    <row r="692">
      <c r="C692" s="127"/>
      <c r="E692" s="136"/>
      <c r="I692" s="137"/>
    </row>
    <row r="693">
      <c r="C693" s="127"/>
      <c r="E693" s="136"/>
      <c r="I693" s="137"/>
    </row>
    <row r="694">
      <c r="C694" s="127"/>
      <c r="E694" s="136"/>
      <c r="I694" s="137"/>
    </row>
    <row r="695">
      <c r="C695" s="127"/>
      <c r="E695" s="136"/>
      <c r="I695" s="137"/>
    </row>
    <row r="696">
      <c r="C696" s="127"/>
      <c r="E696" s="136"/>
      <c r="I696" s="137"/>
    </row>
    <row r="697">
      <c r="C697" s="127"/>
      <c r="E697" s="136"/>
      <c r="I697" s="137"/>
    </row>
    <row r="698">
      <c r="C698" s="127"/>
      <c r="E698" s="136"/>
      <c r="I698" s="137"/>
    </row>
    <row r="699">
      <c r="C699" s="127"/>
      <c r="E699" s="136"/>
      <c r="I699" s="137"/>
    </row>
    <row r="700">
      <c r="C700" s="127"/>
      <c r="E700" s="136"/>
      <c r="I700" s="137"/>
    </row>
    <row r="701">
      <c r="C701" s="127"/>
      <c r="E701" s="136"/>
      <c r="I701" s="137"/>
    </row>
    <row r="702">
      <c r="C702" s="127"/>
      <c r="E702" s="136"/>
      <c r="I702" s="137"/>
    </row>
    <row r="703">
      <c r="C703" s="127"/>
      <c r="E703" s="136"/>
      <c r="I703" s="137"/>
    </row>
    <row r="704">
      <c r="C704" s="127"/>
      <c r="E704" s="136"/>
      <c r="I704" s="137"/>
    </row>
    <row r="705">
      <c r="C705" s="127"/>
      <c r="E705" s="136"/>
      <c r="I705" s="137"/>
    </row>
    <row r="706">
      <c r="C706" s="127"/>
      <c r="E706" s="136"/>
      <c r="I706" s="137"/>
    </row>
    <row r="707">
      <c r="C707" s="127"/>
      <c r="E707" s="136"/>
      <c r="I707" s="137"/>
    </row>
    <row r="708">
      <c r="C708" s="127"/>
      <c r="E708" s="136"/>
      <c r="I708" s="137"/>
    </row>
    <row r="709">
      <c r="C709" s="127"/>
      <c r="E709" s="136"/>
      <c r="I709" s="137"/>
    </row>
    <row r="710">
      <c r="C710" s="127"/>
      <c r="E710" s="136"/>
      <c r="I710" s="137"/>
    </row>
    <row r="711">
      <c r="C711" s="127"/>
      <c r="E711" s="136"/>
      <c r="I711" s="137"/>
    </row>
    <row r="712">
      <c r="C712" s="127"/>
      <c r="E712" s="136"/>
      <c r="I712" s="137"/>
    </row>
    <row r="713">
      <c r="C713" s="127"/>
      <c r="E713" s="136"/>
      <c r="I713" s="137"/>
    </row>
    <row r="714">
      <c r="C714" s="127"/>
      <c r="E714" s="136"/>
      <c r="I714" s="137"/>
    </row>
    <row r="715">
      <c r="C715" s="127"/>
      <c r="E715" s="136"/>
      <c r="I715" s="137"/>
    </row>
    <row r="716">
      <c r="C716" s="127"/>
      <c r="E716" s="136"/>
      <c r="I716" s="137"/>
    </row>
    <row r="717">
      <c r="C717" s="127"/>
      <c r="E717" s="136"/>
      <c r="I717" s="137"/>
    </row>
    <row r="718">
      <c r="C718" s="127"/>
      <c r="E718" s="136"/>
      <c r="I718" s="137"/>
    </row>
    <row r="719">
      <c r="C719" s="127"/>
      <c r="E719" s="136"/>
      <c r="I719" s="137"/>
    </row>
    <row r="720">
      <c r="C720" s="127"/>
      <c r="E720" s="136"/>
      <c r="I720" s="137"/>
    </row>
    <row r="721">
      <c r="C721" s="127"/>
      <c r="E721" s="136"/>
      <c r="I721" s="137"/>
    </row>
    <row r="722">
      <c r="C722" s="127"/>
      <c r="E722" s="136"/>
      <c r="I722" s="137"/>
    </row>
    <row r="723">
      <c r="C723" s="127"/>
      <c r="E723" s="136"/>
      <c r="I723" s="137"/>
    </row>
    <row r="724">
      <c r="C724" s="127"/>
      <c r="E724" s="136"/>
      <c r="I724" s="137"/>
    </row>
    <row r="725">
      <c r="C725" s="127"/>
      <c r="E725" s="136"/>
      <c r="I725" s="137"/>
    </row>
    <row r="726">
      <c r="C726" s="127"/>
      <c r="E726" s="136"/>
      <c r="I726" s="137"/>
    </row>
    <row r="727">
      <c r="C727" s="127"/>
      <c r="E727" s="136"/>
      <c r="I727" s="137"/>
    </row>
    <row r="728">
      <c r="C728" s="127"/>
      <c r="E728" s="136"/>
      <c r="I728" s="137"/>
    </row>
    <row r="729">
      <c r="C729" s="127"/>
      <c r="E729" s="136"/>
      <c r="I729" s="137"/>
    </row>
    <row r="730">
      <c r="C730" s="127"/>
      <c r="E730" s="136"/>
      <c r="I730" s="137"/>
    </row>
    <row r="731">
      <c r="C731" s="127"/>
      <c r="E731" s="136"/>
      <c r="I731" s="137"/>
    </row>
    <row r="732">
      <c r="C732" s="127"/>
      <c r="E732" s="136"/>
      <c r="I732" s="137"/>
    </row>
    <row r="733">
      <c r="C733" s="127"/>
      <c r="E733" s="136"/>
      <c r="I733" s="137"/>
    </row>
    <row r="734">
      <c r="C734" s="127"/>
      <c r="E734" s="136"/>
      <c r="I734" s="137"/>
    </row>
    <row r="735">
      <c r="C735" s="127"/>
      <c r="E735" s="136"/>
      <c r="I735" s="137"/>
    </row>
    <row r="736">
      <c r="C736" s="127"/>
      <c r="E736" s="136"/>
      <c r="I736" s="137"/>
    </row>
    <row r="737">
      <c r="C737" s="127"/>
      <c r="E737" s="136"/>
      <c r="I737" s="137"/>
    </row>
    <row r="738">
      <c r="C738" s="127"/>
      <c r="E738" s="136"/>
      <c r="I738" s="137"/>
    </row>
    <row r="739">
      <c r="C739" s="127"/>
      <c r="E739" s="136"/>
      <c r="I739" s="137"/>
    </row>
    <row r="740">
      <c r="C740" s="127"/>
      <c r="E740" s="136"/>
      <c r="I740" s="137"/>
    </row>
    <row r="741">
      <c r="C741" s="127"/>
      <c r="E741" s="136"/>
      <c r="I741" s="137"/>
    </row>
    <row r="742">
      <c r="C742" s="127"/>
      <c r="E742" s="136"/>
      <c r="I742" s="137"/>
    </row>
    <row r="743">
      <c r="C743" s="127"/>
      <c r="E743" s="136"/>
      <c r="I743" s="137"/>
    </row>
    <row r="744">
      <c r="C744" s="127"/>
      <c r="E744" s="136"/>
      <c r="I744" s="137"/>
    </row>
    <row r="745">
      <c r="C745" s="127"/>
      <c r="E745" s="136"/>
      <c r="I745" s="137"/>
    </row>
    <row r="746">
      <c r="C746" s="127"/>
      <c r="E746" s="136"/>
      <c r="I746" s="137"/>
    </row>
    <row r="747">
      <c r="C747" s="127"/>
      <c r="E747" s="136"/>
      <c r="I747" s="137"/>
    </row>
    <row r="748">
      <c r="C748" s="127"/>
      <c r="E748" s="136"/>
      <c r="I748" s="137"/>
    </row>
    <row r="749">
      <c r="C749" s="127"/>
      <c r="E749" s="136"/>
      <c r="I749" s="137"/>
    </row>
    <row r="750">
      <c r="C750" s="127"/>
      <c r="E750" s="136"/>
      <c r="I750" s="137"/>
    </row>
    <row r="751">
      <c r="C751" s="127"/>
      <c r="E751" s="136"/>
      <c r="I751" s="137"/>
    </row>
    <row r="752">
      <c r="C752" s="127"/>
      <c r="E752" s="136"/>
      <c r="I752" s="137"/>
    </row>
    <row r="753">
      <c r="C753" s="127"/>
      <c r="E753" s="136"/>
      <c r="I753" s="137"/>
    </row>
    <row r="754">
      <c r="C754" s="127"/>
      <c r="E754" s="136"/>
      <c r="I754" s="137"/>
    </row>
    <row r="755">
      <c r="C755" s="127"/>
      <c r="E755" s="136"/>
      <c r="I755" s="137"/>
    </row>
    <row r="756">
      <c r="C756" s="127"/>
      <c r="E756" s="136"/>
      <c r="I756" s="137"/>
    </row>
    <row r="757">
      <c r="C757" s="127"/>
      <c r="E757" s="136"/>
      <c r="I757" s="137"/>
    </row>
    <row r="758">
      <c r="C758" s="127"/>
      <c r="E758" s="136"/>
      <c r="I758" s="137"/>
    </row>
    <row r="759">
      <c r="C759" s="127"/>
      <c r="E759" s="136"/>
      <c r="I759" s="137"/>
    </row>
    <row r="760">
      <c r="C760" s="127"/>
      <c r="E760" s="136"/>
      <c r="I760" s="137"/>
    </row>
    <row r="761">
      <c r="C761" s="127"/>
      <c r="E761" s="136"/>
      <c r="I761" s="137"/>
    </row>
    <row r="762">
      <c r="C762" s="127"/>
      <c r="E762" s="136"/>
      <c r="I762" s="137"/>
    </row>
    <row r="763">
      <c r="C763" s="127"/>
      <c r="E763" s="136"/>
      <c r="I763" s="137"/>
    </row>
    <row r="764">
      <c r="C764" s="127"/>
      <c r="E764" s="136"/>
      <c r="I764" s="137"/>
    </row>
    <row r="765">
      <c r="C765" s="127"/>
      <c r="E765" s="136"/>
      <c r="I765" s="137"/>
    </row>
    <row r="766">
      <c r="C766" s="127"/>
      <c r="E766" s="136"/>
      <c r="I766" s="137"/>
    </row>
    <row r="767">
      <c r="C767" s="127"/>
      <c r="E767" s="136"/>
      <c r="I767" s="137"/>
    </row>
    <row r="768">
      <c r="C768" s="127"/>
      <c r="E768" s="136"/>
      <c r="I768" s="137"/>
    </row>
    <row r="769">
      <c r="C769" s="127"/>
      <c r="E769" s="136"/>
      <c r="I769" s="137"/>
    </row>
    <row r="770">
      <c r="C770" s="127"/>
      <c r="E770" s="136"/>
      <c r="I770" s="137"/>
    </row>
    <row r="771">
      <c r="C771" s="127"/>
      <c r="E771" s="136"/>
      <c r="I771" s="137"/>
    </row>
    <row r="772">
      <c r="C772" s="127"/>
      <c r="E772" s="136"/>
      <c r="I772" s="137"/>
    </row>
    <row r="773">
      <c r="C773" s="127"/>
      <c r="E773" s="136"/>
      <c r="I773" s="137"/>
    </row>
    <row r="774">
      <c r="C774" s="127"/>
      <c r="E774" s="136"/>
      <c r="I774" s="137"/>
    </row>
    <row r="775">
      <c r="C775" s="127"/>
      <c r="E775" s="136"/>
      <c r="I775" s="137"/>
    </row>
    <row r="776">
      <c r="C776" s="127"/>
      <c r="E776" s="136"/>
      <c r="I776" s="137"/>
    </row>
    <row r="777">
      <c r="C777" s="127"/>
      <c r="E777" s="136"/>
      <c r="I777" s="137"/>
    </row>
    <row r="778">
      <c r="C778" s="127"/>
      <c r="E778" s="136"/>
      <c r="I778" s="137"/>
    </row>
    <row r="779">
      <c r="C779" s="127"/>
      <c r="E779" s="136"/>
      <c r="I779" s="137"/>
    </row>
    <row r="780">
      <c r="C780" s="127"/>
      <c r="E780" s="136"/>
      <c r="I780" s="137"/>
    </row>
    <row r="781">
      <c r="C781" s="127"/>
      <c r="E781" s="136"/>
      <c r="I781" s="137"/>
    </row>
    <row r="782">
      <c r="C782" s="127"/>
      <c r="E782" s="136"/>
      <c r="I782" s="137"/>
    </row>
    <row r="783">
      <c r="C783" s="127"/>
      <c r="E783" s="136"/>
      <c r="I783" s="137"/>
    </row>
    <row r="784">
      <c r="C784" s="127"/>
      <c r="E784" s="136"/>
      <c r="I784" s="137"/>
    </row>
    <row r="785">
      <c r="C785" s="127"/>
      <c r="E785" s="136"/>
      <c r="I785" s="137"/>
    </row>
    <row r="786">
      <c r="C786" s="127"/>
      <c r="E786" s="136"/>
      <c r="I786" s="137"/>
    </row>
    <row r="787">
      <c r="C787" s="127"/>
      <c r="E787" s="136"/>
      <c r="I787" s="137"/>
    </row>
    <row r="788">
      <c r="C788" s="127"/>
      <c r="E788" s="136"/>
      <c r="I788" s="137"/>
    </row>
    <row r="789">
      <c r="C789" s="127"/>
      <c r="E789" s="136"/>
      <c r="I789" s="137"/>
    </row>
    <row r="790">
      <c r="C790" s="127"/>
      <c r="E790" s="136"/>
      <c r="I790" s="137"/>
    </row>
    <row r="791">
      <c r="C791" s="127"/>
      <c r="E791" s="136"/>
      <c r="I791" s="137"/>
    </row>
    <row r="792">
      <c r="C792" s="127"/>
      <c r="E792" s="136"/>
      <c r="I792" s="137"/>
    </row>
    <row r="793">
      <c r="C793" s="127"/>
      <c r="E793" s="136"/>
      <c r="I793" s="137"/>
    </row>
    <row r="794">
      <c r="C794" s="127"/>
      <c r="E794" s="136"/>
      <c r="I794" s="137"/>
    </row>
    <row r="795">
      <c r="C795" s="127"/>
      <c r="E795" s="136"/>
      <c r="I795" s="137"/>
    </row>
    <row r="796">
      <c r="C796" s="127"/>
      <c r="E796" s="136"/>
      <c r="I796" s="137"/>
    </row>
    <row r="797">
      <c r="C797" s="127"/>
      <c r="E797" s="136"/>
      <c r="I797" s="137"/>
    </row>
    <row r="798">
      <c r="C798" s="127"/>
      <c r="E798" s="136"/>
      <c r="I798" s="137"/>
    </row>
    <row r="799">
      <c r="C799" s="127"/>
      <c r="E799" s="136"/>
      <c r="I799" s="137"/>
    </row>
    <row r="800">
      <c r="C800" s="127"/>
      <c r="E800" s="136"/>
      <c r="I800" s="137"/>
    </row>
    <row r="801">
      <c r="C801" s="127"/>
      <c r="E801" s="136"/>
      <c r="I801" s="137"/>
    </row>
    <row r="802">
      <c r="C802" s="127"/>
      <c r="E802" s="136"/>
      <c r="I802" s="137"/>
    </row>
    <row r="803">
      <c r="C803" s="127"/>
      <c r="E803" s="136"/>
      <c r="I803" s="137"/>
    </row>
    <row r="804">
      <c r="C804" s="127"/>
      <c r="E804" s="136"/>
      <c r="I804" s="137"/>
    </row>
    <row r="805">
      <c r="C805" s="127"/>
      <c r="E805" s="136"/>
      <c r="I805" s="137"/>
    </row>
    <row r="806">
      <c r="C806" s="127"/>
      <c r="E806" s="136"/>
      <c r="I806" s="137"/>
    </row>
    <row r="807">
      <c r="C807" s="127"/>
      <c r="E807" s="136"/>
      <c r="I807" s="137"/>
    </row>
    <row r="808">
      <c r="C808" s="127"/>
      <c r="E808" s="136"/>
      <c r="I808" s="137"/>
    </row>
    <row r="809">
      <c r="C809" s="127"/>
      <c r="E809" s="136"/>
      <c r="I809" s="137"/>
    </row>
    <row r="810">
      <c r="C810" s="127"/>
      <c r="E810" s="136"/>
      <c r="I810" s="137"/>
    </row>
    <row r="811">
      <c r="C811" s="127"/>
      <c r="E811" s="136"/>
      <c r="I811" s="137"/>
    </row>
    <row r="812">
      <c r="C812" s="127"/>
      <c r="E812" s="136"/>
      <c r="I812" s="137"/>
    </row>
    <row r="813">
      <c r="C813" s="127"/>
      <c r="E813" s="136"/>
      <c r="I813" s="137"/>
    </row>
    <row r="814">
      <c r="C814" s="127"/>
      <c r="E814" s="136"/>
      <c r="I814" s="137"/>
    </row>
    <row r="815">
      <c r="C815" s="127"/>
      <c r="E815" s="136"/>
      <c r="I815" s="137"/>
    </row>
    <row r="816">
      <c r="C816" s="127"/>
      <c r="E816" s="136"/>
      <c r="I816" s="137"/>
    </row>
    <row r="817">
      <c r="C817" s="127"/>
      <c r="E817" s="136"/>
      <c r="I817" s="137"/>
    </row>
    <row r="818">
      <c r="C818" s="127"/>
      <c r="E818" s="136"/>
      <c r="I818" s="137"/>
    </row>
    <row r="819">
      <c r="C819" s="127"/>
      <c r="E819" s="136"/>
      <c r="I819" s="137"/>
    </row>
    <row r="820">
      <c r="C820" s="127"/>
      <c r="E820" s="136"/>
      <c r="I820" s="137"/>
    </row>
    <row r="821">
      <c r="C821" s="127"/>
      <c r="E821" s="136"/>
      <c r="I821" s="137"/>
    </row>
    <row r="822">
      <c r="C822" s="127"/>
      <c r="E822" s="136"/>
      <c r="I822" s="137"/>
    </row>
    <row r="823">
      <c r="C823" s="127"/>
      <c r="E823" s="136"/>
      <c r="I823" s="137"/>
    </row>
    <row r="824">
      <c r="C824" s="127"/>
      <c r="E824" s="136"/>
      <c r="I824" s="137"/>
    </row>
    <row r="825">
      <c r="C825" s="127"/>
      <c r="E825" s="136"/>
      <c r="I825" s="137"/>
    </row>
    <row r="826">
      <c r="C826" s="127"/>
      <c r="E826" s="136"/>
      <c r="I826" s="137"/>
    </row>
    <row r="827">
      <c r="C827" s="127"/>
      <c r="E827" s="136"/>
      <c r="I827" s="137"/>
    </row>
    <row r="828">
      <c r="C828" s="127"/>
      <c r="E828" s="136"/>
      <c r="I828" s="137"/>
    </row>
    <row r="829">
      <c r="C829" s="127"/>
      <c r="E829" s="136"/>
      <c r="I829" s="137"/>
    </row>
    <row r="830">
      <c r="C830" s="127"/>
      <c r="E830" s="136"/>
      <c r="I830" s="137"/>
    </row>
    <row r="831">
      <c r="C831" s="127"/>
      <c r="E831" s="136"/>
      <c r="I831" s="137"/>
    </row>
    <row r="832">
      <c r="C832" s="127"/>
      <c r="E832" s="136"/>
      <c r="I832" s="137"/>
    </row>
    <row r="833">
      <c r="C833" s="127"/>
      <c r="E833" s="136"/>
      <c r="I833" s="137"/>
    </row>
    <row r="834">
      <c r="C834" s="127"/>
      <c r="E834" s="136"/>
      <c r="I834" s="137"/>
    </row>
    <row r="835">
      <c r="C835" s="127"/>
      <c r="E835" s="136"/>
      <c r="I835" s="137"/>
    </row>
    <row r="836">
      <c r="C836" s="127"/>
      <c r="E836" s="136"/>
      <c r="I836" s="137"/>
    </row>
    <row r="837">
      <c r="C837" s="127"/>
      <c r="E837" s="136"/>
      <c r="I837" s="137"/>
    </row>
    <row r="838">
      <c r="C838" s="127"/>
      <c r="E838" s="136"/>
      <c r="I838" s="137"/>
    </row>
    <row r="839">
      <c r="C839" s="127"/>
      <c r="E839" s="136"/>
      <c r="I839" s="137"/>
    </row>
    <row r="840">
      <c r="C840" s="127"/>
      <c r="E840" s="136"/>
      <c r="I840" s="137"/>
    </row>
    <row r="841">
      <c r="C841" s="127"/>
      <c r="E841" s="136"/>
      <c r="I841" s="137"/>
    </row>
    <row r="842">
      <c r="C842" s="127"/>
      <c r="E842" s="136"/>
      <c r="I842" s="137"/>
    </row>
    <row r="843">
      <c r="C843" s="127"/>
      <c r="E843" s="136"/>
      <c r="I843" s="137"/>
    </row>
    <row r="844">
      <c r="C844" s="127"/>
      <c r="E844" s="136"/>
      <c r="I844" s="137"/>
    </row>
    <row r="845">
      <c r="C845" s="127"/>
      <c r="E845" s="136"/>
      <c r="I845" s="137"/>
    </row>
    <row r="846">
      <c r="C846" s="127"/>
      <c r="E846" s="136"/>
      <c r="I846" s="137"/>
    </row>
    <row r="847">
      <c r="C847" s="127"/>
      <c r="E847" s="136"/>
      <c r="I847" s="137"/>
    </row>
    <row r="848">
      <c r="C848" s="127"/>
      <c r="E848" s="136"/>
      <c r="I848" s="137"/>
    </row>
    <row r="849">
      <c r="C849" s="127"/>
      <c r="E849" s="136"/>
      <c r="I849" s="137"/>
    </row>
    <row r="850">
      <c r="C850" s="127"/>
      <c r="E850" s="136"/>
      <c r="I850" s="137"/>
    </row>
    <row r="851">
      <c r="C851" s="127"/>
      <c r="E851" s="136"/>
      <c r="I851" s="137"/>
    </row>
    <row r="852">
      <c r="C852" s="127"/>
      <c r="E852" s="136"/>
      <c r="I852" s="137"/>
    </row>
    <row r="853">
      <c r="C853" s="127"/>
      <c r="E853" s="136"/>
      <c r="I853" s="137"/>
    </row>
    <row r="854">
      <c r="C854" s="127"/>
      <c r="E854" s="136"/>
      <c r="I854" s="137"/>
    </row>
    <row r="855">
      <c r="C855" s="127"/>
      <c r="E855" s="136"/>
      <c r="I855" s="137"/>
    </row>
    <row r="856">
      <c r="C856" s="127"/>
      <c r="E856" s="136"/>
      <c r="I856" s="137"/>
    </row>
    <row r="857">
      <c r="C857" s="127"/>
      <c r="E857" s="136"/>
      <c r="I857" s="137"/>
    </row>
    <row r="858">
      <c r="C858" s="127"/>
      <c r="E858" s="136"/>
      <c r="I858" s="137"/>
    </row>
    <row r="859">
      <c r="C859" s="127"/>
      <c r="E859" s="136"/>
      <c r="I859" s="137"/>
    </row>
    <row r="860">
      <c r="C860" s="127"/>
      <c r="E860" s="136"/>
      <c r="I860" s="137"/>
    </row>
    <row r="861">
      <c r="C861" s="127"/>
      <c r="E861" s="136"/>
      <c r="I861" s="137"/>
    </row>
    <row r="862">
      <c r="C862" s="127"/>
      <c r="E862" s="136"/>
      <c r="I862" s="137"/>
    </row>
    <row r="863">
      <c r="C863" s="127"/>
      <c r="E863" s="136"/>
      <c r="I863" s="137"/>
    </row>
    <row r="864">
      <c r="C864" s="127"/>
      <c r="E864" s="136"/>
      <c r="I864" s="137"/>
    </row>
    <row r="865">
      <c r="C865" s="127"/>
      <c r="E865" s="136"/>
      <c r="I865" s="137"/>
    </row>
    <row r="866">
      <c r="C866" s="127"/>
      <c r="E866" s="136"/>
      <c r="I866" s="137"/>
    </row>
    <row r="867">
      <c r="C867" s="127"/>
      <c r="E867" s="136"/>
      <c r="I867" s="137"/>
    </row>
    <row r="868">
      <c r="C868" s="127"/>
      <c r="E868" s="136"/>
      <c r="I868" s="137"/>
    </row>
    <row r="869">
      <c r="C869" s="127"/>
      <c r="E869" s="136"/>
      <c r="I869" s="137"/>
    </row>
    <row r="870">
      <c r="C870" s="127"/>
      <c r="E870" s="136"/>
      <c r="I870" s="137"/>
    </row>
    <row r="871">
      <c r="C871" s="127"/>
      <c r="E871" s="136"/>
      <c r="I871" s="137"/>
    </row>
    <row r="872">
      <c r="C872" s="127"/>
      <c r="E872" s="136"/>
      <c r="I872" s="137"/>
    </row>
    <row r="873">
      <c r="C873" s="127"/>
      <c r="E873" s="136"/>
      <c r="I873" s="137"/>
    </row>
    <row r="874">
      <c r="C874" s="127"/>
      <c r="E874" s="136"/>
      <c r="I874" s="137"/>
    </row>
    <row r="875">
      <c r="C875" s="127"/>
      <c r="E875" s="136"/>
      <c r="I875" s="137"/>
    </row>
    <row r="876">
      <c r="C876" s="127"/>
      <c r="E876" s="136"/>
      <c r="I876" s="137"/>
    </row>
    <row r="877">
      <c r="C877" s="127"/>
      <c r="E877" s="136"/>
      <c r="I877" s="137"/>
    </row>
    <row r="878">
      <c r="C878" s="127"/>
      <c r="E878" s="136"/>
      <c r="I878" s="137"/>
    </row>
    <row r="879">
      <c r="C879" s="127"/>
      <c r="E879" s="136"/>
      <c r="I879" s="137"/>
    </row>
    <row r="880">
      <c r="C880" s="127"/>
      <c r="E880" s="136"/>
      <c r="I880" s="137"/>
    </row>
    <row r="881">
      <c r="C881" s="127"/>
      <c r="E881" s="136"/>
      <c r="I881" s="137"/>
    </row>
    <row r="882">
      <c r="C882" s="127"/>
      <c r="E882" s="136"/>
      <c r="I882" s="137"/>
    </row>
    <row r="883">
      <c r="C883" s="127"/>
      <c r="E883" s="136"/>
      <c r="I883" s="137"/>
    </row>
    <row r="884">
      <c r="C884" s="127"/>
      <c r="E884" s="136"/>
      <c r="I884" s="137"/>
    </row>
    <row r="885">
      <c r="C885" s="127"/>
      <c r="E885" s="136"/>
      <c r="I885" s="137"/>
    </row>
    <row r="886">
      <c r="C886" s="127"/>
      <c r="E886" s="136"/>
      <c r="I886" s="137"/>
    </row>
    <row r="887">
      <c r="C887" s="127"/>
      <c r="E887" s="136"/>
      <c r="I887" s="137"/>
    </row>
    <row r="888">
      <c r="C888" s="127"/>
      <c r="E888" s="136"/>
      <c r="I888" s="137"/>
    </row>
    <row r="889">
      <c r="C889" s="127"/>
      <c r="E889" s="136"/>
      <c r="I889" s="137"/>
    </row>
    <row r="890">
      <c r="C890" s="127"/>
      <c r="E890" s="136"/>
      <c r="I890" s="137"/>
    </row>
    <row r="891">
      <c r="C891" s="127"/>
      <c r="E891" s="136"/>
      <c r="I891" s="137"/>
    </row>
    <row r="892">
      <c r="C892" s="127"/>
      <c r="E892" s="136"/>
      <c r="I892" s="137"/>
    </row>
    <row r="893">
      <c r="C893" s="127"/>
      <c r="E893" s="136"/>
      <c r="I893" s="137"/>
    </row>
    <row r="894">
      <c r="C894" s="127"/>
      <c r="E894" s="136"/>
      <c r="I894" s="137"/>
    </row>
    <row r="895">
      <c r="C895" s="127"/>
      <c r="E895" s="136"/>
      <c r="I895" s="137"/>
    </row>
    <row r="896">
      <c r="C896" s="127"/>
      <c r="E896" s="136"/>
      <c r="I896" s="137"/>
    </row>
    <row r="897">
      <c r="C897" s="127"/>
      <c r="E897" s="136"/>
      <c r="I897" s="137"/>
    </row>
    <row r="898">
      <c r="C898" s="127"/>
      <c r="E898" s="136"/>
      <c r="I898" s="137"/>
    </row>
    <row r="899">
      <c r="C899" s="127"/>
      <c r="E899" s="136"/>
      <c r="I899" s="137"/>
    </row>
    <row r="900">
      <c r="C900" s="127"/>
      <c r="E900" s="136"/>
      <c r="I900" s="137"/>
    </row>
    <row r="901">
      <c r="C901" s="127"/>
      <c r="E901" s="136"/>
      <c r="I901" s="137"/>
    </row>
    <row r="902">
      <c r="C902" s="127"/>
      <c r="E902" s="136"/>
      <c r="I902" s="137"/>
    </row>
    <row r="903">
      <c r="C903" s="127"/>
      <c r="E903" s="136"/>
      <c r="I903" s="137"/>
    </row>
    <row r="904">
      <c r="C904" s="127"/>
      <c r="E904" s="136"/>
      <c r="I904" s="137"/>
    </row>
    <row r="905">
      <c r="C905" s="127"/>
      <c r="E905" s="136"/>
      <c r="I905" s="137"/>
    </row>
    <row r="906">
      <c r="C906" s="127"/>
      <c r="E906" s="136"/>
      <c r="I906" s="137"/>
    </row>
    <row r="907">
      <c r="C907" s="127"/>
      <c r="E907" s="136"/>
      <c r="I907" s="137"/>
    </row>
    <row r="908">
      <c r="C908" s="127"/>
      <c r="E908" s="136"/>
      <c r="I908" s="137"/>
    </row>
    <row r="909">
      <c r="C909" s="127"/>
      <c r="E909" s="136"/>
      <c r="I909" s="137"/>
    </row>
    <row r="910">
      <c r="C910" s="127"/>
      <c r="E910" s="136"/>
      <c r="I910" s="137"/>
    </row>
    <row r="911">
      <c r="C911" s="127"/>
      <c r="E911" s="136"/>
      <c r="I911" s="137"/>
    </row>
    <row r="912">
      <c r="C912" s="127"/>
      <c r="E912" s="136"/>
      <c r="I912" s="137"/>
    </row>
    <row r="913">
      <c r="C913" s="127"/>
      <c r="E913" s="136"/>
      <c r="I913" s="137"/>
    </row>
    <row r="914">
      <c r="C914" s="127"/>
      <c r="E914" s="136"/>
      <c r="I914" s="137"/>
    </row>
    <row r="915">
      <c r="C915" s="127"/>
      <c r="E915" s="136"/>
      <c r="I915" s="137"/>
    </row>
    <row r="916">
      <c r="C916" s="127"/>
      <c r="E916" s="136"/>
      <c r="I916" s="137"/>
    </row>
    <row r="917">
      <c r="C917" s="127"/>
      <c r="E917" s="136"/>
      <c r="I917" s="137"/>
    </row>
    <row r="918">
      <c r="C918" s="127"/>
      <c r="E918" s="136"/>
      <c r="I918" s="137"/>
    </row>
    <row r="919">
      <c r="C919" s="127"/>
      <c r="E919" s="136"/>
      <c r="I919" s="137"/>
    </row>
    <row r="920">
      <c r="C920" s="127"/>
      <c r="E920" s="136"/>
      <c r="I920" s="137"/>
    </row>
    <row r="921">
      <c r="C921" s="127"/>
      <c r="E921" s="136"/>
      <c r="I921" s="137"/>
    </row>
    <row r="922">
      <c r="C922" s="127"/>
      <c r="E922" s="136"/>
      <c r="I922" s="137"/>
    </row>
    <row r="923">
      <c r="C923" s="127"/>
      <c r="E923" s="136"/>
      <c r="I923" s="137"/>
    </row>
    <row r="924">
      <c r="C924" s="127"/>
      <c r="E924" s="136"/>
      <c r="I924" s="137"/>
    </row>
    <row r="925">
      <c r="C925" s="127"/>
      <c r="E925" s="136"/>
      <c r="I925" s="137"/>
    </row>
    <row r="926">
      <c r="C926" s="127"/>
      <c r="E926" s="136"/>
      <c r="I926" s="137"/>
    </row>
    <row r="927">
      <c r="C927" s="127"/>
      <c r="E927" s="136"/>
      <c r="I927" s="137"/>
    </row>
    <row r="928">
      <c r="C928" s="127"/>
      <c r="E928" s="136"/>
      <c r="I928" s="137"/>
    </row>
    <row r="929">
      <c r="C929" s="127"/>
      <c r="E929" s="136"/>
      <c r="I929" s="137"/>
    </row>
    <row r="930">
      <c r="C930" s="127"/>
      <c r="E930" s="136"/>
      <c r="I930" s="137"/>
    </row>
    <row r="931">
      <c r="C931" s="127"/>
      <c r="E931" s="136"/>
      <c r="I931" s="137"/>
    </row>
    <row r="932">
      <c r="C932" s="127"/>
      <c r="E932" s="136"/>
      <c r="I932" s="137"/>
    </row>
    <row r="933">
      <c r="C933" s="127"/>
      <c r="E933" s="136"/>
      <c r="I933" s="137"/>
    </row>
    <row r="934">
      <c r="C934" s="127"/>
      <c r="E934" s="136"/>
      <c r="I934" s="137"/>
    </row>
    <row r="935">
      <c r="C935" s="127"/>
      <c r="E935" s="136"/>
      <c r="I935" s="137"/>
    </row>
    <row r="936">
      <c r="C936" s="127"/>
      <c r="E936" s="136"/>
      <c r="I936" s="137"/>
    </row>
    <row r="937">
      <c r="C937" s="127"/>
      <c r="E937" s="136"/>
      <c r="I937" s="137"/>
    </row>
    <row r="938">
      <c r="C938" s="127"/>
      <c r="E938" s="136"/>
      <c r="I938" s="137"/>
    </row>
    <row r="939">
      <c r="C939" s="127"/>
      <c r="E939" s="136"/>
      <c r="I939" s="137"/>
    </row>
    <row r="940">
      <c r="C940" s="127"/>
      <c r="E940" s="136"/>
      <c r="I940" s="137"/>
    </row>
    <row r="941">
      <c r="C941" s="127"/>
      <c r="E941" s="136"/>
      <c r="I941" s="137"/>
    </row>
    <row r="942">
      <c r="C942" s="127"/>
      <c r="E942" s="136"/>
      <c r="I942" s="137"/>
    </row>
    <row r="943">
      <c r="C943" s="127"/>
      <c r="E943" s="136"/>
      <c r="I943" s="137"/>
    </row>
    <row r="944">
      <c r="C944" s="127"/>
      <c r="E944" s="136"/>
      <c r="I944" s="137"/>
    </row>
    <row r="945">
      <c r="C945" s="127"/>
      <c r="E945" s="136"/>
      <c r="I945" s="137"/>
    </row>
    <row r="946">
      <c r="C946" s="127"/>
      <c r="E946" s="136"/>
      <c r="I946" s="137"/>
    </row>
    <row r="947">
      <c r="C947" s="127"/>
      <c r="E947" s="136"/>
      <c r="I947" s="137"/>
    </row>
    <row r="948">
      <c r="C948" s="127"/>
      <c r="E948" s="136"/>
      <c r="I948" s="137"/>
    </row>
    <row r="949">
      <c r="C949" s="127"/>
      <c r="E949" s="136"/>
      <c r="I949" s="137"/>
    </row>
    <row r="950">
      <c r="C950" s="127"/>
      <c r="E950" s="136"/>
      <c r="I950" s="137"/>
    </row>
    <row r="951">
      <c r="C951" s="127"/>
      <c r="E951" s="136"/>
      <c r="I951" s="137"/>
    </row>
    <row r="952">
      <c r="C952" s="127"/>
      <c r="E952" s="136"/>
      <c r="I952" s="137"/>
    </row>
    <row r="953">
      <c r="C953" s="127"/>
      <c r="E953" s="136"/>
      <c r="I953" s="137"/>
    </row>
    <row r="954">
      <c r="C954" s="127"/>
      <c r="E954" s="136"/>
      <c r="I954" s="137"/>
    </row>
    <row r="955">
      <c r="C955" s="127"/>
      <c r="E955" s="136"/>
      <c r="I955" s="137"/>
    </row>
    <row r="956">
      <c r="C956" s="127"/>
      <c r="E956" s="136"/>
      <c r="I956" s="137"/>
    </row>
    <row r="957">
      <c r="C957" s="127"/>
      <c r="E957" s="136"/>
      <c r="I957" s="137"/>
    </row>
    <row r="958">
      <c r="C958" s="127"/>
      <c r="E958" s="136"/>
      <c r="I958" s="137"/>
    </row>
    <row r="959">
      <c r="C959" s="127"/>
      <c r="E959" s="136"/>
      <c r="I959" s="137"/>
    </row>
    <row r="960">
      <c r="C960" s="127"/>
      <c r="E960" s="136"/>
      <c r="I960" s="137"/>
    </row>
    <row r="961">
      <c r="C961" s="127"/>
      <c r="E961" s="136"/>
      <c r="I961" s="137"/>
    </row>
    <row r="962">
      <c r="C962" s="127"/>
      <c r="E962" s="136"/>
      <c r="I962" s="137"/>
    </row>
    <row r="963">
      <c r="C963" s="127"/>
      <c r="E963" s="136"/>
      <c r="I963" s="137"/>
    </row>
    <row r="964">
      <c r="C964" s="127"/>
      <c r="E964" s="136"/>
      <c r="I964" s="137"/>
    </row>
    <row r="965">
      <c r="C965" s="127"/>
      <c r="E965" s="136"/>
      <c r="I965" s="137"/>
    </row>
    <row r="966">
      <c r="C966" s="127"/>
      <c r="E966" s="136"/>
      <c r="I966" s="137"/>
    </row>
    <row r="967">
      <c r="C967" s="127"/>
      <c r="E967" s="136"/>
      <c r="I967" s="137"/>
    </row>
    <row r="968">
      <c r="C968" s="127"/>
      <c r="E968" s="136"/>
      <c r="I968" s="137"/>
    </row>
    <row r="969">
      <c r="C969" s="127"/>
      <c r="E969" s="136"/>
      <c r="I969" s="137"/>
    </row>
    <row r="970">
      <c r="C970" s="127"/>
      <c r="E970" s="136"/>
      <c r="I970" s="137"/>
    </row>
    <row r="971">
      <c r="C971" s="127"/>
      <c r="E971" s="136"/>
      <c r="I971" s="137"/>
    </row>
    <row r="972">
      <c r="C972" s="127"/>
      <c r="E972" s="136"/>
      <c r="I972" s="137"/>
    </row>
    <row r="973">
      <c r="C973" s="127"/>
      <c r="E973" s="136"/>
      <c r="I973" s="137"/>
    </row>
    <row r="974">
      <c r="C974" s="127"/>
      <c r="E974" s="136"/>
      <c r="I974" s="137"/>
    </row>
    <row r="975">
      <c r="C975" s="127"/>
      <c r="E975" s="136"/>
      <c r="I975" s="137"/>
    </row>
    <row r="976">
      <c r="C976" s="127"/>
      <c r="E976" s="136"/>
      <c r="I976" s="137"/>
    </row>
    <row r="977">
      <c r="C977" s="127"/>
      <c r="E977" s="136"/>
      <c r="I977" s="137"/>
    </row>
    <row r="978">
      <c r="C978" s="127"/>
      <c r="E978" s="136"/>
      <c r="I978" s="137"/>
    </row>
    <row r="979">
      <c r="C979" s="127"/>
      <c r="E979" s="136"/>
      <c r="I979" s="137"/>
    </row>
    <row r="980">
      <c r="C980" s="127"/>
      <c r="E980" s="136"/>
      <c r="I980" s="137"/>
    </row>
    <row r="981">
      <c r="C981" s="127"/>
      <c r="E981" s="136"/>
      <c r="I981" s="137"/>
    </row>
    <row r="982">
      <c r="C982" s="127"/>
      <c r="E982" s="136"/>
      <c r="I982" s="137"/>
    </row>
    <row r="983">
      <c r="C983" s="127"/>
      <c r="E983" s="136"/>
      <c r="I983" s="137"/>
    </row>
    <row r="984">
      <c r="C984" s="127"/>
      <c r="E984" s="136"/>
      <c r="I984" s="137"/>
    </row>
    <row r="985">
      <c r="C985" s="127"/>
      <c r="E985" s="136"/>
      <c r="I985" s="137"/>
    </row>
    <row r="986">
      <c r="C986" s="127"/>
      <c r="E986" s="136"/>
      <c r="I986" s="137"/>
    </row>
    <row r="987">
      <c r="C987" s="127"/>
      <c r="E987" s="136"/>
      <c r="I987" s="137"/>
    </row>
    <row r="988">
      <c r="C988" s="127"/>
      <c r="E988" s="136"/>
      <c r="I988" s="137"/>
    </row>
    <row r="989">
      <c r="C989" s="127"/>
      <c r="E989" s="136"/>
      <c r="I989" s="137"/>
    </row>
    <row r="990">
      <c r="C990" s="127"/>
      <c r="E990" s="136"/>
      <c r="I990" s="137"/>
    </row>
    <row r="991">
      <c r="C991" s="127"/>
      <c r="E991" s="136"/>
      <c r="I991" s="137"/>
    </row>
    <row r="992">
      <c r="C992" s="127"/>
      <c r="E992" s="136"/>
      <c r="I992" s="137"/>
    </row>
    <row r="993">
      <c r="C993" s="127"/>
      <c r="E993" s="136"/>
      <c r="I993" s="137"/>
    </row>
    <row r="994">
      <c r="C994" s="127"/>
      <c r="E994" s="136"/>
      <c r="I994" s="137"/>
    </row>
    <row r="995">
      <c r="C995" s="127"/>
      <c r="E995" s="136"/>
      <c r="I995" s="137"/>
    </row>
    <row r="996">
      <c r="C996" s="127"/>
      <c r="E996" s="148"/>
      <c r="F996" s="149"/>
      <c r="G996" s="149"/>
      <c r="H996" s="149"/>
      <c r="I996" s="150"/>
    </row>
  </sheetData>
  <autoFilter ref="$A$1:$AX$85"/>
  <conditionalFormatting sqref="E2:AS94">
    <cfRule type="cellIs" dxfId="8" priority="1" stopIfTrue="1" operator="equal">
      <formula>1</formula>
    </cfRule>
  </conditionalFormatting>
  <conditionalFormatting sqref="E2:AS94">
    <cfRule type="cellIs" dxfId="9" priority="2" stopIfTrue="1" operator="equal">
      <formula>0.5</formula>
    </cfRule>
  </conditionalFormatting>
  <conditionalFormatting sqref="E2:AS94">
    <cfRule type="cellIs" dxfId="10" priority="3" stopIfTrue="1" operator="equal">
      <formula>0</formula>
    </cfRule>
  </conditionalFormatting>
  <dataValidations>
    <dataValidation type="custom" allowBlank="1" showDropDown="1" showErrorMessage="1" sqref="E1:AR1">
      <formula1>OR(NOT(ISERROR(DATEVALUE(E1))), AND(ISNUMBER(E1), LEFT(CELL("format", E1))="D"))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sheetData>
    <row r="1">
      <c r="A1" s="101"/>
      <c r="B1" s="101"/>
      <c r="C1" s="102"/>
      <c r="D1" s="102"/>
    </row>
    <row r="2">
      <c r="A2" s="103" t="s">
        <v>349</v>
      </c>
      <c r="B2" s="103" t="s">
        <v>350</v>
      </c>
      <c r="C2" s="104" t="s">
        <v>0</v>
      </c>
      <c r="D2" s="105" t="s">
        <v>121</v>
      </c>
    </row>
    <row r="3">
      <c r="A3" s="106" t="s">
        <v>351</v>
      </c>
      <c r="B3" s="106" t="s">
        <v>352</v>
      </c>
      <c r="C3" s="107" t="str">
        <f t="shared" ref="C3:C88" si="1">CONCATENATE(A3 , " " , B3)</f>
        <v>אביב כספי</v>
      </c>
      <c r="D3" s="107">
        <v>5152068.0</v>
      </c>
    </row>
    <row r="4">
      <c r="A4" s="106" t="s">
        <v>353</v>
      </c>
      <c r="B4" s="106" t="s">
        <v>354</v>
      </c>
      <c r="C4" s="107" t="str">
        <f t="shared" si="1"/>
        <v>אברהם נזרי</v>
      </c>
      <c r="D4" s="107">
        <v>6068858.0</v>
      </c>
    </row>
    <row r="5">
      <c r="A5" s="106" t="s">
        <v>355</v>
      </c>
      <c r="B5" s="106" t="s">
        <v>356</v>
      </c>
      <c r="C5" s="107" t="str">
        <f t="shared" si="1"/>
        <v>אהוד סלע</v>
      </c>
      <c r="D5" s="107">
        <v>5896011.0</v>
      </c>
    </row>
    <row r="6">
      <c r="A6" s="106" t="s">
        <v>357</v>
      </c>
      <c r="B6" s="108" t="s">
        <v>358</v>
      </c>
      <c r="C6" s="107" t="str">
        <f t="shared" si="1"/>
        <v>אהוד  גרנד</v>
      </c>
      <c r="D6" s="109"/>
    </row>
    <row r="7">
      <c r="A7" s="106" t="s">
        <v>359</v>
      </c>
      <c r="B7" s="106" t="s">
        <v>360</v>
      </c>
      <c r="C7" s="107" t="str">
        <f t="shared" si="1"/>
        <v>אופיר יצחקי</v>
      </c>
      <c r="D7" s="110" t="s">
        <v>361</v>
      </c>
    </row>
    <row r="8">
      <c r="A8" s="111" t="s">
        <v>362</v>
      </c>
      <c r="B8" s="111" t="s">
        <v>363</v>
      </c>
      <c r="C8" s="107" t="str">
        <f t="shared" si="1"/>
        <v>אור זורע</v>
      </c>
      <c r="D8" s="112">
        <v>5372450.0</v>
      </c>
    </row>
    <row r="9">
      <c r="A9" s="113" t="s">
        <v>362</v>
      </c>
      <c r="B9" s="106" t="s">
        <v>364</v>
      </c>
      <c r="C9" s="107" t="str">
        <f t="shared" si="1"/>
        <v>אור כהן</v>
      </c>
      <c r="D9" s="114" t="s">
        <v>365</v>
      </c>
    </row>
    <row r="10">
      <c r="A10" s="106" t="s">
        <v>362</v>
      </c>
      <c r="B10" s="106" t="s">
        <v>366</v>
      </c>
      <c r="C10" s="107" t="str">
        <f t="shared" si="1"/>
        <v>אור קורקוס </v>
      </c>
      <c r="D10" s="107">
        <v>8125678.0</v>
      </c>
    </row>
    <row r="11">
      <c r="A11" s="106" t="s">
        <v>367</v>
      </c>
      <c r="B11" s="106" t="s">
        <v>368</v>
      </c>
      <c r="C11" s="107" t="str">
        <f t="shared" si="1"/>
        <v>אוראל קהלני</v>
      </c>
      <c r="D11" s="107">
        <v>6068607.0</v>
      </c>
    </row>
    <row r="12">
      <c r="A12" s="106" t="s">
        <v>369</v>
      </c>
      <c r="B12" s="106" t="s">
        <v>370</v>
      </c>
      <c r="C12" s="107" t="str">
        <f t="shared" si="1"/>
        <v>אורי שמע</v>
      </c>
      <c r="D12" s="107">
        <v>4634057.0</v>
      </c>
    </row>
    <row r="13">
      <c r="A13" s="106" t="s">
        <v>371</v>
      </c>
      <c r="B13" s="115" t="s">
        <v>372</v>
      </c>
      <c r="C13" s="107" t="str">
        <f t="shared" si="1"/>
        <v>אורן קלדניצקי</v>
      </c>
      <c r="D13" s="107">
        <v>5103212.0</v>
      </c>
    </row>
    <row r="14">
      <c r="A14" s="106" t="s">
        <v>373</v>
      </c>
      <c r="B14" s="106" t="s">
        <v>374</v>
      </c>
      <c r="C14" s="107" t="str">
        <f t="shared" si="1"/>
        <v>איגור ראיכלין</v>
      </c>
      <c r="D14" s="107">
        <v>5211617.0</v>
      </c>
    </row>
    <row r="15">
      <c r="A15" s="106" t="s">
        <v>375</v>
      </c>
      <c r="B15" s="106" t="s">
        <v>376</v>
      </c>
      <c r="C15" s="107" t="str">
        <f t="shared" si="1"/>
        <v>אייל ברק</v>
      </c>
      <c r="D15" s="107">
        <v>5112996.0</v>
      </c>
    </row>
    <row r="16">
      <c r="A16" s="106" t="s">
        <v>375</v>
      </c>
      <c r="B16" s="106" t="s">
        <v>377</v>
      </c>
      <c r="C16" s="107" t="str">
        <f t="shared" si="1"/>
        <v>אייל שביט</v>
      </c>
      <c r="D16" s="107">
        <v>6153853.0</v>
      </c>
    </row>
    <row r="17">
      <c r="A17" s="106" t="s">
        <v>378</v>
      </c>
      <c r="B17" s="106" t="s">
        <v>379</v>
      </c>
      <c r="C17" s="107" t="str">
        <f t="shared" si="1"/>
        <v>אילן הראל</v>
      </c>
      <c r="D17" s="107">
        <v>6381240.0</v>
      </c>
    </row>
    <row r="18">
      <c r="A18" s="106" t="s">
        <v>378</v>
      </c>
      <c r="B18" s="106" t="s">
        <v>380</v>
      </c>
      <c r="C18" s="107" t="str">
        <f t="shared" si="1"/>
        <v>אילן פרג</v>
      </c>
      <c r="D18" s="107">
        <v>4687808.0</v>
      </c>
    </row>
    <row r="19">
      <c r="A19" s="106" t="s">
        <v>378</v>
      </c>
      <c r="B19" s="106" t="s">
        <v>381</v>
      </c>
      <c r="C19" s="107" t="str">
        <f t="shared" si="1"/>
        <v>אילן שקלרק</v>
      </c>
      <c r="D19" s="116"/>
    </row>
    <row r="20">
      <c r="A20" s="106" t="s">
        <v>382</v>
      </c>
      <c r="B20" s="106" t="s">
        <v>383</v>
      </c>
      <c r="C20" s="107" t="str">
        <f t="shared" si="1"/>
        <v>איתי גנז</v>
      </c>
      <c r="D20" s="107">
        <v>8655973.0</v>
      </c>
    </row>
    <row r="21">
      <c r="A21" s="106" t="s">
        <v>384</v>
      </c>
      <c r="B21" s="106" t="s">
        <v>385</v>
      </c>
      <c r="C21" s="107" t="str">
        <f t="shared" si="1"/>
        <v>אליהו אנג'ל</v>
      </c>
      <c r="D21" s="107">
        <v>7024334.0</v>
      </c>
    </row>
    <row r="22">
      <c r="A22" s="106" t="s">
        <v>386</v>
      </c>
      <c r="B22" s="106" t="s">
        <v>387</v>
      </c>
      <c r="C22" s="107" t="str">
        <f t="shared" si="1"/>
        <v>אליעזר כהנא</v>
      </c>
      <c r="D22" s="107">
        <v>4319295.0</v>
      </c>
    </row>
    <row r="23">
      <c r="A23" s="106" t="s">
        <v>388</v>
      </c>
      <c r="B23" s="106" t="s">
        <v>389</v>
      </c>
      <c r="C23" s="107" t="str">
        <f t="shared" si="1"/>
        <v>אלכס ברודסקי</v>
      </c>
      <c r="D23" s="107">
        <v>5126913.0</v>
      </c>
    </row>
    <row r="24">
      <c r="A24" s="106" t="s">
        <v>390</v>
      </c>
      <c r="B24" s="106" t="s">
        <v>391</v>
      </c>
      <c r="C24" s="107" t="str">
        <f t="shared" si="1"/>
        <v>אסף אונונו</v>
      </c>
      <c r="D24" s="107">
        <v>5821173.0</v>
      </c>
    </row>
    <row r="25">
      <c r="A25" s="106" t="s">
        <v>392</v>
      </c>
      <c r="B25" s="106" t="s">
        <v>393</v>
      </c>
      <c r="C25" s="107" t="str">
        <f t="shared" si="1"/>
        <v>ארז ברעם</v>
      </c>
      <c r="D25" s="107">
        <v>6977337.0</v>
      </c>
    </row>
    <row r="26">
      <c r="A26" s="106" t="s">
        <v>392</v>
      </c>
      <c r="B26" s="106" t="s">
        <v>394</v>
      </c>
      <c r="C26" s="107" t="str">
        <f t="shared" si="1"/>
        <v>ארז אוחנה פורטנוי</v>
      </c>
      <c r="D26" s="107">
        <v>6392386.0</v>
      </c>
    </row>
    <row r="27">
      <c r="A27" s="106" t="s">
        <v>395</v>
      </c>
      <c r="B27" s="106" t="s">
        <v>396</v>
      </c>
      <c r="C27" s="107" t="str">
        <f t="shared" si="1"/>
        <v>אריאל דהן</v>
      </c>
      <c r="D27" s="107">
        <v>5785566.0</v>
      </c>
    </row>
    <row r="28">
      <c r="A28" s="106" t="s">
        <v>397</v>
      </c>
      <c r="B28" s="106" t="s">
        <v>398</v>
      </c>
      <c r="C28" s="107" t="str">
        <f t="shared" si="1"/>
        <v>אריאל  דדון</v>
      </c>
      <c r="D28" s="107">
        <v>7236705.0</v>
      </c>
    </row>
    <row r="29">
      <c r="A29" s="106" t="s">
        <v>399</v>
      </c>
      <c r="B29" s="106" t="s">
        <v>400</v>
      </c>
      <c r="C29" s="107" t="str">
        <f t="shared" si="1"/>
        <v>אריק גרטי</v>
      </c>
      <c r="D29" s="107">
        <v>3782633.0</v>
      </c>
    </row>
    <row r="30">
      <c r="A30" s="106" t="s">
        <v>401</v>
      </c>
      <c r="B30" s="106" t="s">
        <v>402</v>
      </c>
      <c r="C30" s="107" t="str">
        <f t="shared" si="1"/>
        <v>בן שלמה קורקוס</v>
      </c>
      <c r="D30" s="107">
        <v>5895057.0</v>
      </c>
    </row>
    <row r="31">
      <c r="A31" s="106" t="s">
        <v>403</v>
      </c>
      <c r="B31" s="106" t="s">
        <v>404</v>
      </c>
      <c r="C31" s="107" t="str">
        <f t="shared" si="1"/>
        <v>בנימין סיסאיי</v>
      </c>
      <c r="D31" s="107">
        <v>8202000.0</v>
      </c>
    </row>
    <row r="32">
      <c r="A32" s="106" t="s">
        <v>405</v>
      </c>
      <c r="B32" s="106" t="s">
        <v>406</v>
      </c>
      <c r="C32" s="107" t="str">
        <f t="shared" si="1"/>
        <v>בר רזיאל</v>
      </c>
      <c r="D32" s="107">
        <v>8140590.0</v>
      </c>
    </row>
    <row r="33">
      <c r="A33" s="106" t="s">
        <v>405</v>
      </c>
      <c r="B33" s="108" t="s">
        <v>407</v>
      </c>
      <c r="C33" s="107" t="str">
        <f t="shared" si="1"/>
        <v>בר ינוקא</v>
      </c>
      <c r="D33" s="107">
        <v>5821097.0</v>
      </c>
    </row>
    <row r="34">
      <c r="A34" s="106" t="s">
        <v>408</v>
      </c>
      <c r="B34" s="106" t="s">
        <v>409</v>
      </c>
      <c r="C34" s="107" t="str">
        <f t="shared" si="1"/>
        <v>גדעון חזן</v>
      </c>
      <c r="D34" s="107">
        <v>6977049.0</v>
      </c>
    </row>
    <row r="35">
      <c r="A35" s="106" t="s">
        <v>410</v>
      </c>
      <c r="B35" s="106" t="s">
        <v>411</v>
      </c>
      <c r="C35" s="107" t="str">
        <f t="shared" si="1"/>
        <v>גליל עוז שימעון</v>
      </c>
      <c r="D35" s="107">
        <v>7144025.0</v>
      </c>
    </row>
    <row r="36">
      <c r="A36" s="106" t="s">
        <v>412</v>
      </c>
      <c r="B36" s="106" t="s">
        <v>413</v>
      </c>
      <c r="C36" s="107" t="str">
        <f t="shared" si="1"/>
        <v>גלעד שלו</v>
      </c>
      <c r="D36" s="107">
        <v>7081804.0</v>
      </c>
    </row>
    <row r="37">
      <c r="A37" s="111" t="s">
        <v>414</v>
      </c>
      <c r="B37" s="111" t="s">
        <v>415</v>
      </c>
      <c r="C37" s="107" t="str">
        <f t="shared" si="1"/>
        <v>דוד שולמן</v>
      </c>
      <c r="D37" s="112">
        <v>5146385.0</v>
      </c>
    </row>
    <row r="38">
      <c r="A38" s="106" t="s">
        <v>416</v>
      </c>
      <c r="B38" s="106" t="s">
        <v>417</v>
      </c>
      <c r="C38" s="107" t="str">
        <f t="shared" si="1"/>
        <v>דודי כמוס</v>
      </c>
      <c r="D38" s="107">
        <v>8357953.0</v>
      </c>
    </row>
    <row r="39">
      <c r="A39" s="106" t="s">
        <v>418</v>
      </c>
      <c r="B39" s="106" t="s">
        <v>419</v>
      </c>
      <c r="C39" s="107" t="str">
        <f t="shared" si="1"/>
        <v>דורון פרימט</v>
      </c>
      <c r="D39" s="107">
        <v>5085966.0</v>
      </c>
    </row>
    <row r="40">
      <c r="A40" s="106" t="s">
        <v>420</v>
      </c>
      <c r="B40" s="106" t="s">
        <v>421</v>
      </c>
      <c r="C40" s="107" t="str">
        <f t="shared" si="1"/>
        <v>דמיטרי בצלאל ויסבורד</v>
      </c>
      <c r="D40" s="107">
        <v>7157051.0</v>
      </c>
    </row>
    <row r="41">
      <c r="A41" s="106" t="s">
        <v>422</v>
      </c>
      <c r="B41" s="106" t="s">
        <v>423</v>
      </c>
      <c r="C41" s="107" t="str">
        <f t="shared" si="1"/>
        <v>דניאל קושניר</v>
      </c>
      <c r="D41" s="107">
        <v>8115729.0</v>
      </c>
    </row>
    <row r="42">
      <c r="A42" s="106" t="s">
        <v>424</v>
      </c>
      <c r="B42" s="106" t="s">
        <v>425</v>
      </c>
      <c r="C42" s="107" t="str">
        <f t="shared" si="1"/>
        <v>חגי  אופק</v>
      </c>
      <c r="D42" s="107">
        <v>4383619.0</v>
      </c>
    </row>
    <row r="43">
      <c r="A43" s="106" t="s">
        <v>426</v>
      </c>
      <c r="B43" s="106" t="s">
        <v>425</v>
      </c>
      <c r="C43" s="107" t="str">
        <f t="shared" si="1"/>
        <v>טל אופק</v>
      </c>
      <c r="D43" s="107">
        <v>5064080.0</v>
      </c>
    </row>
    <row r="44">
      <c r="A44" s="106" t="s">
        <v>427</v>
      </c>
      <c r="B44" s="106" t="s">
        <v>428</v>
      </c>
      <c r="C44" s="107" t="str">
        <f t="shared" si="1"/>
        <v>ידידיה שגיב</v>
      </c>
      <c r="D44" s="107">
        <v>5203697.0</v>
      </c>
    </row>
    <row r="45">
      <c r="A45" s="106" t="s">
        <v>429</v>
      </c>
      <c r="B45" s="106" t="s">
        <v>430</v>
      </c>
      <c r="C45" s="107" t="str">
        <f t="shared" si="1"/>
        <v>יואב שאשא</v>
      </c>
      <c r="D45" s="107">
        <v>5249134.0</v>
      </c>
    </row>
    <row r="46">
      <c r="A46" s="106" t="s">
        <v>431</v>
      </c>
      <c r="B46" s="106" t="s">
        <v>432</v>
      </c>
      <c r="C46" s="107" t="str">
        <f t="shared" si="1"/>
        <v>יובל שדמה</v>
      </c>
      <c r="D46" s="107">
        <v>4683682.0</v>
      </c>
    </row>
    <row r="47">
      <c r="A47" s="106" t="s">
        <v>433</v>
      </c>
      <c r="B47" s="106" t="s">
        <v>434</v>
      </c>
      <c r="C47" s="107" t="str">
        <f t="shared" si="1"/>
        <v>יונתן  בן עמי</v>
      </c>
      <c r="D47" s="107">
        <v>5003391.0</v>
      </c>
    </row>
    <row r="48">
      <c r="A48" s="106" t="s">
        <v>435</v>
      </c>
      <c r="B48" s="106" t="s">
        <v>436</v>
      </c>
      <c r="C48" s="107" t="str">
        <f t="shared" si="1"/>
        <v>יוסי פניאס</v>
      </c>
      <c r="D48" s="107">
        <v>6910712.0</v>
      </c>
    </row>
    <row r="49">
      <c r="A49" s="106" t="s">
        <v>437</v>
      </c>
      <c r="B49" s="106" t="s">
        <v>438</v>
      </c>
      <c r="C49" s="107" t="str">
        <f t="shared" si="1"/>
        <v>יורי לוינזון</v>
      </c>
      <c r="D49" s="107">
        <v>6427995.0</v>
      </c>
    </row>
    <row r="50">
      <c r="A50" s="111" t="s">
        <v>439</v>
      </c>
      <c r="B50" s="111" t="s">
        <v>364</v>
      </c>
      <c r="C50" s="107" t="str">
        <f t="shared" si="1"/>
        <v>ינאי עקיבא כהן</v>
      </c>
      <c r="D50" s="112">
        <v>4604692.0</v>
      </c>
    </row>
    <row r="51">
      <c r="A51" s="106" t="s">
        <v>118</v>
      </c>
      <c r="B51" s="108" t="s">
        <v>440</v>
      </c>
      <c r="C51" s="107" t="str">
        <f t="shared" si="1"/>
        <v>כרמל אבני</v>
      </c>
      <c r="D51" s="109"/>
    </row>
    <row r="52">
      <c r="A52" s="108" t="s">
        <v>441</v>
      </c>
      <c r="B52" s="108" t="s">
        <v>442</v>
      </c>
      <c r="C52" s="107" t="str">
        <f t="shared" si="1"/>
        <v>לי ואן שפיר</v>
      </c>
      <c r="D52" s="117">
        <v>5682069.0</v>
      </c>
    </row>
    <row r="53">
      <c r="A53" s="106" t="s">
        <v>443</v>
      </c>
      <c r="B53" s="106" t="s">
        <v>444</v>
      </c>
      <c r="C53" s="107" t="str">
        <f t="shared" si="1"/>
        <v>ליאור ברוך</v>
      </c>
      <c r="D53" s="107">
        <v>7023922.0</v>
      </c>
    </row>
    <row r="54">
      <c r="A54" s="106" t="s">
        <v>445</v>
      </c>
      <c r="B54" s="106" t="s">
        <v>446</v>
      </c>
      <c r="C54" s="107" t="str">
        <f t="shared" si="1"/>
        <v>מור גבעון</v>
      </c>
      <c r="D54" s="107">
        <v>6391119.0</v>
      </c>
    </row>
    <row r="55">
      <c r="A55" s="106" t="s">
        <v>447</v>
      </c>
      <c r="B55" s="106" t="s">
        <v>448</v>
      </c>
      <c r="C55" s="107" t="str">
        <f t="shared" si="1"/>
        <v>משה  אפל</v>
      </c>
      <c r="D55" s="109"/>
    </row>
    <row r="56">
      <c r="A56" s="106" t="s">
        <v>449</v>
      </c>
      <c r="B56" s="106" t="s">
        <v>450</v>
      </c>
      <c r="C56" s="107" t="str">
        <f t="shared" si="1"/>
        <v>מתן  גורן</v>
      </c>
      <c r="D56" s="107">
        <v>8015196.0</v>
      </c>
    </row>
    <row r="57">
      <c r="A57" s="106" t="s">
        <v>451</v>
      </c>
      <c r="B57" s="106" t="s">
        <v>452</v>
      </c>
      <c r="C57" s="107" t="str">
        <f t="shared" si="1"/>
        <v>נועם גולדברג</v>
      </c>
      <c r="D57" s="107">
        <v>7489746.0</v>
      </c>
    </row>
    <row r="58">
      <c r="A58" s="106" t="s">
        <v>453</v>
      </c>
      <c r="B58" s="106" t="s">
        <v>454</v>
      </c>
      <c r="C58" s="107" t="str">
        <f t="shared" si="1"/>
        <v>נועם שלום מעודה</v>
      </c>
      <c r="D58" s="107">
        <v>8689198.0</v>
      </c>
    </row>
    <row r="59">
      <c r="A59" s="106" t="s">
        <v>455</v>
      </c>
      <c r="B59" s="106" t="s">
        <v>456</v>
      </c>
      <c r="C59" s="107" t="str">
        <f t="shared" si="1"/>
        <v>ניר שטראוס</v>
      </c>
      <c r="D59" s="107">
        <v>4667148.0</v>
      </c>
    </row>
    <row r="60">
      <c r="A60" s="106" t="s">
        <v>457</v>
      </c>
      <c r="B60" s="106" t="s">
        <v>458</v>
      </c>
      <c r="C60" s="107" t="str">
        <f t="shared" si="1"/>
        <v>ניר  קרניאל</v>
      </c>
      <c r="D60" s="107">
        <v>7379602.0</v>
      </c>
    </row>
    <row r="61">
      <c r="A61" s="106" t="s">
        <v>459</v>
      </c>
      <c r="B61" s="106" t="s">
        <v>460</v>
      </c>
      <c r="C61" s="107" t="str">
        <f t="shared" si="1"/>
        <v>נעם שחם</v>
      </c>
      <c r="D61" s="107">
        <v>6874858.0</v>
      </c>
    </row>
    <row r="62">
      <c r="A62" s="106" t="s">
        <v>461</v>
      </c>
      <c r="B62" s="106" t="s">
        <v>462</v>
      </c>
      <c r="C62" s="107" t="str">
        <f t="shared" si="1"/>
        <v>נתן איפרגן</v>
      </c>
      <c r="D62" s="107">
        <v>4635553.0</v>
      </c>
    </row>
    <row r="63">
      <c r="A63" s="106" t="s">
        <v>464</v>
      </c>
      <c r="B63" s="108" t="s">
        <v>465</v>
      </c>
      <c r="C63" s="107" t="str">
        <f t="shared" si="1"/>
        <v>נתנאל רייבי</v>
      </c>
      <c r="D63" s="109"/>
    </row>
    <row r="64">
      <c r="A64" s="106" t="s">
        <v>466</v>
      </c>
      <c r="B64" s="106" t="s">
        <v>467</v>
      </c>
      <c r="C64" s="107" t="str">
        <f t="shared" si="1"/>
        <v>סהר בן משה</v>
      </c>
      <c r="D64" s="109"/>
    </row>
    <row r="65">
      <c r="A65" s="111" t="s">
        <v>468</v>
      </c>
      <c r="B65" s="111" t="s">
        <v>469</v>
      </c>
      <c r="C65" s="107" t="str">
        <f t="shared" si="1"/>
        <v>סנטיאגו מן</v>
      </c>
      <c r="D65" s="112">
        <v>7593462.0</v>
      </c>
    </row>
    <row r="66">
      <c r="A66" s="106" t="s">
        <v>470</v>
      </c>
      <c r="B66" s="106" t="s">
        <v>471</v>
      </c>
      <c r="C66" s="107" t="str">
        <f t="shared" si="1"/>
        <v>סער שירן</v>
      </c>
      <c r="D66" s="107">
        <v>5759919.0</v>
      </c>
    </row>
    <row r="67">
      <c r="A67" s="106" t="s">
        <v>472</v>
      </c>
      <c r="B67" s="106" t="s">
        <v>473</v>
      </c>
      <c r="C67" s="107" t="str">
        <f t="shared" si="1"/>
        <v>עומר נוי</v>
      </c>
      <c r="D67" s="107">
        <v>8621107.0</v>
      </c>
    </row>
    <row r="68">
      <c r="A68" s="106" t="s">
        <v>474</v>
      </c>
      <c r="B68" s="106" t="s">
        <v>475</v>
      </c>
      <c r="C68" s="107" t="str">
        <f t="shared" si="1"/>
        <v>עופר גייר</v>
      </c>
      <c r="D68" s="107">
        <v>3779457.0</v>
      </c>
    </row>
    <row r="69">
      <c r="A69" s="106" t="s">
        <v>474</v>
      </c>
      <c r="B69" s="106" t="s">
        <v>476</v>
      </c>
      <c r="C69" s="107" t="str">
        <f t="shared" si="1"/>
        <v>עופר נחום</v>
      </c>
      <c r="D69" s="107">
        <v>5075673.0</v>
      </c>
    </row>
    <row r="70">
      <c r="A70" s="108" t="s">
        <v>477</v>
      </c>
      <c r="B70" s="108" t="s">
        <v>478</v>
      </c>
      <c r="C70" s="107" t="str">
        <f t="shared" si="1"/>
        <v>עידו סליק</v>
      </c>
      <c r="D70" s="118">
        <v>8622878.0</v>
      </c>
    </row>
    <row r="71">
      <c r="A71" s="119" t="s">
        <v>479</v>
      </c>
      <c r="B71" s="119" t="s">
        <v>480</v>
      </c>
      <c r="C71" s="107" t="str">
        <f t="shared" si="1"/>
        <v>עמיר מלכי</v>
      </c>
      <c r="D71" s="120">
        <v>6357677.0</v>
      </c>
    </row>
    <row r="72">
      <c r="A72" s="119" t="s">
        <v>481</v>
      </c>
      <c r="B72" s="119" t="s">
        <v>482</v>
      </c>
      <c r="C72" s="107" t="str">
        <f t="shared" si="1"/>
        <v>צביקה פרידמן</v>
      </c>
      <c r="D72" s="120">
        <v>4376047.0</v>
      </c>
    </row>
    <row r="73">
      <c r="A73" s="119" t="s">
        <v>483</v>
      </c>
      <c r="B73" s="119" t="s">
        <v>484</v>
      </c>
      <c r="C73" s="107" t="str">
        <f t="shared" si="1"/>
        <v>רודינסקי יבגני</v>
      </c>
      <c r="D73" s="120">
        <v>7563119.0</v>
      </c>
    </row>
    <row r="74">
      <c r="A74" s="119" t="s">
        <v>485</v>
      </c>
      <c r="B74" s="119" t="s">
        <v>486</v>
      </c>
      <c r="C74" s="107" t="str">
        <f t="shared" si="1"/>
        <v>רומן שפיגלמן</v>
      </c>
      <c r="D74" s="120">
        <v>7256596.0</v>
      </c>
    </row>
    <row r="75">
      <c r="A75" s="119" t="s">
        <v>487</v>
      </c>
      <c r="B75" s="119" t="s">
        <v>488</v>
      </c>
      <c r="C75" s="107" t="str">
        <f t="shared" si="1"/>
        <v>רון יפהר</v>
      </c>
      <c r="D75" s="120">
        <v>5000933.0</v>
      </c>
    </row>
    <row r="76">
      <c r="A76" s="119" t="s">
        <v>489</v>
      </c>
      <c r="B76" s="119" t="s">
        <v>381</v>
      </c>
      <c r="C76" s="107" t="str">
        <f t="shared" si="1"/>
        <v>רונן שקלרק</v>
      </c>
      <c r="D76" s="120">
        <v>7082818.0</v>
      </c>
    </row>
    <row r="77">
      <c r="A77" s="119" t="s">
        <v>490</v>
      </c>
      <c r="B77" s="119" t="s">
        <v>491</v>
      </c>
      <c r="C77" s="107" t="str">
        <f t="shared" si="1"/>
        <v>רועי וקנין</v>
      </c>
      <c r="D77" s="120">
        <v>6349422.0</v>
      </c>
    </row>
    <row r="78">
      <c r="A78" s="119" t="s">
        <v>490</v>
      </c>
      <c r="B78" s="119" t="s">
        <v>356</v>
      </c>
      <c r="C78" s="107" t="str">
        <f t="shared" si="1"/>
        <v>רועי סלע</v>
      </c>
      <c r="D78" s="120">
        <v>4382868.0</v>
      </c>
    </row>
    <row r="79">
      <c r="A79" s="119" t="s">
        <v>490</v>
      </c>
      <c r="B79" s="119" t="s">
        <v>492</v>
      </c>
      <c r="C79" s="107" t="str">
        <f t="shared" si="1"/>
        <v>רועי מלך</v>
      </c>
      <c r="D79" s="120">
        <v>5071665.0</v>
      </c>
    </row>
    <row r="80">
      <c r="A80" s="119" t="s">
        <v>493</v>
      </c>
      <c r="B80" s="119" t="s">
        <v>494</v>
      </c>
      <c r="C80" s="107" t="str">
        <f t="shared" si="1"/>
        <v>רועי  לוי</v>
      </c>
      <c r="D80" s="120">
        <v>8276502.0</v>
      </c>
    </row>
    <row r="81">
      <c r="A81" s="119" t="s">
        <v>495</v>
      </c>
      <c r="B81" s="119" t="s">
        <v>496</v>
      </c>
      <c r="C81" s="107" t="str">
        <f t="shared" si="1"/>
        <v>שי אקר</v>
      </c>
      <c r="D81" s="120">
        <v>5151252.0</v>
      </c>
    </row>
    <row r="82">
      <c r="A82" s="119" t="s">
        <v>495</v>
      </c>
      <c r="B82" s="119" t="s">
        <v>497</v>
      </c>
      <c r="C82" s="107" t="str">
        <f t="shared" si="1"/>
        <v>שי לוגאסי</v>
      </c>
      <c r="D82" s="120">
        <v>8789129.0</v>
      </c>
    </row>
    <row r="83">
      <c r="A83" s="119" t="s">
        <v>498</v>
      </c>
      <c r="B83" s="119" t="s">
        <v>499</v>
      </c>
      <c r="C83" s="107" t="str">
        <f t="shared" si="1"/>
        <v>שלמה גולן</v>
      </c>
      <c r="D83" s="120">
        <v>5645367.0</v>
      </c>
    </row>
    <row r="84">
      <c r="A84" s="119" t="s">
        <v>500</v>
      </c>
      <c r="B84" s="121" t="s">
        <v>501</v>
      </c>
      <c r="C84" s="107" t="str">
        <f t="shared" si="1"/>
        <v>שלמה  אנגלסטר</v>
      </c>
      <c r="D84" s="120">
        <v>4357123.0</v>
      </c>
    </row>
    <row r="85">
      <c r="A85" s="122" t="s">
        <v>502</v>
      </c>
      <c r="B85" s="122" t="s">
        <v>503</v>
      </c>
      <c r="C85" s="107" t="str">
        <f t="shared" si="1"/>
        <v>תומר אדלשטיין</v>
      </c>
      <c r="D85" s="123">
        <v>5757009.0</v>
      </c>
    </row>
    <row r="86">
      <c r="A86" s="119" t="s">
        <v>502</v>
      </c>
      <c r="B86" s="119" t="s">
        <v>504</v>
      </c>
      <c r="C86" s="107" t="str">
        <f t="shared" si="1"/>
        <v>תומר קימלוב</v>
      </c>
      <c r="D86" s="120">
        <v>6370712.0</v>
      </c>
    </row>
    <row r="87">
      <c r="A87" s="119" t="s">
        <v>502</v>
      </c>
      <c r="B87" s="119" t="s">
        <v>505</v>
      </c>
      <c r="C87" s="107" t="str">
        <f t="shared" si="1"/>
        <v>תומר גנוסר</v>
      </c>
      <c r="D87" s="120">
        <v>5811600.0</v>
      </c>
    </row>
    <row r="88">
      <c r="A88" s="119" t="s">
        <v>508</v>
      </c>
      <c r="B88" s="119" t="s">
        <v>509</v>
      </c>
      <c r="C88" s="107" t="str">
        <f t="shared" si="1"/>
        <v>גיל ועקנין</v>
      </c>
      <c r="D88" s="124" t="s">
        <v>345</v>
      </c>
    </row>
    <row r="89">
      <c r="A89" s="126"/>
      <c r="B89" s="126"/>
      <c r="C89" s="109"/>
      <c r="D89" s="109"/>
    </row>
    <row r="90">
      <c r="A90" s="126"/>
      <c r="B90" s="126"/>
      <c r="C90" s="109"/>
      <c r="D90" s="109"/>
    </row>
    <row r="91">
      <c r="A91" s="126"/>
      <c r="B91" s="126"/>
      <c r="C91" s="109"/>
      <c r="D91" s="109"/>
    </row>
    <row r="92">
      <c r="A92" s="126"/>
      <c r="B92" s="126"/>
      <c r="C92" s="109"/>
      <c r="D92" s="109"/>
    </row>
    <row r="93">
      <c r="A93" s="126"/>
      <c r="B93" s="126"/>
      <c r="C93" s="109"/>
      <c r="D93" s="109"/>
    </row>
    <row r="94">
      <c r="A94" s="126"/>
      <c r="B94" s="126"/>
      <c r="C94" s="109"/>
      <c r="D94" s="109"/>
    </row>
    <row r="95">
      <c r="A95" s="126"/>
      <c r="B95" s="126"/>
      <c r="C95" s="109"/>
      <c r="D95" s="109"/>
    </row>
    <row r="96">
      <c r="A96" s="126"/>
      <c r="B96" s="126"/>
      <c r="C96" s="109"/>
      <c r="D96" s="109"/>
    </row>
    <row r="97">
      <c r="A97" s="126"/>
      <c r="B97" s="126"/>
      <c r="C97" s="109"/>
      <c r="D97" s="109"/>
    </row>
    <row r="98">
      <c r="A98" s="126"/>
      <c r="B98" s="126"/>
      <c r="C98" s="109"/>
      <c r="D98" s="109"/>
    </row>
    <row r="99">
      <c r="A99" s="126"/>
      <c r="B99" s="126"/>
      <c r="C99" s="109"/>
      <c r="D99" s="109"/>
    </row>
    <row r="100">
      <c r="A100" s="126"/>
      <c r="B100" s="126"/>
      <c r="C100" s="109"/>
      <c r="D100" s="109"/>
    </row>
    <row r="101">
      <c r="A101" s="126"/>
      <c r="B101" s="126"/>
      <c r="C101" s="109"/>
      <c r="D101" s="109"/>
    </row>
    <row r="102">
      <c r="A102" s="126"/>
      <c r="B102" s="126"/>
      <c r="C102" s="109"/>
      <c r="D102" s="109"/>
    </row>
    <row r="103">
      <c r="A103" s="126"/>
      <c r="B103" s="126"/>
      <c r="C103" s="109"/>
      <c r="D103" s="109"/>
    </row>
    <row r="104">
      <c r="A104" s="126"/>
      <c r="B104" s="126"/>
      <c r="C104" s="109"/>
      <c r="D104" s="109"/>
    </row>
    <row r="105">
      <c r="A105" s="126"/>
      <c r="B105" s="126"/>
      <c r="C105" s="109"/>
      <c r="D105" s="109"/>
    </row>
    <row r="106">
      <c r="A106" s="126"/>
      <c r="B106" s="126"/>
      <c r="C106" s="109"/>
      <c r="D106" s="109"/>
    </row>
    <row r="107">
      <c r="A107" s="126"/>
      <c r="B107" s="126"/>
      <c r="C107" s="109"/>
      <c r="D107" s="109"/>
    </row>
    <row r="108">
      <c r="A108" s="126"/>
      <c r="B108" s="126"/>
      <c r="C108" s="109"/>
      <c r="D108" s="109"/>
    </row>
    <row r="109">
      <c r="A109" s="126"/>
      <c r="B109" s="126"/>
      <c r="C109" s="109"/>
      <c r="D109" s="109"/>
    </row>
    <row r="110">
      <c r="A110" s="126"/>
      <c r="B110" s="126"/>
      <c r="C110" s="109"/>
      <c r="D110" s="109"/>
    </row>
    <row r="111">
      <c r="A111" s="126"/>
      <c r="B111" s="126"/>
      <c r="C111" s="109"/>
      <c r="D111" s="109"/>
    </row>
    <row r="112">
      <c r="A112" s="126"/>
      <c r="B112" s="126"/>
      <c r="C112" s="109"/>
      <c r="D112" s="109"/>
    </row>
    <row r="113">
      <c r="A113" s="126"/>
      <c r="B113" s="126"/>
      <c r="C113" s="109"/>
      <c r="D113" s="109"/>
    </row>
    <row r="114">
      <c r="A114" s="126"/>
      <c r="B114" s="126"/>
      <c r="C114" s="109"/>
      <c r="D114" s="109"/>
    </row>
    <row r="115">
      <c r="A115" s="126"/>
      <c r="B115" s="126"/>
      <c r="C115" s="109"/>
      <c r="D115" s="109"/>
    </row>
    <row r="116">
      <c r="A116" s="126"/>
      <c r="B116" s="126"/>
      <c r="C116" s="109"/>
      <c r="D116" s="109"/>
    </row>
    <row r="117">
      <c r="A117" s="126"/>
      <c r="B117" s="126"/>
      <c r="C117" s="109"/>
      <c r="D117" s="109"/>
    </row>
    <row r="118">
      <c r="A118" s="126"/>
      <c r="B118" s="126"/>
      <c r="C118" s="109"/>
      <c r="D118" s="109"/>
    </row>
    <row r="119">
      <c r="A119" s="126"/>
      <c r="B119" s="126"/>
      <c r="C119" s="109"/>
      <c r="D119" s="109"/>
    </row>
    <row r="120">
      <c r="A120" s="126"/>
      <c r="B120" s="126"/>
      <c r="C120" s="109"/>
      <c r="D120" s="109"/>
    </row>
    <row r="121">
      <c r="A121" s="126"/>
      <c r="B121" s="126"/>
      <c r="C121" s="109"/>
      <c r="D121" s="109"/>
    </row>
    <row r="122">
      <c r="A122" s="126"/>
      <c r="B122" s="126"/>
      <c r="C122" s="109"/>
      <c r="D122" s="109"/>
    </row>
    <row r="123">
      <c r="A123" s="126"/>
      <c r="B123" s="126"/>
      <c r="C123" s="109"/>
      <c r="D123" s="109"/>
    </row>
    <row r="124">
      <c r="A124" s="126"/>
      <c r="B124" s="126"/>
      <c r="C124" s="109"/>
      <c r="D124" s="109"/>
    </row>
    <row r="125">
      <c r="A125" s="126"/>
      <c r="B125" s="126"/>
      <c r="C125" s="109"/>
      <c r="D125" s="109"/>
    </row>
    <row r="126">
      <c r="A126" s="126"/>
      <c r="B126" s="126"/>
      <c r="C126" s="109"/>
      <c r="D126" s="109"/>
    </row>
    <row r="127">
      <c r="A127" s="126"/>
      <c r="B127" s="126"/>
      <c r="C127" s="109"/>
      <c r="D127" s="109"/>
    </row>
    <row r="128">
      <c r="A128" s="126"/>
      <c r="B128" s="126"/>
      <c r="C128" s="109"/>
      <c r="D128" s="109"/>
    </row>
    <row r="129">
      <c r="A129" s="126"/>
      <c r="B129" s="126"/>
      <c r="C129" s="109"/>
      <c r="D129" s="109"/>
    </row>
    <row r="130">
      <c r="A130" s="126"/>
      <c r="B130" s="126"/>
      <c r="C130" s="109"/>
      <c r="D130" s="109"/>
    </row>
    <row r="131">
      <c r="A131" s="126"/>
      <c r="B131" s="126"/>
      <c r="C131" s="109"/>
      <c r="D131" s="109"/>
    </row>
    <row r="132">
      <c r="A132" s="126"/>
      <c r="B132" s="126"/>
      <c r="C132" s="109"/>
      <c r="D132" s="109"/>
    </row>
    <row r="133">
      <c r="A133" s="126"/>
      <c r="B133" s="126"/>
      <c r="C133" s="109"/>
      <c r="D133" s="109"/>
    </row>
    <row r="134">
      <c r="A134" s="126"/>
      <c r="B134" s="126"/>
      <c r="C134" s="109"/>
      <c r="D134" s="109"/>
    </row>
    <row r="135">
      <c r="A135" s="126"/>
      <c r="B135" s="126"/>
      <c r="C135" s="109"/>
      <c r="D135" s="109"/>
    </row>
    <row r="136">
      <c r="A136" s="126"/>
      <c r="B136" s="126"/>
      <c r="C136" s="109"/>
      <c r="D136" s="109"/>
    </row>
    <row r="137">
      <c r="A137" s="126"/>
      <c r="B137" s="126"/>
      <c r="C137" s="109"/>
      <c r="D137" s="109"/>
    </row>
    <row r="138">
      <c r="A138" s="126"/>
      <c r="B138" s="126"/>
      <c r="C138" s="109"/>
      <c r="D138" s="109"/>
    </row>
    <row r="139">
      <c r="A139" s="126"/>
      <c r="B139" s="126"/>
      <c r="C139" s="109"/>
      <c r="D139" s="109"/>
    </row>
    <row r="140">
      <c r="A140" s="126"/>
      <c r="B140" s="126"/>
      <c r="C140" s="109"/>
      <c r="D140" s="109"/>
    </row>
    <row r="141">
      <c r="A141" s="126"/>
      <c r="B141" s="126"/>
      <c r="C141" s="109"/>
      <c r="D141" s="109"/>
    </row>
    <row r="142">
      <c r="A142" s="126"/>
      <c r="B142" s="126"/>
      <c r="C142" s="109"/>
      <c r="D142" s="109"/>
    </row>
    <row r="143">
      <c r="A143" s="126"/>
      <c r="B143" s="126"/>
      <c r="C143" s="109"/>
      <c r="D143" s="109"/>
    </row>
    <row r="144">
      <c r="A144" s="126"/>
      <c r="B144" s="126"/>
      <c r="C144" s="109"/>
      <c r="D144" s="109"/>
    </row>
    <row r="145">
      <c r="A145" s="126"/>
      <c r="B145" s="126"/>
      <c r="C145" s="109"/>
      <c r="D145" s="109"/>
    </row>
    <row r="146">
      <c r="A146" s="126"/>
      <c r="B146" s="126"/>
      <c r="C146" s="109"/>
      <c r="D146" s="109"/>
    </row>
    <row r="147">
      <c r="A147" s="126"/>
      <c r="B147" s="126"/>
      <c r="C147" s="109"/>
      <c r="D147" s="109"/>
    </row>
    <row r="148">
      <c r="A148" s="126"/>
      <c r="B148" s="126"/>
      <c r="C148" s="109"/>
      <c r="D148" s="109"/>
    </row>
    <row r="149">
      <c r="A149" s="126"/>
      <c r="B149" s="126"/>
      <c r="C149" s="109"/>
      <c r="D149" s="109"/>
    </row>
    <row r="150">
      <c r="A150" s="126"/>
      <c r="B150" s="126"/>
      <c r="C150" s="109"/>
      <c r="D150" s="109"/>
    </row>
    <row r="151">
      <c r="A151" s="126"/>
      <c r="B151" s="126"/>
      <c r="C151" s="109"/>
      <c r="D151" s="109"/>
    </row>
    <row r="152">
      <c r="A152" s="126"/>
      <c r="B152" s="126"/>
      <c r="C152" s="109"/>
      <c r="D152" s="109"/>
    </row>
    <row r="153">
      <c r="A153" s="126"/>
      <c r="B153" s="126"/>
      <c r="C153" s="109"/>
      <c r="D153" s="109"/>
    </row>
    <row r="154">
      <c r="A154" s="126"/>
      <c r="B154" s="126"/>
      <c r="C154" s="109"/>
      <c r="D154" s="109"/>
    </row>
    <row r="155">
      <c r="A155" s="126"/>
      <c r="B155" s="126"/>
      <c r="C155" s="109"/>
      <c r="D155" s="109"/>
    </row>
    <row r="156">
      <c r="A156" s="126"/>
      <c r="B156" s="126"/>
      <c r="C156" s="109"/>
      <c r="D156" s="109"/>
    </row>
    <row r="157">
      <c r="A157" s="126"/>
      <c r="B157" s="126"/>
      <c r="C157" s="109"/>
      <c r="D157" s="109"/>
    </row>
    <row r="158">
      <c r="A158" s="126"/>
      <c r="B158" s="126"/>
      <c r="C158" s="109"/>
      <c r="D158" s="109"/>
    </row>
    <row r="159">
      <c r="A159" s="126"/>
      <c r="B159" s="126"/>
      <c r="C159" s="109"/>
      <c r="D159" s="109"/>
    </row>
    <row r="160">
      <c r="A160" s="126"/>
      <c r="B160" s="126"/>
      <c r="C160" s="109"/>
      <c r="D160" s="109"/>
    </row>
    <row r="161">
      <c r="A161" s="126"/>
      <c r="B161" s="126"/>
      <c r="C161" s="109"/>
      <c r="D161" s="109"/>
    </row>
    <row r="162">
      <c r="A162" s="126"/>
      <c r="B162" s="126"/>
      <c r="C162" s="109"/>
      <c r="D162" s="109"/>
    </row>
    <row r="163">
      <c r="A163" s="126"/>
      <c r="B163" s="126"/>
      <c r="C163" s="109"/>
      <c r="D163" s="109"/>
    </row>
    <row r="164">
      <c r="A164" s="126"/>
      <c r="B164" s="126"/>
      <c r="C164" s="109"/>
      <c r="D164" s="109"/>
    </row>
    <row r="165">
      <c r="A165" s="126"/>
      <c r="B165" s="126"/>
      <c r="C165" s="109"/>
      <c r="D165" s="109"/>
    </row>
    <row r="166">
      <c r="A166" s="126"/>
      <c r="B166" s="126"/>
      <c r="C166" s="109"/>
      <c r="D166" s="109"/>
    </row>
    <row r="167">
      <c r="A167" s="126"/>
      <c r="B167" s="126"/>
      <c r="C167" s="109"/>
      <c r="D167" s="109"/>
    </row>
    <row r="168">
      <c r="A168" s="126"/>
      <c r="B168" s="126"/>
      <c r="C168" s="109"/>
      <c r="D168" s="109"/>
    </row>
    <row r="169">
      <c r="A169" s="126"/>
      <c r="B169" s="126"/>
      <c r="C169" s="109"/>
      <c r="D169" s="109"/>
    </row>
    <row r="170">
      <c r="A170" s="126"/>
      <c r="B170" s="126"/>
      <c r="C170" s="109"/>
      <c r="D170" s="109"/>
    </row>
    <row r="171">
      <c r="A171" s="126"/>
      <c r="B171" s="126"/>
      <c r="C171" s="109"/>
      <c r="D171" s="109"/>
    </row>
    <row r="172">
      <c r="A172" s="126"/>
      <c r="B172" s="126"/>
      <c r="C172" s="109"/>
      <c r="D172" s="109"/>
    </row>
    <row r="173">
      <c r="A173" s="126"/>
      <c r="B173" s="126"/>
      <c r="C173" s="109"/>
      <c r="D173" s="109"/>
    </row>
    <row r="174">
      <c r="A174" s="126"/>
      <c r="B174" s="126"/>
      <c r="C174" s="109"/>
      <c r="D174" s="109"/>
    </row>
    <row r="175">
      <c r="A175" s="126"/>
      <c r="B175" s="126"/>
      <c r="C175" s="109"/>
      <c r="D175" s="109"/>
    </row>
    <row r="176">
      <c r="A176" s="126"/>
      <c r="B176" s="126"/>
      <c r="C176" s="109"/>
      <c r="D176" s="109"/>
    </row>
    <row r="177">
      <c r="A177" s="126"/>
      <c r="B177" s="126"/>
      <c r="C177" s="109"/>
      <c r="D177" s="109"/>
    </row>
    <row r="178">
      <c r="A178" s="126"/>
      <c r="B178" s="126"/>
      <c r="C178" s="109"/>
      <c r="D178" s="109"/>
    </row>
    <row r="179">
      <c r="A179" s="126"/>
      <c r="B179" s="126"/>
      <c r="C179" s="109"/>
      <c r="D179" s="109"/>
    </row>
    <row r="180">
      <c r="A180" s="126"/>
      <c r="B180" s="126"/>
      <c r="C180" s="109"/>
      <c r="D180" s="109"/>
    </row>
    <row r="181">
      <c r="A181" s="126"/>
      <c r="B181" s="126"/>
      <c r="C181" s="109"/>
      <c r="D181" s="109"/>
    </row>
    <row r="182">
      <c r="A182" s="126"/>
      <c r="B182" s="126"/>
      <c r="C182" s="109"/>
      <c r="D182" s="109"/>
    </row>
    <row r="183">
      <c r="A183" s="126"/>
      <c r="B183" s="126"/>
      <c r="C183" s="109"/>
      <c r="D183" s="109"/>
    </row>
    <row r="184">
      <c r="A184" s="126"/>
      <c r="B184" s="126"/>
      <c r="C184" s="109"/>
      <c r="D184" s="109"/>
    </row>
    <row r="185">
      <c r="A185" s="126"/>
      <c r="B185" s="126"/>
      <c r="C185" s="109"/>
      <c r="D185" s="109"/>
    </row>
    <row r="186">
      <c r="A186" s="126"/>
      <c r="B186" s="126"/>
      <c r="C186" s="109"/>
      <c r="D186" s="109"/>
    </row>
    <row r="187">
      <c r="A187" s="126"/>
      <c r="B187" s="126"/>
      <c r="C187" s="109"/>
      <c r="D187" s="109"/>
    </row>
    <row r="188">
      <c r="A188" s="126"/>
      <c r="B188" s="126"/>
      <c r="C188" s="109"/>
      <c r="D188" s="109"/>
    </row>
    <row r="189">
      <c r="A189" s="126"/>
      <c r="B189" s="126"/>
      <c r="C189" s="109"/>
      <c r="D189" s="109"/>
    </row>
    <row r="190">
      <c r="A190" s="126"/>
      <c r="B190" s="126"/>
      <c r="C190" s="109"/>
      <c r="D190" s="109"/>
    </row>
    <row r="191">
      <c r="A191" s="126"/>
      <c r="B191" s="126"/>
      <c r="C191" s="109"/>
      <c r="D191" s="109"/>
    </row>
    <row r="192">
      <c r="A192" s="126"/>
      <c r="B192" s="126"/>
      <c r="C192" s="109"/>
      <c r="D192" s="109"/>
    </row>
    <row r="193">
      <c r="A193" s="126"/>
      <c r="B193" s="126"/>
      <c r="C193" s="109"/>
      <c r="D193" s="109"/>
    </row>
    <row r="194">
      <c r="A194" s="126"/>
      <c r="B194" s="126"/>
      <c r="C194" s="109"/>
      <c r="D194" s="109"/>
    </row>
    <row r="195">
      <c r="A195" s="126"/>
      <c r="B195" s="126"/>
      <c r="C195" s="109"/>
      <c r="D195" s="109"/>
    </row>
    <row r="196">
      <c r="A196" s="126"/>
      <c r="B196" s="126"/>
      <c r="C196" s="109"/>
      <c r="D196" s="109"/>
    </row>
    <row r="197">
      <c r="A197" s="126"/>
      <c r="B197" s="126"/>
      <c r="C197" s="109"/>
      <c r="D197" s="109"/>
    </row>
    <row r="198">
      <c r="A198" s="126"/>
      <c r="B198" s="126"/>
      <c r="C198" s="109"/>
      <c r="D198" s="109"/>
    </row>
    <row r="199">
      <c r="A199" s="126"/>
      <c r="B199" s="126"/>
      <c r="C199" s="109"/>
      <c r="D199" s="109"/>
    </row>
    <row r="200">
      <c r="A200" s="126"/>
      <c r="B200" s="126"/>
      <c r="C200" s="109"/>
      <c r="D200" s="109"/>
    </row>
    <row r="201">
      <c r="A201" s="126"/>
      <c r="B201" s="126"/>
      <c r="C201" s="109"/>
      <c r="D201" s="109"/>
    </row>
    <row r="202">
      <c r="A202" s="126"/>
      <c r="B202" s="126"/>
      <c r="C202" s="109"/>
      <c r="D202" s="109"/>
    </row>
    <row r="203">
      <c r="A203" s="126"/>
      <c r="B203" s="126"/>
      <c r="C203" s="109"/>
      <c r="D203" s="109"/>
    </row>
    <row r="204">
      <c r="A204" s="126"/>
      <c r="B204" s="126"/>
      <c r="C204" s="109"/>
      <c r="D204" s="109"/>
    </row>
    <row r="205">
      <c r="A205" s="126"/>
      <c r="B205" s="126"/>
      <c r="C205" s="109"/>
      <c r="D205" s="109"/>
    </row>
    <row r="206">
      <c r="A206" s="126"/>
      <c r="B206" s="126"/>
      <c r="C206" s="109"/>
      <c r="D206" s="109"/>
    </row>
    <row r="207">
      <c r="A207" s="126"/>
      <c r="B207" s="126"/>
      <c r="C207" s="109"/>
      <c r="D207" s="109"/>
    </row>
    <row r="208">
      <c r="A208" s="126"/>
      <c r="B208" s="126"/>
      <c r="C208" s="109"/>
      <c r="D208" s="109"/>
    </row>
    <row r="209">
      <c r="A209" s="126"/>
      <c r="B209" s="126"/>
      <c r="C209" s="109"/>
      <c r="D209" s="109"/>
    </row>
    <row r="210">
      <c r="A210" s="126"/>
      <c r="B210" s="126"/>
      <c r="C210" s="109"/>
      <c r="D210" s="109"/>
    </row>
    <row r="211">
      <c r="A211" s="126"/>
      <c r="B211" s="126"/>
      <c r="C211" s="109"/>
      <c r="D211" s="109"/>
    </row>
    <row r="212">
      <c r="A212" s="126"/>
      <c r="B212" s="126"/>
      <c r="C212" s="109"/>
      <c r="D212" s="109"/>
    </row>
    <row r="213">
      <c r="A213" s="126"/>
      <c r="B213" s="126"/>
      <c r="C213" s="109"/>
      <c r="D213" s="109"/>
    </row>
    <row r="214">
      <c r="A214" s="126"/>
      <c r="B214" s="126"/>
      <c r="C214" s="109"/>
      <c r="D214" s="109"/>
    </row>
    <row r="215">
      <c r="A215" s="126"/>
      <c r="B215" s="126"/>
      <c r="C215" s="109"/>
      <c r="D215" s="109"/>
    </row>
    <row r="216">
      <c r="A216" s="126"/>
      <c r="B216" s="126"/>
      <c r="C216" s="109"/>
      <c r="D216" s="109"/>
    </row>
    <row r="217">
      <c r="A217" s="126"/>
      <c r="B217" s="126"/>
      <c r="C217" s="109"/>
      <c r="D217" s="109"/>
    </row>
    <row r="218">
      <c r="A218" s="126"/>
      <c r="B218" s="126"/>
      <c r="C218" s="109"/>
      <c r="D218" s="109"/>
    </row>
    <row r="219">
      <c r="A219" s="126"/>
      <c r="B219" s="126"/>
      <c r="C219" s="109"/>
      <c r="D219" s="109"/>
    </row>
    <row r="220">
      <c r="A220" s="126"/>
      <c r="B220" s="126"/>
      <c r="C220" s="109"/>
      <c r="D220" s="109"/>
    </row>
    <row r="221">
      <c r="A221" s="126"/>
      <c r="B221" s="126"/>
      <c r="C221" s="109"/>
      <c r="D221" s="109"/>
    </row>
    <row r="222">
      <c r="A222" s="126"/>
      <c r="B222" s="126"/>
      <c r="C222" s="109"/>
      <c r="D222" s="109"/>
    </row>
    <row r="223">
      <c r="A223" s="126"/>
      <c r="B223" s="126"/>
      <c r="C223" s="109"/>
      <c r="D223" s="109"/>
    </row>
    <row r="224">
      <c r="A224" s="126"/>
      <c r="B224" s="126"/>
      <c r="C224" s="109"/>
      <c r="D224" s="109"/>
    </row>
    <row r="225">
      <c r="A225" s="126"/>
      <c r="B225" s="126"/>
      <c r="C225" s="109"/>
      <c r="D225" s="109"/>
    </row>
    <row r="226">
      <c r="A226" s="126"/>
      <c r="B226" s="126"/>
      <c r="C226" s="109"/>
      <c r="D226" s="109"/>
    </row>
    <row r="227">
      <c r="A227" s="126"/>
      <c r="B227" s="126"/>
      <c r="C227" s="109"/>
      <c r="D227" s="109"/>
    </row>
    <row r="228">
      <c r="A228" s="126"/>
      <c r="B228" s="126"/>
      <c r="C228" s="109"/>
      <c r="D228" s="109"/>
    </row>
    <row r="229">
      <c r="A229" s="126"/>
      <c r="B229" s="126"/>
      <c r="C229" s="109"/>
      <c r="D229" s="109"/>
    </row>
    <row r="230">
      <c r="A230" s="126"/>
      <c r="B230" s="126"/>
      <c r="C230" s="109"/>
      <c r="D230" s="109"/>
    </row>
    <row r="231">
      <c r="A231" s="126"/>
      <c r="B231" s="126"/>
      <c r="C231" s="109"/>
      <c r="D231" s="109"/>
    </row>
    <row r="232">
      <c r="A232" s="126"/>
      <c r="B232" s="126"/>
      <c r="C232" s="109"/>
      <c r="D232" s="109"/>
    </row>
    <row r="233">
      <c r="A233" s="126"/>
      <c r="B233" s="126"/>
      <c r="C233" s="109"/>
      <c r="D233" s="109"/>
    </row>
    <row r="234">
      <c r="A234" s="126"/>
      <c r="B234" s="126"/>
      <c r="C234" s="109"/>
      <c r="D234" s="109"/>
    </row>
    <row r="235">
      <c r="A235" s="126"/>
      <c r="B235" s="126"/>
      <c r="C235" s="109"/>
      <c r="D235" s="109"/>
    </row>
    <row r="236">
      <c r="A236" s="126"/>
      <c r="B236" s="126"/>
      <c r="C236" s="109"/>
      <c r="D236" s="109"/>
    </row>
    <row r="237">
      <c r="A237" s="126"/>
      <c r="B237" s="126"/>
      <c r="C237" s="109"/>
      <c r="D237" s="109"/>
    </row>
    <row r="238">
      <c r="A238" s="126"/>
      <c r="B238" s="126"/>
      <c r="C238" s="109"/>
      <c r="D238" s="109"/>
    </row>
    <row r="239">
      <c r="A239" s="126"/>
      <c r="B239" s="126"/>
      <c r="C239" s="109"/>
      <c r="D239" s="109"/>
    </row>
    <row r="240">
      <c r="A240" s="126"/>
      <c r="B240" s="126"/>
      <c r="C240" s="109"/>
      <c r="D240" s="109"/>
    </row>
    <row r="241">
      <c r="A241" s="126"/>
      <c r="B241" s="126"/>
      <c r="C241" s="109"/>
      <c r="D241" s="109"/>
    </row>
    <row r="242">
      <c r="A242" s="126"/>
      <c r="B242" s="126"/>
      <c r="C242" s="109"/>
      <c r="D242" s="109"/>
    </row>
    <row r="243">
      <c r="A243" s="126"/>
      <c r="B243" s="126"/>
      <c r="C243" s="109"/>
      <c r="D243" s="109"/>
    </row>
    <row r="244">
      <c r="A244" s="126"/>
      <c r="B244" s="126"/>
      <c r="C244" s="109"/>
      <c r="D244" s="109"/>
    </row>
    <row r="245">
      <c r="A245" s="126"/>
      <c r="B245" s="126"/>
      <c r="C245" s="109"/>
      <c r="D245" s="109"/>
    </row>
    <row r="246">
      <c r="A246" s="126"/>
      <c r="B246" s="126"/>
      <c r="C246" s="109"/>
      <c r="D246" s="109"/>
    </row>
    <row r="247">
      <c r="A247" s="126"/>
      <c r="B247" s="126"/>
      <c r="C247" s="109"/>
      <c r="D247" s="109"/>
    </row>
    <row r="248">
      <c r="A248" s="126"/>
      <c r="B248" s="126"/>
      <c r="C248" s="109"/>
      <c r="D248" s="109"/>
    </row>
    <row r="249">
      <c r="A249" s="126"/>
      <c r="B249" s="126"/>
      <c r="C249" s="109"/>
      <c r="D249" s="109"/>
    </row>
    <row r="250">
      <c r="A250" s="126"/>
      <c r="B250" s="126"/>
      <c r="C250" s="109"/>
      <c r="D250" s="109"/>
    </row>
    <row r="251">
      <c r="A251" s="126"/>
      <c r="B251" s="126"/>
      <c r="C251" s="109"/>
      <c r="D251" s="109"/>
    </row>
    <row r="252">
      <c r="A252" s="126"/>
      <c r="B252" s="126"/>
      <c r="C252" s="109"/>
      <c r="D252" s="109"/>
    </row>
    <row r="253">
      <c r="A253" s="126"/>
      <c r="B253" s="126"/>
      <c r="C253" s="109"/>
      <c r="D253" s="109"/>
    </row>
    <row r="254">
      <c r="A254" s="126"/>
      <c r="B254" s="126"/>
      <c r="C254" s="109"/>
      <c r="D254" s="109"/>
    </row>
    <row r="255">
      <c r="A255" s="126"/>
      <c r="B255" s="126"/>
      <c r="C255" s="109"/>
      <c r="D255" s="109"/>
    </row>
    <row r="256">
      <c r="A256" s="126"/>
      <c r="B256" s="126"/>
      <c r="C256" s="109"/>
      <c r="D256" s="109"/>
    </row>
    <row r="257">
      <c r="A257" s="126"/>
      <c r="B257" s="126"/>
      <c r="C257" s="109"/>
      <c r="D257" s="109"/>
    </row>
    <row r="258">
      <c r="A258" s="126"/>
      <c r="B258" s="126"/>
      <c r="C258" s="109"/>
      <c r="D258" s="109"/>
    </row>
    <row r="259">
      <c r="A259" s="126"/>
      <c r="B259" s="126"/>
      <c r="C259" s="109"/>
      <c r="D259" s="109"/>
    </row>
    <row r="260">
      <c r="A260" s="126"/>
      <c r="B260" s="126"/>
      <c r="C260" s="109"/>
      <c r="D260" s="109"/>
    </row>
    <row r="261">
      <c r="A261" s="126"/>
      <c r="B261" s="126"/>
      <c r="C261" s="109"/>
      <c r="D261" s="109"/>
    </row>
  </sheetData>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rightToLeft="1"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2.88"/>
    <col customWidth="1" min="2" max="2" width="11.63"/>
    <col customWidth="1" min="3" max="66" width="6.88"/>
  </cols>
  <sheetData>
    <row r="1">
      <c r="A1" s="3" t="s">
        <v>121</v>
      </c>
      <c r="B1" s="3" t="s">
        <v>24</v>
      </c>
      <c r="C1" s="7" t="s">
        <v>27</v>
      </c>
      <c r="D1" s="7" t="s">
        <v>512</v>
      </c>
      <c r="E1" s="7" t="s">
        <v>513</v>
      </c>
      <c r="F1" s="7" t="s">
        <v>514</v>
      </c>
      <c r="G1" s="7" t="s">
        <v>515</v>
      </c>
      <c r="H1" s="7" t="s">
        <v>516</v>
      </c>
      <c r="I1" s="7" t="s">
        <v>517</v>
      </c>
      <c r="J1" s="7" t="s">
        <v>518</v>
      </c>
      <c r="K1" s="7" t="s">
        <v>519</v>
      </c>
      <c r="L1" s="7" t="s">
        <v>520</v>
      </c>
      <c r="M1" s="7" t="s">
        <v>521</v>
      </c>
      <c r="N1" s="7" t="s">
        <v>522</v>
      </c>
      <c r="O1" s="133">
        <v>46023.0</v>
      </c>
      <c r="P1" s="133">
        <v>46054.0</v>
      </c>
      <c r="Q1" s="133">
        <v>46082.0</v>
      </c>
      <c r="R1" s="133">
        <v>46113.0</v>
      </c>
      <c r="S1" s="133">
        <v>46143.0</v>
      </c>
      <c r="T1" s="133">
        <v>46174.0</v>
      </c>
      <c r="U1" s="133">
        <v>46204.0</v>
      </c>
      <c r="V1" s="133">
        <v>46235.0</v>
      </c>
      <c r="W1" s="133">
        <v>46266.0</v>
      </c>
      <c r="X1" s="133">
        <v>46296.0</v>
      </c>
      <c r="Y1" s="133">
        <v>46327.0</v>
      </c>
      <c r="Z1" s="134">
        <v>46357.0</v>
      </c>
      <c r="AA1" s="7" t="s">
        <v>523</v>
      </c>
      <c r="AB1" s="7" t="s">
        <v>524</v>
      </c>
      <c r="AC1" s="7" t="s">
        <v>525</v>
      </c>
      <c r="AD1" s="7" t="s">
        <v>526</v>
      </c>
      <c r="AE1" s="7" t="s">
        <v>527</v>
      </c>
      <c r="AF1" s="7" t="s">
        <v>528</v>
      </c>
      <c r="AG1" s="7" t="s">
        <v>529</v>
      </c>
      <c r="AH1" s="7" t="s">
        <v>530</v>
      </c>
      <c r="AI1" s="7" t="s">
        <v>531</v>
      </c>
      <c r="AJ1" s="7" t="s">
        <v>532</v>
      </c>
      <c r="AK1" s="7" t="s">
        <v>533</v>
      </c>
      <c r="AL1" s="7" t="s">
        <v>534</v>
      </c>
      <c r="AM1" s="7" t="s">
        <v>535</v>
      </c>
      <c r="AN1" s="7" t="s">
        <v>536</v>
      </c>
      <c r="AO1" s="7" t="s">
        <v>537</v>
      </c>
      <c r="AP1" s="7" t="s">
        <v>538</v>
      </c>
      <c r="AQ1" s="7" t="s">
        <v>539</v>
      </c>
      <c r="AR1" s="7" t="s">
        <v>540</v>
      </c>
      <c r="AS1" s="7" t="s">
        <v>541</v>
      </c>
      <c r="AT1" s="133">
        <v>46024.0</v>
      </c>
      <c r="AU1" s="133">
        <v>46055.0</v>
      </c>
      <c r="AV1" s="133">
        <v>46083.0</v>
      </c>
      <c r="AW1" s="133">
        <v>46114.0</v>
      </c>
      <c r="AX1" s="133">
        <v>46144.0</v>
      </c>
      <c r="AY1" s="133">
        <v>46175.0</v>
      </c>
      <c r="AZ1" s="133">
        <v>46205.0</v>
      </c>
      <c r="BA1" s="133">
        <v>46236.0</v>
      </c>
      <c r="BB1" s="133">
        <v>46267.0</v>
      </c>
      <c r="BC1" s="133">
        <v>46297.0</v>
      </c>
      <c r="BD1" s="133">
        <v>46328.0</v>
      </c>
      <c r="BE1" s="134">
        <v>46358.0</v>
      </c>
      <c r="BF1" s="7" t="s">
        <v>542</v>
      </c>
      <c r="BG1" s="7" t="s">
        <v>543</v>
      </c>
      <c r="BH1" s="7" t="s">
        <v>544</v>
      </c>
      <c r="BI1" s="3" t="s">
        <v>545</v>
      </c>
      <c r="BJ1" s="22"/>
      <c r="BK1" s="22"/>
      <c r="BL1" s="22"/>
      <c r="BM1" s="22"/>
      <c r="BN1" s="22"/>
    </row>
    <row r="2">
      <c r="A2" s="7">
        <v>5152068.0</v>
      </c>
      <c r="B2" s="23" t="s">
        <v>60</v>
      </c>
      <c r="C2" s="25" t="s">
        <v>87</v>
      </c>
      <c r="D2" s="25">
        <v>1.0</v>
      </c>
      <c r="E2" s="25">
        <v>1.0</v>
      </c>
      <c r="F2" s="25">
        <v>1.0</v>
      </c>
      <c r="G2" s="25">
        <v>1.0</v>
      </c>
      <c r="H2" s="25">
        <v>1.0</v>
      </c>
      <c r="I2" s="25">
        <v>1.0</v>
      </c>
      <c r="J2" s="25">
        <v>1.0</v>
      </c>
      <c r="K2" s="25">
        <v>1.0</v>
      </c>
      <c r="L2" s="25">
        <v>1.0</v>
      </c>
      <c r="M2" s="25">
        <v>1.0</v>
      </c>
      <c r="N2" s="25">
        <v>1.0</v>
      </c>
      <c r="O2" s="25">
        <v>1.0</v>
      </c>
      <c r="P2" s="25">
        <v>1.0</v>
      </c>
      <c r="Q2" s="25">
        <v>1.0</v>
      </c>
      <c r="R2" s="25">
        <v>1.0</v>
      </c>
      <c r="S2" s="25">
        <v>1.0</v>
      </c>
      <c r="T2" s="25">
        <v>1.0</v>
      </c>
      <c r="U2" s="25">
        <v>1.0</v>
      </c>
      <c r="V2" s="25">
        <v>1.0</v>
      </c>
      <c r="W2" s="25">
        <v>1.0</v>
      </c>
      <c r="X2" s="25">
        <v>1.0</v>
      </c>
      <c r="Y2" s="25">
        <v>1.0</v>
      </c>
      <c r="Z2" s="25">
        <v>1.0</v>
      </c>
      <c r="AA2" s="25">
        <v>1.0</v>
      </c>
      <c r="AB2" s="25">
        <v>1.0</v>
      </c>
      <c r="AC2" s="25">
        <v>1.0</v>
      </c>
      <c r="AD2" s="25">
        <v>1.0</v>
      </c>
      <c r="AE2" s="25">
        <v>1.0</v>
      </c>
      <c r="AF2" s="25">
        <v>1.0</v>
      </c>
      <c r="AG2" s="25">
        <v>1.0</v>
      </c>
      <c r="AH2" s="25">
        <v>1.0</v>
      </c>
      <c r="AI2" s="25">
        <v>1.0</v>
      </c>
      <c r="AJ2" s="25">
        <v>1.0</v>
      </c>
      <c r="AK2" s="25">
        <v>1.0</v>
      </c>
      <c r="AL2" s="25">
        <v>1.0</v>
      </c>
      <c r="AM2" s="25">
        <v>1.0</v>
      </c>
      <c r="AN2" s="25">
        <v>1.0</v>
      </c>
      <c r="AO2" s="25">
        <v>1.0</v>
      </c>
      <c r="AP2" s="25">
        <v>1.0</v>
      </c>
      <c r="AQ2" s="25">
        <v>1.0</v>
      </c>
      <c r="AR2" s="25">
        <v>1.0</v>
      </c>
      <c r="AS2" s="25">
        <v>1.0</v>
      </c>
      <c r="AT2" s="25">
        <v>1.0</v>
      </c>
      <c r="AU2" s="25">
        <v>1.0</v>
      </c>
      <c r="AV2" s="25">
        <v>1.0</v>
      </c>
      <c r="AW2" s="25">
        <v>1.0</v>
      </c>
      <c r="AX2" s="25">
        <v>1.0</v>
      </c>
      <c r="AY2" s="25">
        <v>1.0</v>
      </c>
      <c r="AZ2" s="25">
        <v>1.0</v>
      </c>
      <c r="BA2" s="25">
        <v>1.0</v>
      </c>
      <c r="BB2" s="25">
        <v>1.0</v>
      </c>
      <c r="BC2" s="25">
        <v>1.0</v>
      </c>
      <c r="BD2" s="25">
        <v>1.0</v>
      </c>
      <c r="BE2" s="25">
        <v>1.0</v>
      </c>
      <c r="BF2" s="25">
        <v>1.0</v>
      </c>
      <c r="BG2" s="25">
        <v>1.0</v>
      </c>
      <c r="BH2" s="25">
        <v>1.0</v>
      </c>
      <c r="BI2" s="25">
        <v>57.0</v>
      </c>
      <c r="BJ2" s="29"/>
      <c r="BK2" s="29"/>
      <c r="BL2" s="29"/>
      <c r="BM2" s="29"/>
      <c r="BN2" s="29"/>
    </row>
    <row r="3">
      <c r="A3" s="7">
        <v>6068858.0</v>
      </c>
      <c r="B3" s="23" t="s">
        <v>329</v>
      </c>
      <c r="C3" s="25" t="s">
        <v>94</v>
      </c>
      <c r="D3" s="25">
        <v>1.0</v>
      </c>
      <c r="E3" s="25">
        <v>1.0</v>
      </c>
      <c r="F3" s="25">
        <v>1.0</v>
      </c>
      <c r="G3" s="25">
        <v>1.0</v>
      </c>
      <c r="H3" s="25">
        <v>1.0</v>
      </c>
      <c r="I3" s="25">
        <v>1.0</v>
      </c>
      <c r="J3" s="25">
        <v>1.0</v>
      </c>
      <c r="K3" s="25">
        <v>1.0</v>
      </c>
      <c r="L3" s="25">
        <v>1.0</v>
      </c>
      <c r="M3" s="25">
        <v>1.0</v>
      </c>
      <c r="N3" s="25">
        <v>1.0</v>
      </c>
      <c r="O3" s="25">
        <v>1.0</v>
      </c>
      <c r="P3" s="25">
        <v>1.0</v>
      </c>
      <c r="Q3" s="25">
        <v>1.0</v>
      </c>
      <c r="R3" s="25">
        <v>1.0</v>
      </c>
      <c r="S3" s="25">
        <v>1.0</v>
      </c>
      <c r="T3" s="25">
        <v>1.0</v>
      </c>
      <c r="U3" s="25">
        <v>1.0</v>
      </c>
      <c r="V3" s="25">
        <v>1.0</v>
      </c>
      <c r="W3" s="25">
        <v>1.0</v>
      </c>
      <c r="X3" s="25">
        <v>1.0</v>
      </c>
      <c r="Y3" s="25">
        <v>1.0</v>
      </c>
      <c r="Z3" s="25">
        <v>1.0</v>
      </c>
      <c r="AA3" s="25">
        <v>1.0</v>
      </c>
      <c r="AB3" s="25">
        <v>1.0</v>
      </c>
      <c r="AC3" s="25">
        <v>1.0</v>
      </c>
      <c r="AD3" s="25">
        <v>1.0</v>
      </c>
      <c r="AE3" s="25">
        <v>1.0</v>
      </c>
      <c r="AF3" s="25">
        <v>1.0</v>
      </c>
      <c r="AG3" s="25">
        <v>1.0</v>
      </c>
      <c r="AH3" s="25">
        <v>1.0</v>
      </c>
      <c r="AI3" s="25">
        <v>1.0</v>
      </c>
      <c r="AJ3" s="25">
        <v>1.0</v>
      </c>
      <c r="AK3" s="25">
        <v>1.0</v>
      </c>
      <c r="AL3" s="25">
        <v>1.0</v>
      </c>
      <c r="AM3" s="25">
        <v>1.0</v>
      </c>
      <c r="AN3" s="25">
        <v>1.0</v>
      </c>
      <c r="AO3" s="25">
        <v>1.0</v>
      </c>
      <c r="AP3" s="25">
        <v>1.0</v>
      </c>
      <c r="AQ3" s="25">
        <v>1.0</v>
      </c>
      <c r="AR3" s="25">
        <v>1.0</v>
      </c>
      <c r="AS3" s="25">
        <v>1.0</v>
      </c>
      <c r="AT3" s="25">
        <v>1.0</v>
      </c>
      <c r="AU3" s="25">
        <v>1.0</v>
      </c>
      <c r="AV3" s="25">
        <v>1.0</v>
      </c>
      <c r="AW3" s="25">
        <v>1.0</v>
      </c>
      <c r="AX3" s="25">
        <v>1.0</v>
      </c>
      <c r="AY3" s="25">
        <v>1.0</v>
      </c>
      <c r="AZ3" s="25">
        <v>1.0</v>
      </c>
      <c r="BA3" s="25">
        <v>1.0</v>
      </c>
      <c r="BB3" s="25">
        <v>1.0</v>
      </c>
      <c r="BC3" s="25">
        <v>1.0</v>
      </c>
      <c r="BD3" s="25">
        <v>1.0</v>
      </c>
      <c r="BE3" s="25">
        <v>1.0</v>
      </c>
      <c r="BF3" s="25">
        <v>1.0</v>
      </c>
      <c r="BG3" s="25">
        <v>1.0</v>
      </c>
      <c r="BH3" s="25">
        <v>1.0</v>
      </c>
      <c r="BI3" s="25">
        <v>57.0</v>
      </c>
      <c r="BJ3" s="29"/>
      <c r="BK3" s="29"/>
      <c r="BL3" s="29"/>
      <c r="BM3" s="29"/>
      <c r="BN3" s="29"/>
    </row>
    <row r="4">
      <c r="A4" s="7">
        <v>5757009.0</v>
      </c>
      <c r="B4" s="23" t="s">
        <v>93</v>
      </c>
      <c r="C4" s="25" t="s">
        <v>94</v>
      </c>
      <c r="D4" s="25">
        <v>0.5</v>
      </c>
      <c r="E4" s="25">
        <v>0.0</v>
      </c>
      <c r="F4" s="25">
        <v>0.0</v>
      </c>
      <c r="G4" s="25">
        <v>0.5</v>
      </c>
      <c r="H4" s="25">
        <v>1.0</v>
      </c>
      <c r="I4" s="25">
        <v>1.0</v>
      </c>
      <c r="J4" s="25">
        <v>1.0</v>
      </c>
      <c r="K4" s="25">
        <v>1.0</v>
      </c>
      <c r="L4" s="25">
        <v>1.0</v>
      </c>
      <c r="M4" s="25">
        <v>1.0</v>
      </c>
      <c r="N4" s="25">
        <v>1.0</v>
      </c>
      <c r="O4" s="25">
        <v>1.0</v>
      </c>
      <c r="P4" s="25">
        <v>1.0</v>
      </c>
      <c r="Q4" s="25">
        <v>1.0</v>
      </c>
      <c r="R4" s="25">
        <v>1.0</v>
      </c>
      <c r="S4" s="25">
        <v>1.0</v>
      </c>
      <c r="T4" s="25">
        <v>1.0</v>
      </c>
      <c r="U4" s="25">
        <v>1.0</v>
      </c>
      <c r="V4" s="25">
        <v>1.0</v>
      </c>
      <c r="W4" s="25">
        <v>1.0</v>
      </c>
      <c r="X4" s="25">
        <v>1.0</v>
      </c>
      <c r="Y4" s="25">
        <v>1.0</v>
      </c>
      <c r="Z4" s="25">
        <v>0.5</v>
      </c>
      <c r="AA4" s="25">
        <v>0.0</v>
      </c>
      <c r="AB4" s="25">
        <v>0.0</v>
      </c>
      <c r="AC4" s="25">
        <v>0.5</v>
      </c>
      <c r="AD4" s="25">
        <v>1.0</v>
      </c>
      <c r="AE4" s="25">
        <v>1.0</v>
      </c>
      <c r="AF4" s="25">
        <v>1.0</v>
      </c>
      <c r="AG4" s="25">
        <v>1.0</v>
      </c>
      <c r="AH4" s="25">
        <v>1.0</v>
      </c>
      <c r="AI4" s="25">
        <v>1.0</v>
      </c>
      <c r="AJ4" s="25">
        <v>1.0</v>
      </c>
      <c r="AK4" s="25">
        <v>1.0</v>
      </c>
      <c r="AL4" s="25">
        <v>1.0</v>
      </c>
      <c r="AM4" s="25">
        <v>1.0</v>
      </c>
      <c r="AN4" s="25">
        <v>1.0</v>
      </c>
      <c r="AO4" s="25">
        <v>1.0</v>
      </c>
      <c r="AP4" s="25">
        <v>1.0</v>
      </c>
      <c r="AQ4" s="25">
        <v>1.0</v>
      </c>
      <c r="AR4" s="25">
        <v>1.0</v>
      </c>
      <c r="AS4" s="25">
        <v>1.0</v>
      </c>
      <c r="AT4" s="25">
        <v>1.0</v>
      </c>
      <c r="AU4" s="25">
        <v>1.0</v>
      </c>
      <c r="AV4" s="25">
        <v>1.0</v>
      </c>
      <c r="AW4" s="25">
        <v>1.0</v>
      </c>
      <c r="AX4" s="25">
        <v>1.0</v>
      </c>
      <c r="AY4" s="25">
        <v>1.0</v>
      </c>
      <c r="AZ4" s="25">
        <v>1.0</v>
      </c>
      <c r="BA4" s="25">
        <v>1.0</v>
      </c>
      <c r="BB4" s="25">
        <v>1.0</v>
      </c>
      <c r="BC4" s="25">
        <v>1.0</v>
      </c>
      <c r="BD4" s="25">
        <v>1.0</v>
      </c>
      <c r="BE4" s="25">
        <v>1.0</v>
      </c>
      <c r="BF4" s="25">
        <v>1.0</v>
      </c>
      <c r="BG4" s="25">
        <v>1.0</v>
      </c>
      <c r="BH4" s="25">
        <v>1.0</v>
      </c>
      <c r="BI4" s="25">
        <v>51.0</v>
      </c>
      <c r="BJ4" s="29"/>
      <c r="BK4" s="29"/>
      <c r="BL4" s="29"/>
      <c r="BM4" s="29"/>
      <c r="BN4" s="29"/>
    </row>
    <row r="5">
      <c r="A5" s="7">
        <v>7444240.0</v>
      </c>
      <c r="B5" s="23" t="s">
        <v>245</v>
      </c>
      <c r="C5" s="25" t="s">
        <v>94</v>
      </c>
      <c r="D5" s="25">
        <v>1.0</v>
      </c>
      <c r="E5" s="25">
        <v>1.0</v>
      </c>
      <c r="F5" s="25">
        <v>1.0</v>
      </c>
      <c r="G5" s="25">
        <v>1.0</v>
      </c>
      <c r="H5" s="25">
        <v>1.0</v>
      </c>
      <c r="I5" s="25">
        <v>1.0</v>
      </c>
      <c r="J5" s="25">
        <v>1.0</v>
      </c>
      <c r="K5" s="25">
        <v>1.0</v>
      </c>
      <c r="L5" s="25">
        <v>1.0</v>
      </c>
      <c r="M5" s="25">
        <v>1.0</v>
      </c>
      <c r="N5" s="25">
        <v>1.0</v>
      </c>
      <c r="O5" s="25">
        <v>1.0</v>
      </c>
      <c r="P5" s="25">
        <v>1.0</v>
      </c>
      <c r="Q5" s="25">
        <v>1.0</v>
      </c>
      <c r="R5" s="25">
        <v>1.0</v>
      </c>
      <c r="S5" s="25">
        <v>1.0</v>
      </c>
      <c r="T5" s="25">
        <v>1.0</v>
      </c>
      <c r="U5" s="25">
        <v>1.0</v>
      </c>
      <c r="V5" s="25">
        <v>1.0</v>
      </c>
      <c r="W5" s="25">
        <v>1.0</v>
      </c>
      <c r="X5" s="25">
        <v>1.0</v>
      </c>
      <c r="Y5" s="25">
        <v>1.0</v>
      </c>
      <c r="Z5" s="25">
        <v>1.0</v>
      </c>
      <c r="AA5" s="25">
        <v>1.0</v>
      </c>
      <c r="AB5" s="25">
        <v>1.0</v>
      </c>
      <c r="AC5" s="25">
        <v>1.0</v>
      </c>
      <c r="AD5" s="25">
        <v>1.0</v>
      </c>
      <c r="AE5" s="25">
        <v>1.0</v>
      </c>
      <c r="AF5" s="25">
        <v>1.0</v>
      </c>
      <c r="AG5" s="25">
        <v>1.0</v>
      </c>
      <c r="AH5" s="25">
        <v>1.0</v>
      </c>
      <c r="AI5" s="25">
        <v>1.0</v>
      </c>
      <c r="AJ5" s="25">
        <v>1.0</v>
      </c>
      <c r="AK5" s="25">
        <v>1.0</v>
      </c>
      <c r="AL5" s="25">
        <v>1.0</v>
      </c>
      <c r="AM5" s="25">
        <v>1.0</v>
      </c>
      <c r="AN5" s="25">
        <v>1.0</v>
      </c>
      <c r="AO5" s="25">
        <v>1.0</v>
      </c>
      <c r="AP5" s="25">
        <v>1.0</v>
      </c>
      <c r="AQ5" s="25">
        <v>1.0</v>
      </c>
      <c r="AR5" s="25">
        <v>1.0</v>
      </c>
      <c r="AS5" s="25">
        <v>1.0</v>
      </c>
      <c r="AT5" s="25">
        <v>1.0</v>
      </c>
      <c r="AU5" s="25">
        <v>1.0</v>
      </c>
      <c r="AV5" s="25">
        <v>1.0</v>
      </c>
      <c r="AW5" s="25">
        <v>1.0</v>
      </c>
      <c r="AX5" s="25">
        <v>1.0</v>
      </c>
      <c r="AY5" s="25">
        <v>1.0</v>
      </c>
      <c r="AZ5" s="25">
        <v>1.0</v>
      </c>
      <c r="BA5" s="25">
        <v>1.0</v>
      </c>
      <c r="BB5" s="25">
        <v>1.0</v>
      </c>
      <c r="BC5" s="25">
        <v>1.0</v>
      </c>
      <c r="BD5" s="25">
        <v>1.0</v>
      </c>
      <c r="BE5" s="25">
        <v>1.0</v>
      </c>
      <c r="BF5" s="25">
        <v>1.0</v>
      </c>
      <c r="BG5" s="25">
        <v>1.0</v>
      </c>
      <c r="BH5" s="25">
        <v>1.0</v>
      </c>
      <c r="BI5" s="25">
        <v>57.0</v>
      </c>
      <c r="BJ5" s="29"/>
      <c r="BK5" s="29"/>
      <c r="BL5" s="29"/>
      <c r="BM5" s="29"/>
      <c r="BN5" s="29"/>
    </row>
    <row r="6">
      <c r="A6" s="7">
        <v>5896011.0</v>
      </c>
      <c r="B6" s="23" t="s">
        <v>74</v>
      </c>
      <c r="C6" s="25" t="s">
        <v>94</v>
      </c>
      <c r="D6" s="25">
        <v>1.0</v>
      </c>
      <c r="E6" s="25">
        <v>1.0</v>
      </c>
      <c r="F6" s="25">
        <v>1.0</v>
      </c>
      <c r="G6" s="25">
        <v>1.0</v>
      </c>
      <c r="H6" s="25">
        <v>1.0</v>
      </c>
      <c r="I6" s="25">
        <v>1.0</v>
      </c>
      <c r="J6" s="25">
        <v>1.0</v>
      </c>
      <c r="K6" s="25">
        <v>1.0</v>
      </c>
      <c r="L6" s="25">
        <v>1.0</v>
      </c>
      <c r="M6" s="25">
        <v>1.0</v>
      </c>
      <c r="N6" s="25">
        <v>1.0</v>
      </c>
      <c r="O6" s="25">
        <v>1.0</v>
      </c>
      <c r="P6" s="25">
        <v>1.0</v>
      </c>
      <c r="Q6" s="25">
        <v>1.0</v>
      </c>
      <c r="R6" s="25">
        <v>1.0</v>
      </c>
      <c r="S6" s="25">
        <v>1.0</v>
      </c>
      <c r="T6" s="25">
        <v>1.0</v>
      </c>
      <c r="U6" s="25">
        <v>1.0</v>
      </c>
      <c r="V6" s="25">
        <v>1.0</v>
      </c>
      <c r="W6" s="25">
        <v>1.0</v>
      </c>
      <c r="X6" s="25">
        <v>1.0</v>
      </c>
      <c r="Y6" s="25">
        <v>1.0</v>
      </c>
      <c r="Z6" s="25">
        <v>1.0</v>
      </c>
      <c r="AA6" s="25">
        <v>1.0</v>
      </c>
      <c r="AB6" s="25">
        <v>1.0</v>
      </c>
      <c r="AC6" s="25">
        <v>1.0</v>
      </c>
      <c r="AD6" s="25">
        <v>1.0</v>
      </c>
      <c r="AE6" s="25">
        <v>1.0</v>
      </c>
      <c r="AF6" s="25">
        <v>1.0</v>
      </c>
      <c r="AG6" s="25">
        <v>1.0</v>
      </c>
      <c r="AH6" s="25">
        <v>1.0</v>
      </c>
      <c r="AI6" s="25">
        <v>1.0</v>
      </c>
      <c r="AJ6" s="25">
        <v>1.0</v>
      </c>
      <c r="AK6" s="25">
        <v>1.0</v>
      </c>
      <c r="AL6" s="25">
        <v>1.0</v>
      </c>
      <c r="AM6" s="25">
        <v>1.0</v>
      </c>
      <c r="AN6" s="25">
        <v>1.0</v>
      </c>
      <c r="AO6" s="25">
        <v>1.0</v>
      </c>
      <c r="AP6" s="25">
        <v>1.0</v>
      </c>
      <c r="AQ6" s="25">
        <v>1.0</v>
      </c>
      <c r="AR6" s="25">
        <v>1.0</v>
      </c>
      <c r="AS6" s="25">
        <v>1.0</v>
      </c>
      <c r="AT6" s="25">
        <v>1.0</v>
      </c>
      <c r="AU6" s="25">
        <v>1.0</v>
      </c>
      <c r="AV6" s="25">
        <v>1.0</v>
      </c>
      <c r="AW6" s="25">
        <v>1.0</v>
      </c>
      <c r="AX6" s="25">
        <v>1.0</v>
      </c>
      <c r="AY6" s="25">
        <v>1.0</v>
      </c>
      <c r="AZ6" s="25">
        <v>1.0</v>
      </c>
      <c r="BA6" s="25">
        <v>1.0</v>
      </c>
      <c r="BB6" s="25">
        <v>1.0</v>
      </c>
      <c r="BC6" s="25">
        <v>1.0</v>
      </c>
      <c r="BD6" s="25">
        <v>1.0</v>
      </c>
      <c r="BE6" s="25">
        <v>1.0</v>
      </c>
      <c r="BF6" s="25">
        <v>1.0</v>
      </c>
      <c r="BG6" s="25">
        <v>1.0</v>
      </c>
      <c r="BH6" s="25">
        <v>1.0</v>
      </c>
      <c r="BI6" s="25">
        <v>57.0</v>
      </c>
      <c r="BJ6" s="29"/>
      <c r="BK6" s="29"/>
      <c r="BL6" s="29"/>
      <c r="BM6" s="29"/>
      <c r="BN6" s="29"/>
    </row>
    <row r="7">
      <c r="A7" s="7">
        <v>4388611.0</v>
      </c>
      <c r="B7" s="23" t="s">
        <v>114</v>
      </c>
      <c r="C7" s="25" t="s">
        <v>146</v>
      </c>
      <c r="D7" s="25">
        <v>1.0</v>
      </c>
      <c r="E7" s="25">
        <v>1.0</v>
      </c>
      <c r="F7" s="25">
        <v>1.0</v>
      </c>
      <c r="G7" s="25">
        <v>1.0</v>
      </c>
      <c r="H7" s="25">
        <v>1.0</v>
      </c>
      <c r="I7" s="25">
        <v>0.5</v>
      </c>
      <c r="J7" s="25">
        <v>0.0</v>
      </c>
      <c r="K7" s="25">
        <v>0.0</v>
      </c>
      <c r="L7" s="25">
        <v>0.0</v>
      </c>
      <c r="M7" s="25">
        <v>0.5</v>
      </c>
      <c r="N7" s="25">
        <v>0.5</v>
      </c>
      <c r="O7" s="25">
        <v>0.0</v>
      </c>
      <c r="P7" s="25">
        <v>0.0</v>
      </c>
      <c r="Q7" s="25">
        <v>0.0</v>
      </c>
      <c r="R7" s="25">
        <v>0.0</v>
      </c>
      <c r="S7" s="25">
        <v>0.0</v>
      </c>
      <c r="T7" s="25">
        <v>0.5</v>
      </c>
      <c r="U7" s="25">
        <v>1.0</v>
      </c>
      <c r="V7" s="25">
        <v>1.0</v>
      </c>
      <c r="W7" s="25">
        <v>1.0</v>
      </c>
      <c r="X7" s="25">
        <v>1.0</v>
      </c>
      <c r="Y7" s="25">
        <v>1.0</v>
      </c>
      <c r="Z7" s="25">
        <v>1.0</v>
      </c>
      <c r="AA7" s="25">
        <v>1.0</v>
      </c>
      <c r="AB7" s="25">
        <v>1.0</v>
      </c>
      <c r="AC7" s="25">
        <v>1.0</v>
      </c>
      <c r="AD7" s="25">
        <v>1.0</v>
      </c>
      <c r="AE7" s="25">
        <v>1.0</v>
      </c>
      <c r="AF7" s="25">
        <v>1.0</v>
      </c>
      <c r="AG7" s="25">
        <v>1.0</v>
      </c>
      <c r="AH7" s="25">
        <v>1.0</v>
      </c>
      <c r="AI7" s="25">
        <v>1.0</v>
      </c>
      <c r="AJ7" s="25">
        <v>1.0</v>
      </c>
      <c r="AK7" s="25">
        <v>1.0</v>
      </c>
      <c r="AL7" s="25">
        <v>1.0</v>
      </c>
      <c r="AM7" s="25">
        <v>1.0</v>
      </c>
      <c r="AN7" s="25">
        <v>1.0</v>
      </c>
      <c r="AO7" s="25">
        <v>1.0</v>
      </c>
      <c r="AP7" s="25">
        <v>1.0</v>
      </c>
      <c r="AQ7" s="25">
        <v>1.0</v>
      </c>
      <c r="AR7" s="25">
        <v>1.0</v>
      </c>
      <c r="AS7" s="25">
        <v>1.0</v>
      </c>
      <c r="AT7" s="25">
        <v>1.0</v>
      </c>
      <c r="AU7" s="25">
        <v>1.0</v>
      </c>
      <c r="AV7" s="25">
        <v>1.0</v>
      </c>
      <c r="AW7" s="25">
        <v>1.0</v>
      </c>
      <c r="AX7" s="25">
        <v>1.0</v>
      </c>
      <c r="AY7" s="25">
        <v>1.0</v>
      </c>
      <c r="AZ7" s="25">
        <v>1.0</v>
      </c>
      <c r="BA7" s="25">
        <v>1.0</v>
      </c>
      <c r="BB7" s="25">
        <v>1.0</v>
      </c>
      <c r="BC7" s="25">
        <v>1.0</v>
      </c>
      <c r="BD7" s="25">
        <v>1.0</v>
      </c>
      <c r="BE7" s="25">
        <v>1.0</v>
      </c>
      <c r="BF7" s="25">
        <v>1.0</v>
      </c>
      <c r="BG7" s="25">
        <v>1.0</v>
      </c>
      <c r="BH7" s="25">
        <v>1.0</v>
      </c>
      <c r="BI7" s="25">
        <v>47.0</v>
      </c>
      <c r="BJ7" s="29"/>
      <c r="BK7" s="29"/>
      <c r="BL7" s="29"/>
      <c r="BM7" s="29"/>
      <c r="BN7" s="29"/>
    </row>
    <row r="8">
      <c r="A8" s="7">
        <v>5372450.0</v>
      </c>
      <c r="B8" s="23" t="s">
        <v>117</v>
      </c>
      <c r="C8" s="25" t="s">
        <v>94</v>
      </c>
      <c r="D8" s="25">
        <v>1.0</v>
      </c>
      <c r="E8" s="25">
        <v>1.0</v>
      </c>
      <c r="F8" s="25">
        <v>1.0</v>
      </c>
      <c r="G8" s="25">
        <v>1.0</v>
      </c>
      <c r="H8" s="25">
        <v>1.0</v>
      </c>
      <c r="I8" s="25">
        <v>1.0</v>
      </c>
      <c r="J8" s="25">
        <v>0.5</v>
      </c>
      <c r="K8" s="25">
        <v>0.0</v>
      </c>
      <c r="L8" s="25">
        <v>0.0</v>
      </c>
      <c r="M8" s="25">
        <v>0.0</v>
      </c>
      <c r="N8" s="25">
        <v>0.5</v>
      </c>
      <c r="O8" s="25">
        <v>1.0</v>
      </c>
      <c r="P8" s="25">
        <v>1.0</v>
      </c>
      <c r="Q8" s="25">
        <v>1.0</v>
      </c>
      <c r="R8" s="25">
        <v>0.5</v>
      </c>
      <c r="S8" s="25">
        <v>0.0</v>
      </c>
      <c r="T8" s="25">
        <v>0.0</v>
      </c>
      <c r="U8" s="25">
        <v>0.0</v>
      </c>
      <c r="V8" s="25">
        <v>0.0</v>
      </c>
      <c r="W8" s="25">
        <v>0.0</v>
      </c>
      <c r="X8" s="25">
        <v>0.0</v>
      </c>
      <c r="Y8" s="25">
        <v>0.0</v>
      </c>
      <c r="Z8" s="25">
        <v>0.5</v>
      </c>
      <c r="AA8" s="25">
        <v>1.0</v>
      </c>
      <c r="AB8" s="25">
        <v>1.0</v>
      </c>
      <c r="AC8" s="25">
        <v>1.0</v>
      </c>
      <c r="AD8" s="25">
        <v>1.0</v>
      </c>
      <c r="AE8" s="25">
        <v>1.0</v>
      </c>
      <c r="AF8" s="25">
        <v>1.0</v>
      </c>
      <c r="AG8" s="25">
        <v>0.5</v>
      </c>
      <c r="AH8" s="25">
        <v>0.0</v>
      </c>
      <c r="AI8" s="25">
        <v>0.0</v>
      </c>
      <c r="AJ8" s="25">
        <v>0.0</v>
      </c>
      <c r="AK8" s="25">
        <v>0.0</v>
      </c>
      <c r="AL8" s="25">
        <v>0.0</v>
      </c>
      <c r="AM8" s="25">
        <v>0.0</v>
      </c>
      <c r="AN8" s="25">
        <v>0.5</v>
      </c>
      <c r="AO8" s="25">
        <v>1.0</v>
      </c>
      <c r="AP8" s="25">
        <v>1.0</v>
      </c>
      <c r="AQ8" s="25">
        <v>1.0</v>
      </c>
      <c r="AR8" s="25">
        <v>1.0</v>
      </c>
      <c r="AS8" s="25">
        <v>1.0</v>
      </c>
      <c r="AT8" s="25">
        <v>1.0</v>
      </c>
      <c r="AU8" s="25">
        <v>1.0</v>
      </c>
      <c r="AV8" s="25">
        <v>1.0</v>
      </c>
      <c r="AW8" s="25">
        <v>1.0</v>
      </c>
      <c r="AX8" s="25">
        <v>1.0</v>
      </c>
      <c r="AY8" s="25">
        <v>1.0</v>
      </c>
      <c r="AZ8" s="25">
        <v>1.0</v>
      </c>
      <c r="BA8" s="25">
        <v>1.0</v>
      </c>
      <c r="BB8" s="25">
        <v>1.0</v>
      </c>
      <c r="BC8" s="25">
        <v>1.0</v>
      </c>
      <c r="BD8" s="25">
        <v>1.0</v>
      </c>
      <c r="BE8" s="25">
        <v>1.0</v>
      </c>
      <c r="BF8" s="25">
        <v>1.0</v>
      </c>
      <c r="BG8" s="25">
        <v>1.0</v>
      </c>
      <c r="BH8" s="25">
        <v>1.0</v>
      </c>
      <c r="BI8" s="25">
        <v>38.0</v>
      </c>
      <c r="BJ8" s="29"/>
      <c r="BK8" s="29"/>
      <c r="BL8" s="29"/>
      <c r="BM8" s="29"/>
      <c r="BN8" s="29"/>
    </row>
    <row r="9">
      <c r="A9" s="7">
        <v>7301390.0</v>
      </c>
      <c r="B9" s="23" t="s">
        <v>119</v>
      </c>
      <c r="C9" s="25" t="s">
        <v>94</v>
      </c>
      <c r="D9" s="25">
        <v>1.0</v>
      </c>
      <c r="E9" s="25">
        <v>1.0</v>
      </c>
      <c r="F9" s="25">
        <v>1.0</v>
      </c>
      <c r="G9" s="25">
        <v>1.0</v>
      </c>
      <c r="H9" s="25">
        <v>1.0</v>
      </c>
      <c r="I9" s="25">
        <v>1.0</v>
      </c>
      <c r="J9" s="25">
        <v>1.0</v>
      </c>
      <c r="K9" s="25">
        <v>1.0</v>
      </c>
      <c r="L9" s="25">
        <v>1.0</v>
      </c>
      <c r="M9" s="25">
        <v>1.0</v>
      </c>
      <c r="N9" s="25">
        <v>1.0</v>
      </c>
      <c r="O9" s="25">
        <v>1.0</v>
      </c>
      <c r="P9" s="25">
        <v>1.0</v>
      </c>
      <c r="Q9" s="25">
        <v>1.0</v>
      </c>
      <c r="R9" s="25">
        <v>1.0</v>
      </c>
      <c r="S9" s="25">
        <v>1.0</v>
      </c>
      <c r="T9" s="25">
        <v>1.0</v>
      </c>
      <c r="U9" s="25">
        <v>1.0</v>
      </c>
      <c r="V9" s="25">
        <v>1.0</v>
      </c>
      <c r="W9" s="25">
        <v>1.0</v>
      </c>
      <c r="X9" s="25">
        <v>1.0</v>
      </c>
      <c r="Y9" s="25">
        <v>1.0</v>
      </c>
      <c r="Z9" s="25">
        <v>1.0</v>
      </c>
      <c r="AA9" s="25">
        <v>1.0</v>
      </c>
      <c r="AB9" s="25">
        <v>1.0</v>
      </c>
      <c r="AC9" s="25">
        <v>1.0</v>
      </c>
      <c r="AD9" s="25">
        <v>1.0</v>
      </c>
      <c r="AE9" s="25">
        <v>1.0</v>
      </c>
      <c r="AF9" s="25">
        <v>1.0</v>
      </c>
      <c r="AG9" s="25">
        <v>1.0</v>
      </c>
      <c r="AH9" s="25">
        <v>1.0</v>
      </c>
      <c r="AI9" s="25">
        <v>1.0</v>
      </c>
      <c r="AJ9" s="25">
        <v>1.0</v>
      </c>
      <c r="AK9" s="25">
        <v>1.0</v>
      </c>
      <c r="AL9" s="25">
        <v>1.0</v>
      </c>
      <c r="AM9" s="25">
        <v>1.0</v>
      </c>
      <c r="AN9" s="25">
        <v>0.5</v>
      </c>
      <c r="AO9" s="25">
        <v>0.0</v>
      </c>
      <c r="AP9" s="25">
        <v>0.0</v>
      </c>
      <c r="AQ9" s="25">
        <v>0.0</v>
      </c>
      <c r="AR9" s="25">
        <v>0.5</v>
      </c>
      <c r="AS9" s="25">
        <v>1.0</v>
      </c>
      <c r="AT9" s="25">
        <v>1.0</v>
      </c>
      <c r="AU9" s="25">
        <v>1.0</v>
      </c>
      <c r="AV9" s="25">
        <v>1.0</v>
      </c>
      <c r="AW9" s="25">
        <v>1.0</v>
      </c>
      <c r="AX9" s="25">
        <v>1.0</v>
      </c>
      <c r="AY9" s="25">
        <v>1.0</v>
      </c>
      <c r="AZ9" s="25">
        <v>1.0</v>
      </c>
      <c r="BA9" s="25">
        <v>1.0</v>
      </c>
      <c r="BB9" s="25">
        <v>1.0</v>
      </c>
      <c r="BC9" s="25">
        <v>1.0</v>
      </c>
      <c r="BD9" s="25">
        <v>1.0</v>
      </c>
      <c r="BE9" s="25">
        <v>1.0</v>
      </c>
      <c r="BF9" s="25">
        <v>1.0</v>
      </c>
      <c r="BG9" s="25">
        <v>1.0</v>
      </c>
      <c r="BH9" s="25">
        <v>1.0</v>
      </c>
      <c r="BI9" s="25">
        <v>53.0</v>
      </c>
      <c r="BJ9" s="29"/>
      <c r="BK9" s="29"/>
      <c r="BL9" s="29"/>
      <c r="BM9" s="29"/>
      <c r="BN9" s="29"/>
    </row>
    <row r="10">
      <c r="A10" s="7">
        <v>8125678.0</v>
      </c>
      <c r="B10" s="23" t="s">
        <v>140</v>
      </c>
      <c r="C10" s="25" t="s">
        <v>94</v>
      </c>
      <c r="D10" s="25">
        <v>0.0</v>
      </c>
      <c r="E10" s="25">
        <v>0.0</v>
      </c>
      <c r="F10" s="25">
        <v>0.5</v>
      </c>
      <c r="G10" s="25">
        <v>1.0</v>
      </c>
      <c r="H10" s="25">
        <v>1.0</v>
      </c>
      <c r="I10" s="25">
        <v>1.0</v>
      </c>
      <c r="J10" s="25">
        <v>1.0</v>
      </c>
      <c r="K10" s="25">
        <v>1.0</v>
      </c>
      <c r="L10" s="25">
        <v>1.0</v>
      </c>
      <c r="M10" s="25">
        <v>1.0</v>
      </c>
      <c r="N10" s="25">
        <v>1.0</v>
      </c>
      <c r="O10" s="25">
        <v>1.0</v>
      </c>
      <c r="P10" s="25">
        <v>1.0</v>
      </c>
      <c r="Q10" s="25">
        <v>1.0</v>
      </c>
      <c r="R10" s="25">
        <v>1.0</v>
      </c>
      <c r="S10" s="25">
        <v>1.0</v>
      </c>
      <c r="T10" s="25">
        <v>1.0</v>
      </c>
      <c r="U10" s="25">
        <v>1.0</v>
      </c>
      <c r="V10" s="25">
        <v>1.0</v>
      </c>
      <c r="W10" s="25">
        <v>1.0</v>
      </c>
      <c r="X10" s="25">
        <v>1.0</v>
      </c>
      <c r="Y10" s="25">
        <v>1.0</v>
      </c>
      <c r="Z10" s="25">
        <v>1.0</v>
      </c>
      <c r="AA10" s="25">
        <v>1.0</v>
      </c>
      <c r="AB10" s="25">
        <v>1.0</v>
      </c>
      <c r="AC10" s="25">
        <v>1.0</v>
      </c>
      <c r="AD10" s="25">
        <v>1.0</v>
      </c>
      <c r="AE10" s="25">
        <v>1.0</v>
      </c>
      <c r="AF10" s="25">
        <v>1.0</v>
      </c>
      <c r="AG10" s="25">
        <v>1.0</v>
      </c>
      <c r="AH10" s="25">
        <v>0.5</v>
      </c>
      <c r="AI10" s="25">
        <v>0.0</v>
      </c>
      <c r="AJ10" s="25">
        <v>0.0</v>
      </c>
      <c r="AK10" s="25">
        <v>0.5</v>
      </c>
      <c r="AL10" s="25">
        <v>1.0</v>
      </c>
      <c r="AM10" s="25">
        <v>1.0</v>
      </c>
      <c r="AN10" s="25">
        <v>1.0</v>
      </c>
      <c r="AO10" s="25">
        <v>1.0</v>
      </c>
      <c r="AP10" s="25">
        <v>1.0</v>
      </c>
      <c r="AQ10" s="25">
        <v>1.0</v>
      </c>
      <c r="AR10" s="25">
        <v>1.0</v>
      </c>
      <c r="AS10" s="25">
        <v>1.0</v>
      </c>
      <c r="AT10" s="25">
        <v>1.0</v>
      </c>
      <c r="AU10" s="25">
        <v>1.0</v>
      </c>
      <c r="AV10" s="25">
        <v>1.0</v>
      </c>
      <c r="AW10" s="25">
        <v>1.0</v>
      </c>
      <c r="AX10" s="25">
        <v>1.0</v>
      </c>
      <c r="AY10" s="25">
        <v>1.0</v>
      </c>
      <c r="AZ10" s="25">
        <v>1.0</v>
      </c>
      <c r="BA10" s="25">
        <v>1.0</v>
      </c>
      <c r="BB10" s="25">
        <v>1.0</v>
      </c>
      <c r="BC10" s="25">
        <v>1.0</v>
      </c>
      <c r="BD10" s="25">
        <v>1.0</v>
      </c>
      <c r="BE10" s="25">
        <v>1.0</v>
      </c>
      <c r="BF10" s="25">
        <v>1.0</v>
      </c>
      <c r="BG10" s="25">
        <v>1.0</v>
      </c>
      <c r="BH10" s="25">
        <v>1.0</v>
      </c>
      <c r="BI10" s="25">
        <v>51.5</v>
      </c>
      <c r="BJ10" s="29"/>
      <c r="BK10" s="29"/>
      <c r="BL10" s="29"/>
      <c r="BM10" s="29"/>
      <c r="BN10" s="29"/>
    </row>
    <row r="11">
      <c r="A11" s="7">
        <v>6068607.0</v>
      </c>
      <c r="B11" s="23" t="s">
        <v>151</v>
      </c>
      <c r="C11" s="25" t="s">
        <v>94</v>
      </c>
      <c r="D11" s="25">
        <v>1.0</v>
      </c>
      <c r="E11" s="25">
        <v>1.0</v>
      </c>
      <c r="F11" s="25">
        <v>1.0</v>
      </c>
      <c r="G11" s="25">
        <v>1.0</v>
      </c>
      <c r="H11" s="25">
        <v>1.0</v>
      </c>
      <c r="I11" s="25">
        <v>1.0</v>
      </c>
      <c r="J11" s="25">
        <v>1.0</v>
      </c>
      <c r="K11" s="25">
        <v>1.0</v>
      </c>
      <c r="L11" s="25">
        <v>1.0</v>
      </c>
      <c r="M11" s="25">
        <v>0.5</v>
      </c>
      <c r="N11" s="25">
        <v>0.0</v>
      </c>
      <c r="O11" s="25">
        <v>0.0</v>
      </c>
      <c r="P11" s="25">
        <v>0.0</v>
      </c>
      <c r="Q11" s="25">
        <v>0.0</v>
      </c>
      <c r="R11" s="25">
        <v>0.5</v>
      </c>
      <c r="S11" s="25">
        <v>0.0</v>
      </c>
      <c r="T11" s="25">
        <v>0.0</v>
      </c>
      <c r="U11" s="25">
        <v>0.0</v>
      </c>
      <c r="V11" s="25">
        <v>0.5</v>
      </c>
      <c r="W11" s="25">
        <v>1.0</v>
      </c>
      <c r="X11" s="25">
        <v>1.0</v>
      </c>
      <c r="Y11" s="25">
        <v>1.0</v>
      </c>
      <c r="Z11" s="25">
        <v>1.0</v>
      </c>
      <c r="AA11" s="25">
        <v>1.0</v>
      </c>
      <c r="AB11" s="25">
        <v>1.0</v>
      </c>
      <c r="AC11" s="25">
        <v>1.0</v>
      </c>
      <c r="AD11" s="25">
        <v>1.0</v>
      </c>
      <c r="AE11" s="25">
        <v>1.0</v>
      </c>
      <c r="AF11" s="25">
        <v>1.0</v>
      </c>
      <c r="AG11" s="25">
        <v>1.0</v>
      </c>
      <c r="AH11" s="25">
        <v>1.0</v>
      </c>
      <c r="AI11" s="25">
        <v>1.0</v>
      </c>
      <c r="AJ11" s="25">
        <v>1.0</v>
      </c>
      <c r="AK11" s="25">
        <v>1.0</v>
      </c>
      <c r="AL11" s="25">
        <v>1.0</v>
      </c>
      <c r="AM11" s="25">
        <v>0.5</v>
      </c>
      <c r="AN11" s="25">
        <v>0.0</v>
      </c>
      <c r="AO11" s="25">
        <v>0.0</v>
      </c>
      <c r="AP11" s="25">
        <v>0.0</v>
      </c>
      <c r="AQ11" s="25">
        <v>0.5</v>
      </c>
      <c r="AR11" s="25">
        <v>1.0</v>
      </c>
      <c r="AS11" s="25">
        <v>1.0</v>
      </c>
      <c r="AT11" s="25">
        <v>1.0</v>
      </c>
      <c r="AU11" s="25">
        <v>1.0</v>
      </c>
      <c r="AV11" s="25">
        <v>1.0</v>
      </c>
      <c r="AW11" s="25">
        <v>1.0</v>
      </c>
      <c r="AX11" s="25">
        <v>1.0</v>
      </c>
      <c r="AY11" s="25">
        <v>1.0</v>
      </c>
      <c r="AZ11" s="25">
        <v>1.0</v>
      </c>
      <c r="BA11" s="25">
        <v>1.0</v>
      </c>
      <c r="BB11" s="25">
        <v>1.0</v>
      </c>
      <c r="BC11" s="25">
        <v>1.0</v>
      </c>
      <c r="BD11" s="25">
        <v>1.0</v>
      </c>
      <c r="BE11" s="25">
        <v>1.0</v>
      </c>
      <c r="BF11" s="25">
        <v>1.0</v>
      </c>
      <c r="BG11" s="25">
        <v>1.0</v>
      </c>
      <c r="BH11" s="25">
        <v>1.0</v>
      </c>
      <c r="BI11" s="25">
        <v>44.5</v>
      </c>
      <c r="BJ11" s="29"/>
      <c r="BK11" s="29"/>
      <c r="BL11" s="29"/>
      <c r="BM11" s="29"/>
      <c r="BN11" s="29"/>
    </row>
    <row r="12">
      <c r="A12" s="7">
        <v>4634057.0</v>
      </c>
      <c r="B12" s="23" t="s">
        <v>65</v>
      </c>
      <c r="C12" s="25" t="s">
        <v>87</v>
      </c>
      <c r="D12" s="25">
        <v>1.0</v>
      </c>
      <c r="E12" s="25">
        <v>1.0</v>
      </c>
      <c r="F12" s="25">
        <v>1.0</v>
      </c>
      <c r="G12" s="25">
        <v>1.0</v>
      </c>
      <c r="H12" s="25">
        <v>1.0</v>
      </c>
      <c r="I12" s="25">
        <v>1.0</v>
      </c>
      <c r="J12" s="25">
        <v>1.0</v>
      </c>
      <c r="K12" s="25">
        <v>1.0</v>
      </c>
      <c r="L12" s="25">
        <v>1.0</v>
      </c>
      <c r="M12" s="25">
        <v>1.0</v>
      </c>
      <c r="N12" s="25">
        <v>1.0</v>
      </c>
      <c r="O12" s="25">
        <v>1.0</v>
      </c>
      <c r="P12" s="25">
        <v>1.0</v>
      </c>
      <c r="Q12" s="25">
        <v>1.0</v>
      </c>
      <c r="R12" s="25">
        <v>1.0</v>
      </c>
      <c r="S12" s="25">
        <v>1.0</v>
      </c>
      <c r="T12" s="25">
        <v>1.0</v>
      </c>
      <c r="U12" s="25">
        <v>1.0</v>
      </c>
      <c r="V12" s="25">
        <v>1.0</v>
      </c>
      <c r="W12" s="25">
        <v>1.0</v>
      </c>
      <c r="X12" s="25">
        <v>1.0</v>
      </c>
      <c r="Y12" s="25">
        <v>1.0</v>
      </c>
      <c r="Z12" s="25">
        <v>1.0</v>
      </c>
      <c r="AA12" s="25">
        <v>1.0</v>
      </c>
      <c r="AB12" s="25">
        <v>1.0</v>
      </c>
      <c r="AC12" s="25">
        <v>1.0</v>
      </c>
      <c r="AD12" s="25">
        <v>1.0</v>
      </c>
      <c r="AE12" s="25">
        <v>1.0</v>
      </c>
      <c r="AF12" s="25">
        <v>1.0</v>
      </c>
      <c r="AG12" s="25">
        <v>1.0</v>
      </c>
      <c r="AH12" s="25">
        <v>1.0</v>
      </c>
      <c r="AI12" s="25">
        <v>1.0</v>
      </c>
      <c r="AJ12" s="25">
        <v>1.0</v>
      </c>
      <c r="AK12" s="25">
        <v>1.0</v>
      </c>
      <c r="AL12" s="25">
        <v>1.0</v>
      </c>
      <c r="AM12" s="25">
        <v>1.0</v>
      </c>
      <c r="AN12" s="25">
        <v>1.0</v>
      </c>
      <c r="AO12" s="25">
        <v>1.0</v>
      </c>
      <c r="AP12" s="25">
        <v>1.0</v>
      </c>
      <c r="AQ12" s="25">
        <v>1.0</v>
      </c>
      <c r="AR12" s="25">
        <v>1.0</v>
      </c>
      <c r="AS12" s="25">
        <v>1.0</v>
      </c>
      <c r="AT12" s="25">
        <v>1.0</v>
      </c>
      <c r="AU12" s="25">
        <v>1.0</v>
      </c>
      <c r="AV12" s="25">
        <v>1.0</v>
      </c>
      <c r="AW12" s="25">
        <v>1.0</v>
      </c>
      <c r="AX12" s="25">
        <v>1.0</v>
      </c>
      <c r="AY12" s="25">
        <v>1.0</v>
      </c>
      <c r="AZ12" s="25">
        <v>1.0</v>
      </c>
      <c r="BA12" s="25">
        <v>1.0</v>
      </c>
      <c r="BB12" s="25">
        <v>1.0</v>
      </c>
      <c r="BC12" s="25">
        <v>1.0</v>
      </c>
      <c r="BD12" s="25">
        <v>1.0</v>
      </c>
      <c r="BE12" s="25">
        <v>1.0</v>
      </c>
      <c r="BF12" s="25">
        <v>1.0</v>
      </c>
      <c r="BG12" s="25">
        <v>1.0</v>
      </c>
      <c r="BH12" s="25">
        <v>1.0</v>
      </c>
      <c r="BI12" s="25">
        <v>57.0</v>
      </c>
      <c r="BJ12" s="29"/>
      <c r="BK12" s="29"/>
      <c r="BL12" s="29"/>
      <c r="BM12" s="29"/>
      <c r="BN12" s="29"/>
    </row>
    <row r="13">
      <c r="A13" s="7">
        <v>5103212.0</v>
      </c>
      <c r="B13" s="23" t="s">
        <v>165</v>
      </c>
      <c r="C13" s="25" t="s">
        <v>94</v>
      </c>
      <c r="D13" s="25">
        <v>1.0</v>
      </c>
      <c r="E13" s="25">
        <v>1.0</v>
      </c>
      <c r="F13" s="25">
        <v>1.0</v>
      </c>
      <c r="G13" s="25">
        <v>1.0</v>
      </c>
      <c r="H13" s="25">
        <v>1.0</v>
      </c>
      <c r="I13" s="25">
        <v>1.0</v>
      </c>
      <c r="J13" s="25">
        <v>1.0</v>
      </c>
      <c r="K13" s="25">
        <v>1.0</v>
      </c>
      <c r="L13" s="25">
        <v>1.0</v>
      </c>
      <c r="M13" s="25">
        <v>1.0</v>
      </c>
      <c r="N13" s="25">
        <v>1.0</v>
      </c>
      <c r="O13" s="25">
        <v>1.0</v>
      </c>
      <c r="P13" s="25">
        <v>1.0</v>
      </c>
      <c r="Q13" s="25">
        <v>1.0</v>
      </c>
      <c r="R13" s="25">
        <v>1.0</v>
      </c>
      <c r="S13" s="25">
        <v>1.0</v>
      </c>
      <c r="T13" s="25">
        <v>1.0</v>
      </c>
      <c r="U13" s="25">
        <v>1.0</v>
      </c>
      <c r="V13" s="25">
        <v>1.0</v>
      </c>
      <c r="W13" s="25">
        <v>1.0</v>
      </c>
      <c r="X13" s="25">
        <v>1.0</v>
      </c>
      <c r="Y13" s="25">
        <v>1.0</v>
      </c>
      <c r="Z13" s="25">
        <v>1.0</v>
      </c>
      <c r="AA13" s="25">
        <v>0.5</v>
      </c>
      <c r="AB13" s="25">
        <v>0.0</v>
      </c>
      <c r="AC13" s="25">
        <v>0.0</v>
      </c>
      <c r="AD13" s="25">
        <v>0.0</v>
      </c>
      <c r="AE13" s="25">
        <v>0.0</v>
      </c>
      <c r="AF13" s="25">
        <v>0.0</v>
      </c>
      <c r="AG13" s="25">
        <v>0.0</v>
      </c>
      <c r="AH13" s="25">
        <v>0.5</v>
      </c>
      <c r="AI13" s="25">
        <v>1.0</v>
      </c>
      <c r="AJ13" s="25">
        <v>1.0</v>
      </c>
      <c r="AK13" s="25">
        <v>1.0</v>
      </c>
      <c r="AL13" s="25">
        <v>1.0</v>
      </c>
      <c r="AM13" s="25">
        <v>1.0</v>
      </c>
      <c r="AN13" s="25">
        <v>1.0</v>
      </c>
      <c r="AO13" s="25">
        <v>1.0</v>
      </c>
      <c r="AP13" s="25">
        <v>1.0</v>
      </c>
      <c r="AQ13" s="25">
        <v>1.0</v>
      </c>
      <c r="AR13" s="25">
        <v>1.0</v>
      </c>
      <c r="AS13" s="25">
        <v>1.0</v>
      </c>
      <c r="AT13" s="25">
        <v>1.0</v>
      </c>
      <c r="AU13" s="25">
        <v>1.0</v>
      </c>
      <c r="AV13" s="25">
        <v>1.0</v>
      </c>
      <c r="AW13" s="25">
        <v>1.0</v>
      </c>
      <c r="AX13" s="25">
        <v>1.0</v>
      </c>
      <c r="AY13" s="25">
        <v>1.0</v>
      </c>
      <c r="AZ13" s="25">
        <v>1.0</v>
      </c>
      <c r="BA13" s="25">
        <v>1.0</v>
      </c>
      <c r="BB13" s="25">
        <v>1.0</v>
      </c>
      <c r="BC13" s="25">
        <v>1.0</v>
      </c>
      <c r="BD13" s="25">
        <v>1.0</v>
      </c>
      <c r="BE13" s="25">
        <v>1.0</v>
      </c>
      <c r="BF13" s="25">
        <v>1.0</v>
      </c>
      <c r="BG13" s="25">
        <v>1.0</v>
      </c>
      <c r="BH13" s="25">
        <v>1.0</v>
      </c>
      <c r="BI13" s="25">
        <v>50.0</v>
      </c>
      <c r="BJ13" s="29"/>
      <c r="BK13" s="29"/>
      <c r="BL13" s="29"/>
      <c r="BM13" s="29"/>
      <c r="BN13" s="29"/>
    </row>
    <row r="14">
      <c r="A14" s="7">
        <v>5211617.0</v>
      </c>
      <c r="B14" s="23" t="s">
        <v>166</v>
      </c>
      <c r="C14" s="25" t="s">
        <v>94</v>
      </c>
      <c r="D14" s="25">
        <v>1.0</v>
      </c>
      <c r="E14" s="25">
        <v>1.0</v>
      </c>
      <c r="F14" s="25">
        <v>1.0</v>
      </c>
      <c r="G14" s="25">
        <v>1.0</v>
      </c>
      <c r="H14" s="25">
        <v>1.0</v>
      </c>
      <c r="I14" s="25">
        <v>1.0</v>
      </c>
      <c r="J14" s="25">
        <v>1.0</v>
      </c>
      <c r="K14" s="25">
        <v>1.0</v>
      </c>
      <c r="L14" s="25">
        <v>1.0</v>
      </c>
      <c r="M14" s="25">
        <v>0.5</v>
      </c>
      <c r="N14" s="25">
        <v>0.0</v>
      </c>
      <c r="O14" s="25">
        <v>0.0</v>
      </c>
      <c r="P14" s="25">
        <v>0.5</v>
      </c>
      <c r="Q14" s="25">
        <v>1.0</v>
      </c>
      <c r="R14" s="25">
        <v>1.0</v>
      </c>
      <c r="S14" s="25">
        <v>1.0</v>
      </c>
      <c r="T14" s="25">
        <v>1.0</v>
      </c>
      <c r="U14" s="25">
        <v>1.0</v>
      </c>
      <c r="V14" s="25">
        <v>1.0</v>
      </c>
      <c r="W14" s="25">
        <v>1.0</v>
      </c>
      <c r="X14" s="25">
        <v>1.0</v>
      </c>
      <c r="Y14" s="25">
        <v>1.0</v>
      </c>
      <c r="Z14" s="25">
        <v>1.0</v>
      </c>
      <c r="AA14" s="25">
        <v>0.5</v>
      </c>
      <c r="AB14" s="25">
        <v>0.0</v>
      </c>
      <c r="AC14" s="25">
        <v>0.0</v>
      </c>
      <c r="AD14" s="25">
        <v>0.0</v>
      </c>
      <c r="AE14" s="25">
        <v>0.0</v>
      </c>
      <c r="AF14" s="25">
        <v>0.0</v>
      </c>
      <c r="AG14" s="25">
        <v>0.0</v>
      </c>
      <c r="AH14" s="25">
        <v>0.5</v>
      </c>
      <c r="AI14" s="25">
        <v>1.0</v>
      </c>
      <c r="AJ14" s="25">
        <v>1.0</v>
      </c>
      <c r="AK14" s="25">
        <v>1.0</v>
      </c>
      <c r="AL14" s="25">
        <v>1.0</v>
      </c>
      <c r="AM14" s="25">
        <v>1.0</v>
      </c>
      <c r="AN14" s="25">
        <v>1.0</v>
      </c>
      <c r="AO14" s="25">
        <v>1.0</v>
      </c>
      <c r="AP14" s="25">
        <v>1.0</v>
      </c>
      <c r="AQ14" s="25">
        <v>1.0</v>
      </c>
      <c r="AR14" s="25">
        <v>1.0</v>
      </c>
      <c r="AS14" s="25">
        <v>1.0</v>
      </c>
      <c r="AT14" s="25">
        <v>1.0</v>
      </c>
      <c r="AU14" s="25">
        <v>1.0</v>
      </c>
      <c r="AV14" s="25">
        <v>1.0</v>
      </c>
      <c r="AW14" s="25">
        <v>1.0</v>
      </c>
      <c r="AX14" s="25">
        <v>1.0</v>
      </c>
      <c r="AY14" s="25">
        <v>1.0</v>
      </c>
      <c r="AZ14" s="25">
        <v>1.0</v>
      </c>
      <c r="BA14" s="25">
        <v>1.0</v>
      </c>
      <c r="BB14" s="25">
        <v>1.0</v>
      </c>
      <c r="BC14" s="25">
        <v>1.0</v>
      </c>
      <c r="BD14" s="25">
        <v>1.0</v>
      </c>
      <c r="BE14" s="25">
        <v>1.0</v>
      </c>
      <c r="BF14" s="25">
        <v>1.0</v>
      </c>
      <c r="BG14" s="25">
        <v>1.0</v>
      </c>
      <c r="BH14" s="25">
        <v>1.0</v>
      </c>
      <c r="BI14" s="25">
        <v>47.0</v>
      </c>
      <c r="BJ14" s="29"/>
      <c r="BK14" s="29"/>
      <c r="BL14" s="29"/>
      <c r="BM14" s="29"/>
      <c r="BN14" s="29"/>
    </row>
    <row r="15">
      <c r="A15" s="7">
        <v>5112996.0</v>
      </c>
      <c r="B15" s="23" t="s">
        <v>174</v>
      </c>
      <c r="C15" s="25" t="s">
        <v>94</v>
      </c>
      <c r="D15" s="25">
        <v>0.0</v>
      </c>
      <c r="E15" s="25">
        <v>0.0</v>
      </c>
      <c r="F15" s="25">
        <v>0.5</v>
      </c>
      <c r="G15" s="25">
        <v>1.0</v>
      </c>
      <c r="H15" s="25">
        <v>1.0</v>
      </c>
      <c r="I15" s="25">
        <v>1.0</v>
      </c>
      <c r="J15" s="25">
        <v>1.0</v>
      </c>
      <c r="K15" s="25">
        <v>1.0</v>
      </c>
      <c r="L15" s="25">
        <v>1.0</v>
      </c>
      <c r="M15" s="25">
        <v>1.0</v>
      </c>
      <c r="N15" s="25">
        <v>1.0</v>
      </c>
      <c r="O15" s="25">
        <v>1.0</v>
      </c>
      <c r="P15" s="25">
        <v>1.0</v>
      </c>
      <c r="Q15" s="25">
        <v>1.0</v>
      </c>
      <c r="R15" s="25">
        <v>1.0</v>
      </c>
      <c r="S15" s="25">
        <v>1.0</v>
      </c>
      <c r="T15" s="25">
        <v>1.0</v>
      </c>
      <c r="U15" s="25">
        <v>1.0</v>
      </c>
      <c r="V15" s="25">
        <v>1.0</v>
      </c>
      <c r="W15" s="25">
        <v>0.5</v>
      </c>
      <c r="X15" s="25">
        <v>0.0</v>
      </c>
      <c r="Y15" s="25">
        <v>0.0</v>
      </c>
      <c r="Z15" s="25">
        <v>0.0</v>
      </c>
      <c r="AA15" s="25">
        <v>0.0</v>
      </c>
      <c r="AB15" s="25">
        <v>0.0</v>
      </c>
      <c r="AC15" s="25">
        <v>0.0</v>
      </c>
      <c r="AD15" s="25">
        <v>0.0</v>
      </c>
      <c r="AE15" s="25">
        <v>0.0</v>
      </c>
      <c r="AF15" s="25">
        <v>0.0</v>
      </c>
      <c r="AG15" s="25">
        <v>0.0</v>
      </c>
      <c r="AH15" s="25">
        <v>0.5</v>
      </c>
      <c r="AI15" s="25">
        <v>1.0</v>
      </c>
      <c r="AJ15" s="25">
        <v>1.0</v>
      </c>
      <c r="AK15" s="25">
        <v>1.0</v>
      </c>
      <c r="AL15" s="25">
        <v>1.0</v>
      </c>
      <c r="AM15" s="25">
        <v>1.0</v>
      </c>
      <c r="AN15" s="25">
        <v>1.0</v>
      </c>
      <c r="AO15" s="25">
        <v>1.0</v>
      </c>
      <c r="AP15" s="25">
        <v>1.0</v>
      </c>
      <c r="AQ15" s="25">
        <v>1.0</v>
      </c>
      <c r="AR15" s="25">
        <v>1.0</v>
      </c>
      <c r="AS15" s="25">
        <v>1.0</v>
      </c>
      <c r="AT15" s="25">
        <v>1.0</v>
      </c>
      <c r="AU15" s="25">
        <v>1.0</v>
      </c>
      <c r="AV15" s="25">
        <v>1.0</v>
      </c>
      <c r="AW15" s="25">
        <v>1.0</v>
      </c>
      <c r="AX15" s="25">
        <v>1.0</v>
      </c>
      <c r="AY15" s="25">
        <v>1.0</v>
      </c>
      <c r="AZ15" s="25">
        <v>1.0</v>
      </c>
      <c r="BA15" s="25">
        <v>1.0</v>
      </c>
      <c r="BB15" s="25">
        <v>1.0</v>
      </c>
      <c r="BC15" s="25">
        <v>1.0</v>
      </c>
      <c r="BD15" s="25">
        <v>1.0</v>
      </c>
      <c r="BE15" s="25">
        <v>1.0</v>
      </c>
      <c r="BF15" s="25">
        <v>1.0</v>
      </c>
      <c r="BG15" s="25">
        <v>1.0</v>
      </c>
      <c r="BH15" s="25">
        <v>1.0</v>
      </c>
      <c r="BI15" s="25">
        <v>43.5</v>
      </c>
      <c r="BJ15" s="29"/>
      <c r="BK15" s="29"/>
      <c r="BL15" s="29"/>
      <c r="BM15" s="29"/>
      <c r="BN15" s="29"/>
    </row>
    <row r="16">
      <c r="A16" s="7">
        <v>6153853.0</v>
      </c>
      <c r="B16" s="23" t="s">
        <v>58</v>
      </c>
      <c r="C16" s="25" t="s">
        <v>94</v>
      </c>
      <c r="D16" s="25">
        <v>1.0</v>
      </c>
      <c r="E16" s="25">
        <v>1.0</v>
      </c>
      <c r="F16" s="25">
        <v>1.0</v>
      </c>
      <c r="G16" s="25">
        <v>0.5</v>
      </c>
      <c r="H16" s="25">
        <v>0.0</v>
      </c>
      <c r="I16" s="25">
        <v>0.0</v>
      </c>
      <c r="J16" s="25">
        <v>0.0</v>
      </c>
      <c r="K16" s="25">
        <v>0.0</v>
      </c>
      <c r="L16" s="25">
        <v>0.5</v>
      </c>
      <c r="M16" s="25">
        <v>1.0</v>
      </c>
      <c r="N16" s="25">
        <v>1.0</v>
      </c>
      <c r="O16" s="25">
        <v>1.0</v>
      </c>
      <c r="P16" s="25">
        <v>1.0</v>
      </c>
      <c r="Q16" s="25">
        <v>1.0</v>
      </c>
      <c r="R16" s="25">
        <v>1.0</v>
      </c>
      <c r="S16" s="25">
        <v>0.5</v>
      </c>
      <c r="T16" s="25">
        <v>0.0</v>
      </c>
      <c r="U16" s="25">
        <v>0.0</v>
      </c>
      <c r="V16" s="25">
        <v>0.0</v>
      </c>
      <c r="W16" s="25">
        <v>0.0</v>
      </c>
      <c r="X16" s="25">
        <v>0.0</v>
      </c>
      <c r="Y16" s="25">
        <v>0.0</v>
      </c>
      <c r="Z16" s="25">
        <v>0.5</v>
      </c>
      <c r="AA16" s="25">
        <v>1.0</v>
      </c>
      <c r="AB16" s="25">
        <v>1.0</v>
      </c>
      <c r="AC16" s="25">
        <v>1.0</v>
      </c>
      <c r="AD16" s="25">
        <v>1.0</v>
      </c>
      <c r="AE16" s="25">
        <v>1.0</v>
      </c>
      <c r="AF16" s="25">
        <v>1.0</v>
      </c>
      <c r="AG16" s="25">
        <v>0.5</v>
      </c>
      <c r="AH16" s="25">
        <v>0.0</v>
      </c>
      <c r="AI16" s="25">
        <v>0.0</v>
      </c>
      <c r="AJ16" s="25">
        <v>0.0</v>
      </c>
      <c r="AK16" s="25">
        <v>0.0</v>
      </c>
      <c r="AL16" s="25">
        <v>0.0</v>
      </c>
      <c r="AM16" s="25">
        <v>0.0</v>
      </c>
      <c r="AN16" s="25">
        <v>0.5</v>
      </c>
      <c r="AO16" s="25">
        <v>1.0</v>
      </c>
      <c r="AP16" s="25">
        <v>1.0</v>
      </c>
      <c r="AQ16" s="25">
        <v>1.0</v>
      </c>
      <c r="AR16" s="25">
        <v>1.0</v>
      </c>
      <c r="AS16" s="25">
        <v>1.0</v>
      </c>
      <c r="AT16" s="25">
        <v>1.0</v>
      </c>
      <c r="AU16" s="25">
        <v>1.0</v>
      </c>
      <c r="AV16" s="25">
        <v>1.0</v>
      </c>
      <c r="AW16" s="25">
        <v>1.0</v>
      </c>
      <c r="AX16" s="25">
        <v>1.0</v>
      </c>
      <c r="AY16" s="25">
        <v>1.0</v>
      </c>
      <c r="AZ16" s="25">
        <v>1.0</v>
      </c>
      <c r="BA16" s="25">
        <v>1.0</v>
      </c>
      <c r="BB16" s="25">
        <v>1.0</v>
      </c>
      <c r="BC16" s="25">
        <v>1.0</v>
      </c>
      <c r="BD16" s="25">
        <v>1.0</v>
      </c>
      <c r="BE16" s="25">
        <v>1.0</v>
      </c>
      <c r="BF16" s="25">
        <v>1.0</v>
      </c>
      <c r="BG16" s="25">
        <v>1.0</v>
      </c>
      <c r="BH16" s="25">
        <v>1.0</v>
      </c>
      <c r="BI16" s="25">
        <v>38.0</v>
      </c>
      <c r="BJ16" s="29"/>
      <c r="BK16" s="29"/>
      <c r="BL16" s="29"/>
      <c r="BM16" s="29"/>
      <c r="BN16" s="29"/>
    </row>
    <row r="17">
      <c r="A17" s="7">
        <v>6381240.0</v>
      </c>
      <c r="B17" s="23" t="s">
        <v>184</v>
      </c>
      <c r="C17" s="25" t="s">
        <v>185</v>
      </c>
      <c r="D17" s="25">
        <v>0.0</v>
      </c>
      <c r="E17" s="25">
        <v>0.0</v>
      </c>
      <c r="F17" s="25">
        <v>0.0</v>
      </c>
      <c r="G17" s="25">
        <v>0.0</v>
      </c>
      <c r="H17" s="25">
        <v>0.0</v>
      </c>
      <c r="I17" s="25">
        <v>0.5</v>
      </c>
      <c r="J17" s="25">
        <v>1.0</v>
      </c>
      <c r="K17" s="25">
        <v>1.0</v>
      </c>
      <c r="L17" s="25">
        <v>1.0</v>
      </c>
      <c r="M17" s="25">
        <v>1.0</v>
      </c>
      <c r="N17" s="25">
        <v>1.0</v>
      </c>
      <c r="O17" s="25">
        <v>1.0</v>
      </c>
      <c r="P17" s="25">
        <v>1.0</v>
      </c>
      <c r="Q17" s="25">
        <v>1.0</v>
      </c>
      <c r="R17" s="25">
        <v>1.0</v>
      </c>
      <c r="S17" s="25">
        <v>1.0</v>
      </c>
      <c r="T17" s="25">
        <v>1.0</v>
      </c>
      <c r="U17" s="25">
        <v>1.0</v>
      </c>
      <c r="V17" s="25">
        <v>1.0</v>
      </c>
      <c r="W17" s="25">
        <v>1.0</v>
      </c>
      <c r="X17" s="25">
        <v>1.0</v>
      </c>
      <c r="Y17" s="25">
        <v>1.0</v>
      </c>
      <c r="Z17" s="25">
        <v>1.0</v>
      </c>
      <c r="AA17" s="25">
        <v>1.0</v>
      </c>
      <c r="AB17" s="25">
        <v>1.0</v>
      </c>
      <c r="AC17" s="25">
        <v>1.0</v>
      </c>
      <c r="AD17" s="25">
        <v>1.0</v>
      </c>
      <c r="AE17" s="25">
        <v>1.0</v>
      </c>
      <c r="AF17" s="25">
        <v>1.0</v>
      </c>
      <c r="AG17" s="25">
        <v>1.0</v>
      </c>
      <c r="AH17" s="25">
        <v>1.0</v>
      </c>
      <c r="AI17" s="25">
        <v>1.0</v>
      </c>
      <c r="AJ17" s="25">
        <v>1.0</v>
      </c>
      <c r="AK17" s="25">
        <v>1.0</v>
      </c>
      <c r="AL17" s="25">
        <v>1.0</v>
      </c>
      <c r="AM17" s="25">
        <v>1.0</v>
      </c>
      <c r="AN17" s="25">
        <v>1.0</v>
      </c>
      <c r="AO17" s="25">
        <v>1.0</v>
      </c>
      <c r="AP17" s="25">
        <v>1.0</v>
      </c>
      <c r="AQ17" s="25">
        <v>1.0</v>
      </c>
      <c r="AR17" s="25">
        <v>1.0</v>
      </c>
      <c r="AS17" s="25">
        <v>1.0</v>
      </c>
      <c r="AT17" s="25">
        <v>1.0</v>
      </c>
      <c r="AU17" s="25">
        <v>1.0</v>
      </c>
      <c r="AV17" s="25">
        <v>1.0</v>
      </c>
      <c r="AW17" s="25">
        <v>1.0</v>
      </c>
      <c r="AX17" s="25">
        <v>1.0</v>
      </c>
      <c r="AY17" s="25">
        <v>1.0</v>
      </c>
      <c r="AZ17" s="25">
        <v>1.0</v>
      </c>
      <c r="BA17" s="25">
        <v>1.0</v>
      </c>
      <c r="BB17" s="25">
        <v>1.0</v>
      </c>
      <c r="BC17" s="25">
        <v>1.0</v>
      </c>
      <c r="BD17" s="25">
        <v>1.0</v>
      </c>
      <c r="BE17" s="25">
        <v>1.0</v>
      </c>
      <c r="BF17" s="25">
        <v>1.0</v>
      </c>
      <c r="BG17" s="25">
        <v>1.0</v>
      </c>
      <c r="BH17" s="25">
        <v>1.0</v>
      </c>
      <c r="BI17" s="25">
        <v>51.5</v>
      </c>
      <c r="BJ17" s="29"/>
      <c r="BK17" s="29"/>
      <c r="BL17" s="29"/>
      <c r="BM17" s="29"/>
      <c r="BN17" s="29"/>
    </row>
    <row r="18">
      <c r="A18" s="7">
        <v>4687808.0</v>
      </c>
      <c r="B18" s="23" t="s">
        <v>187</v>
      </c>
      <c r="C18" s="25" t="s">
        <v>188</v>
      </c>
      <c r="D18" s="25">
        <v>1.0</v>
      </c>
      <c r="E18" s="25">
        <v>1.0</v>
      </c>
      <c r="F18" s="25">
        <v>1.0</v>
      </c>
      <c r="G18" s="25">
        <v>1.0</v>
      </c>
      <c r="H18" s="25">
        <v>1.0</v>
      </c>
      <c r="I18" s="25">
        <v>1.0</v>
      </c>
      <c r="J18" s="25">
        <v>1.0</v>
      </c>
      <c r="K18" s="25">
        <v>1.0</v>
      </c>
      <c r="L18" s="25">
        <v>1.0</v>
      </c>
      <c r="M18" s="25">
        <v>1.0</v>
      </c>
      <c r="N18" s="25">
        <v>1.0</v>
      </c>
      <c r="O18" s="25">
        <v>1.0</v>
      </c>
      <c r="P18" s="25">
        <v>1.0</v>
      </c>
      <c r="Q18" s="25">
        <v>1.0</v>
      </c>
      <c r="R18" s="25">
        <v>1.0</v>
      </c>
      <c r="S18" s="25">
        <v>1.0</v>
      </c>
      <c r="T18" s="25">
        <v>1.0</v>
      </c>
      <c r="U18" s="25">
        <v>1.0</v>
      </c>
      <c r="V18" s="25">
        <v>1.0</v>
      </c>
      <c r="W18" s="25">
        <v>1.0</v>
      </c>
      <c r="X18" s="25">
        <v>1.0</v>
      </c>
      <c r="Y18" s="25">
        <v>1.0</v>
      </c>
      <c r="Z18" s="25">
        <v>1.0</v>
      </c>
      <c r="AA18" s="25">
        <v>1.0</v>
      </c>
      <c r="AB18" s="25">
        <v>1.0</v>
      </c>
      <c r="AC18" s="25">
        <v>1.0</v>
      </c>
      <c r="AD18" s="25">
        <v>1.0</v>
      </c>
      <c r="AE18" s="25">
        <v>1.0</v>
      </c>
      <c r="AF18" s="25">
        <v>1.0</v>
      </c>
      <c r="AG18" s="25">
        <v>1.0</v>
      </c>
      <c r="AH18" s="25">
        <v>1.0</v>
      </c>
      <c r="AI18" s="25">
        <v>1.0</v>
      </c>
      <c r="AJ18" s="25">
        <v>1.0</v>
      </c>
      <c r="AK18" s="25">
        <v>1.0</v>
      </c>
      <c r="AL18" s="25">
        <v>1.0</v>
      </c>
      <c r="AM18" s="25">
        <v>1.0</v>
      </c>
      <c r="AN18" s="25">
        <v>1.0</v>
      </c>
      <c r="AO18" s="25">
        <v>1.0</v>
      </c>
      <c r="AP18" s="25">
        <v>1.0</v>
      </c>
      <c r="AQ18" s="25">
        <v>1.0</v>
      </c>
      <c r="AR18" s="25">
        <v>1.0</v>
      </c>
      <c r="AS18" s="25">
        <v>1.0</v>
      </c>
      <c r="AT18" s="25">
        <v>1.0</v>
      </c>
      <c r="AU18" s="25">
        <v>1.0</v>
      </c>
      <c r="AV18" s="25">
        <v>1.0</v>
      </c>
      <c r="AW18" s="25">
        <v>1.0</v>
      </c>
      <c r="AX18" s="25">
        <v>1.0</v>
      </c>
      <c r="AY18" s="25">
        <v>1.0</v>
      </c>
      <c r="AZ18" s="25">
        <v>1.0</v>
      </c>
      <c r="BA18" s="25">
        <v>1.0</v>
      </c>
      <c r="BB18" s="25">
        <v>1.0</v>
      </c>
      <c r="BC18" s="25">
        <v>1.0</v>
      </c>
      <c r="BD18" s="25">
        <v>1.0</v>
      </c>
      <c r="BE18" s="25">
        <v>1.0</v>
      </c>
      <c r="BF18" s="25">
        <v>1.0</v>
      </c>
      <c r="BG18" s="25">
        <v>1.0</v>
      </c>
      <c r="BH18" s="25">
        <v>1.0</v>
      </c>
      <c r="BI18" s="25">
        <v>57.0</v>
      </c>
      <c r="BJ18" s="29"/>
      <c r="BK18" s="29"/>
      <c r="BL18" s="29"/>
      <c r="BM18" s="29"/>
      <c r="BN18" s="29"/>
    </row>
    <row r="19">
      <c r="A19" s="7">
        <v>5999668.0</v>
      </c>
      <c r="B19" s="23" t="s">
        <v>191</v>
      </c>
      <c r="C19" s="25" t="s">
        <v>94</v>
      </c>
      <c r="D19" s="25">
        <v>1.0</v>
      </c>
      <c r="E19" s="25">
        <v>1.0</v>
      </c>
      <c r="F19" s="25">
        <v>1.0</v>
      </c>
      <c r="G19" s="25">
        <v>0.5</v>
      </c>
      <c r="H19" s="25">
        <v>0.0</v>
      </c>
      <c r="I19" s="25">
        <v>0.0</v>
      </c>
      <c r="J19" s="25">
        <v>0.0</v>
      </c>
      <c r="K19" s="25">
        <v>0.0</v>
      </c>
      <c r="L19" s="25">
        <v>0.0</v>
      </c>
      <c r="M19" s="25">
        <v>0.0</v>
      </c>
      <c r="N19" s="25">
        <v>0.0</v>
      </c>
      <c r="O19" s="25">
        <v>0.0</v>
      </c>
      <c r="P19" s="25">
        <v>0.0</v>
      </c>
      <c r="Q19" s="25">
        <v>0.0</v>
      </c>
      <c r="R19" s="25">
        <v>0.5</v>
      </c>
      <c r="S19" s="25">
        <v>1.0</v>
      </c>
      <c r="T19" s="25">
        <v>1.0</v>
      </c>
      <c r="U19" s="25">
        <v>1.0</v>
      </c>
      <c r="V19" s="25">
        <v>1.0</v>
      </c>
      <c r="W19" s="25">
        <v>1.0</v>
      </c>
      <c r="X19" s="25">
        <v>0.5</v>
      </c>
      <c r="Y19" s="25">
        <v>0.0</v>
      </c>
      <c r="Z19" s="25">
        <v>0.0</v>
      </c>
      <c r="AA19" s="25">
        <v>0.0</v>
      </c>
      <c r="AB19" s="25">
        <v>0.0</v>
      </c>
      <c r="AC19" s="25">
        <v>0.0</v>
      </c>
      <c r="AD19" s="25">
        <v>0.0</v>
      </c>
      <c r="AE19" s="25">
        <v>0.0</v>
      </c>
      <c r="AF19" s="25">
        <v>0.0</v>
      </c>
      <c r="AG19" s="25">
        <v>0.0</v>
      </c>
      <c r="AH19" s="25">
        <v>0.0</v>
      </c>
      <c r="AI19" s="25">
        <v>0.0</v>
      </c>
      <c r="AJ19" s="25">
        <v>0.0</v>
      </c>
      <c r="AK19" s="25">
        <v>0.0</v>
      </c>
      <c r="AL19" s="25">
        <v>0.0</v>
      </c>
      <c r="AM19" s="25">
        <v>0.0</v>
      </c>
      <c r="AN19" s="25">
        <v>0.0</v>
      </c>
      <c r="AO19" s="25">
        <v>0.0</v>
      </c>
      <c r="AP19" s="25">
        <v>0.0</v>
      </c>
      <c r="AQ19" s="25">
        <v>0.0</v>
      </c>
      <c r="AR19" s="25">
        <v>0.5</v>
      </c>
      <c r="AS19" s="25">
        <v>1.0</v>
      </c>
      <c r="AT19" s="25">
        <v>1.0</v>
      </c>
      <c r="AU19" s="25">
        <v>1.0</v>
      </c>
      <c r="AV19" s="25">
        <v>1.0</v>
      </c>
      <c r="AW19" s="25">
        <v>1.0</v>
      </c>
      <c r="AX19" s="25">
        <v>1.0</v>
      </c>
      <c r="AY19" s="25">
        <v>1.0</v>
      </c>
      <c r="AZ19" s="25">
        <v>1.0</v>
      </c>
      <c r="BA19" s="25">
        <v>1.0</v>
      </c>
      <c r="BB19" s="25">
        <v>1.0</v>
      </c>
      <c r="BC19" s="25">
        <v>1.0</v>
      </c>
      <c r="BD19" s="25">
        <v>1.0</v>
      </c>
      <c r="BE19" s="25">
        <v>1.0</v>
      </c>
      <c r="BF19" s="25">
        <v>1.0</v>
      </c>
      <c r="BG19" s="25">
        <v>1.0</v>
      </c>
      <c r="BH19" s="25">
        <v>1.0</v>
      </c>
      <c r="BI19" s="25">
        <v>26.0</v>
      </c>
      <c r="BJ19" s="29"/>
      <c r="BK19" s="29"/>
      <c r="BL19" s="29"/>
      <c r="BM19" s="29"/>
      <c r="BN19" s="29"/>
    </row>
    <row r="20">
      <c r="A20" s="7">
        <v>8655973.0</v>
      </c>
      <c r="B20" s="23" t="s">
        <v>71</v>
      </c>
      <c r="C20" s="25" t="s">
        <v>94</v>
      </c>
      <c r="D20" s="25">
        <v>1.0</v>
      </c>
      <c r="E20" s="25">
        <v>1.0</v>
      </c>
      <c r="F20" s="25">
        <v>1.0</v>
      </c>
      <c r="G20" s="25">
        <v>1.0</v>
      </c>
      <c r="H20" s="25">
        <v>1.0</v>
      </c>
      <c r="I20" s="25">
        <v>1.0</v>
      </c>
      <c r="J20" s="25">
        <v>1.0</v>
      </c>
      <c r="K20" s="25">
        <v>1.0</v>
      </c>
      <c r="L20" s="25">
        <v>1.0</v>
      </c>
      <c r="M20" s="25">
        <v>1.0</v>
      </c>
      <c r="N20" s="25">
        <v>1.0</v>
      </c>
      <c r="O20" s="25">
        <v>1.0</v>
      </c>
      <c r="P20" s="25">
        <v>1.0</v>
      </c>
      <c r="Q20" s="25">
        <v>1.0</v>
      </c>
      <c r="R20" s="25">
        <v>1.0</v>
      </c>
      <c r="S20" s="25">
        <v>1.0</v>
      </c>
      <c r="T20" s="25">
        <v>1.0</v>
      </c>
      <c r="U20" s="25">
        <v>1.0</v>
      </c>
      <c r="V20" s="25">
        <v>1.0</v>
      </c>
      <c r="W20" s="25">
        <v>1.0</v>
      </c>
      <c r="X20" s="25">
        <v>1.0</v>
      </c>
      <c r="Y20" s="25">
        <v>1.0</v>
      </c>
      <c r="Z20" s="25">
        <v>1.0</v>
      </c>
      <c r="AA20" s="25">
        <v>1.0</v>
      </c>
      <c r="AB20" s="25">
        <v>1.0</v>
      </c>
      <c r="AC20" s="25">
        <v>1.0</v>
      </c>
      <c r="AD20" s="25">
        <v>1.0</v>
      </c>
      <c r="AE20" s="25">
        <v>1.0</v>
      </c>
      <c r="AF20" s="25">
        <v>1.0</v>
      </c>
      <c r="AG20" s="25">
        <v>1.0</v>
      </c>
      <c r="AH20" s="25">
        <v>1.0</v>
      </c>
      <c r="AI20" s="25">
        <v>1.0</v>
      </c>
      <c r="AJ20" s="25">
        <v>1.0</v>
      </c>
      <c r="AK20" s="25">
        <v>1.0</v>
      </c>
      <c r="AL20" s="25">
        <v>1.0</v>
      </c>
      <c r="AM20" s="25">
        <v>1.0</v>
      </c>
      <c r="AN20" s="25">
        <v>1.0</v>
      </c>
      <c r="AO20" s="25">
        <v>1.0</v>
      </c>
      <c r="AP20" s="25">
        <v>1.0</v>
      </c>
      <c r="AQ20" s="25">
        <v>1.0</v>
      </c>
      <c r="AR20" s="25">
        <v>1.0</v>
      </c>
      <c r="AS20" s="25">
        <v>1.0</v>
      </c>
      <c r="AT20" s="25">
        <v>1.0</v>
      </c>
      <c r="AU20" s="25">
        <v>1.0</v>
      </c>
      <c r="AV20" s="25">
        <v>1.0</v>
      </c>
      <c r="AW20" s="25">
        <v>1.0</v>
      </c>
      <c r="AX20" s="25">
        <v>1.0</v>
      </c>
      <c r="AY20" s="25">
        <v>1.0</v>
      </c>
      <c r="AZ20" s="25">
        <v>1.0</v>
      </c>
      <c r="BA20" s="25">
        <v>1.0</v>
      </c>
      <c r="BB20" s="25">
        <v>1.0</v>
      </c>
      <c r="BC20" s="25">
        <v>1.0</v>
      </c>
      <c r="BD20" s="25">
        <v>1.0</v>
      </c>
      <c r="BE20" s="25">
        <v>1.0</v>
      </c>
      <c r="BF20" s="25">
        <v>1.0</v>
      </c>
      <c r="BG20" s="25">
        <v>1.0</v>
      </c>
      <c r="BH20" s="25">
        <v>1.0</v>
      </c>
      <c r="BI20" s="25">
        <v>57.0</v>
      </c>
      <c r="BJ20" s="29"/>
      <c r="BK20" s="29"/>
      <c r="BL20" s="29"/>
      <c r="BM20" s="29"/>
      <c r="BN20" s="29"/>
    </row>
    <row r="21">
      <c r="A21" s="7">
        <v>4319295.0</v>
      </c>
      <c r="B21" s="23" t="s">
        <v>204</v>
      </c>
      <c r="C21" s="25" t="s">
        <v>94</v>
      </c>
      <c r="D21" s="25">
        <v>1.0</v>
      </c>
      <c r="E21" s="25">
        <v>1.0</v>
      </c>
      <c r="F21" s="25">
        <v>1.0</v>
      </c>
      <c r="G21" s="25">
        <v>1.0</v>
      </c>
      <c r="H21" s="25">
        <v>1.0</v>
      </c>
      <c r="I21" s="25">
        <v>1.0</v>
      </c>
      <c r="J21" s="25">
        <v>1.0</v>
      </c>
      <c r="K21" s="25">
        <v>1.0</v>
      </c>
      <c r="L21" s="25">
        <v>1.0</v>
      </c>
      <c r="M21" s="25">
        <v>1.0</v>
      </c>
      <c r="N21" s="25">
        <v>1.0</v>
      </c>
      <c r="O21" s="25">
        <v>1.0</v>
      </c>
      <c r="P21" s="25">
        <v>1.0</v>
      </c>
      <c r="Q21" s="25">
        <v>1.0</v>
      </c>
      <c r="R21" s="25">
        <v>1.0</v>
      </c>
      <c r="S21" s="25">
        <v>1.0</v>
      </c>
      <c r="T21" s="25">
        <v>1.0</v>
      </c>
      <c r="U21" s="25">
        <v>1.0</v>
      </c>
      <c r="V21" s="25">
        <v>1.0</v>
      </c>
      <c r="W21" s="25">
        <v>1.0</v>
      </c>
      <c r="X21" s="25">
        <v>1.0</v>
      </c>
      <c r="Y21" s="25">
        <v>1.0</v>
      </c>
      <c r="Z21" s="25">
        <v>1.0</v>
      </c>
      <c r="AA21" s="25">
        <v>1.0</v>
      </c>
      <c r="AB21" s="25">
        <v>1.0</v>
      </c>
      <c r="AC21" s="25">
        <v>1.0</v>
      </c>
      <c r="AD21" s="25">
        <v>1.0</v>
      </c>
      <c r="AE21" s="25">
        <v>1.0</v>
      </c>
      <c r="AF21" s="25">
        <v>1.0</v>
      </c>
      <c r="AG21" s="25">
        <v>1.0</v>
      </c>
      <c r="AH21" s="25">
        <v>1.0</v>
      </c>
      <c r="AI21" s="25">
        <v>1.0</v>
      </c>
      <c r="AJ21" s="25">
        <v>1.0</v>
      </c>
      <c r="AK21" s="25">
        <v>1.0</v>
      </c>
      <c r="AL21" s="25">
        <v>1.0</v>
      </c>
      <c r="AM21" s="25">
        <v>1.0</v>
      </c>
      <c r="AN21" s="25">
        <v>1.0</v>
      </c>
      <c r="AO21" s="25">
        <v>1.0</v>
      </c>
      <c r="AP21" s="25">
        <v>1.0</v>
      </c>
      <c r="AQ21" s="25">
        <v>1.0</v>
      </c>
      <c r="AR21" s="25">
        <v>1.0</v>
      </c>
      <c r="AS21" s="25">
        <v>1.0</v>
      </c>
      <c r="AT21" s="25">
        <v>1.0</v>
      </c>
      <c r="AU21" s="25">
        <v>1.0</v>
      </c>
      <c r="AV21" s="25">
        <v>1.0</v>
      </c>
      <c r="AW21" s="25">
        <v>1.0</v>
      </c>
      <c r="AX21" s="25">
        <v>1.0</v>
      </c>
      <c r="AY21" s="25">
        <v>1.0</v>
      </c>
      <c r="AZ21" s="25">
        <v>1.0</v>
      </c>
      <c r="BA21" s="25">
        <v>1.0</v>
      </c>
      <c r="BB21" s="25">
        <v>1.0</v>
      </c>
      <c r="BC21" s="25">
        <v>1.0</v>
      </c>
      <c r="BD21" s="25">
        <v>1.0</v>
      </c>
      <c r="BE21" s="25">
        <v>1.0</v>
      </c>
      <c r="BF21" s="25">
        <v>1.0</v>
      </c>
      <c r="BG21" s="25">
        <v>1.0</v>
      </c>
      <c r="BH21" s="25">
        <v>1.0</v>
      </c>
      <c r="BI21" s="25">
        <v>57.0</v>
      </c>
      <c r="BJ21" s="29"/>
      <c r="BK21" s="29"/>
      <c r="BL21" s="29"/>
      <c r="BM21" s="29"/>
      <c r="BN21" s="29"/>
    </row>
    <row r="22">
      <c r="A22" s="7">
        <v>7024334.0</v>
      </c>
      <c r="B22" s="23" t="s">
        <v>179</v>
      </c>
      <c r="C22" s="25" t="s">
        <v>94</v>
      </c>
      <c r="D22" s="25">
        <v>1.0</v>
      </c>
      <c r="E22" s="25">
        <v>1.0</v>
      </c>
      <c r="F22" s="25">
        <v>1.0</v>
      </c>
      <c r="G22" s="25">
        <v>1.0</v>
      </c>
      <c r="H22" s="25">
        <v>1.0</v>
      </c>
      <c r="I22" s="25">
        <v>0.5</v>
      </c>
      <c r="J22" s="25">
        <v>0.0</v>
      </c>
      <c r="K22" s="25">
        <v>0.0</v>
      </c>
      <c r="L22" s="25">
        <v>0.0</v>
      </c>
      <c r="M22" s="25">
        <v>0.0</v>
      </c>
      <c r="N22" s="25">
        <v>0.0</v>
      </c>
      <c r="O22" s="25">
        <v>0.0</v>
      </c>
      <c r="P22" s="25">
        <v>0.0</v>
      </c>
      <c r="Q22" s="25">
        <v>0.0</v>
      </c>
      <c r="R22" s="25">
        <v>0.0</v>
      </c>
      <c r="S22" s="25">
        <v>0.0</v>
      </c>
      <c r="T22" s="25">
        <v>0.0</v>
      </c>
      <c r="U22" s="25">
        <v>0.0</v>
      </c>
      <c r="V22" s="25">
        <v>0.5</v>
      </c>
      <c r="W22" s="25">
        <v>1.0</v>
      </c>
      <c r="X22" s="25">
        <v>1.0</v>
      </c>
      <c r="Y22" s="25">
        <v>1.0</v>
      </c>
      <c r="Z22" s="25">
        <v>1.0</v>
      </c>
      <c r="AA22" s="25">
        <v>1.0</v>
      </c>
      <c r="AB22" s="25">
        <v>1.0</v>
      </c>
      <c r="AC22" s="25">
        <v>1.0</v>
      </c>
      <c r="AD22" s="25">
        <v>1.0</v>
      </c>
      <c r="AE22" s="25">
        <v>1.0</v>
      </c>
      <c r="AF22" s="25">
        <v>1.0</v>
      </c>
      <c r="AG22" s="25">
        <v>1.0</v>
      </c>
      <c r="AH22" s="25">
        <v>1.0</v>
      </c>
      <c r="AI22" s="25">
        <v>1.0</v>
      </c>
      <c r="AJ22" s="25">
        <v>1.0</v>
      </c>
      <c r="AK22" s="25">
        <v>1.0</v>
      </c>
      <c r="AL22" s="25">
        <v>1.0</v>
      </c>
      <c r="AM22" s="25">
        <v>1.0</v>
      </c>
      <c r="AN22" s="25">
        <v>1.0</v>
      </c>
      <c r="AO22" s="25">
        <v>1.0</v>
      </c>
      <c r="AP22" s="25">
        <v>1.0</v>
      </c>
      <c r="AQ22" s="25">
        <v>1.0</v>
      </c>
      <c r="AR22" s="25">
        <v>1.0</v>
      </c>
      <c r="AS22" s="25">
        <v>1.0</v>
      </c>
      <c r="AT22" s="25">
        <v>1.0</v>
      </c>
      <c r="AU22" s="25">
        <v>1.0</v>
      </c>
      <c r="AV22" s="25">
        <v>1.0</v>
      </c>
      <c r="AW22" s="25">
        <v>1.0</v>
      </c>
      <c r="AX22" s="25">
        <v>1.0</v>
      </c>
      <c r="AY22" s="25">
        <v>1.0</v>
      </c>
      <c r="AZ22" s="25">
        <v>1.0</v>
      </c>
      <c r="BA22" s="25">
        <v>1.0</v>
      </c>
      <c r="BB22" s="25">
        <v>1.0</v>
      </c>
      <c r="BC22" s="25">
        <v>1.0</v>
      </c>
      <c r="BD22" s="25">
        <v>1.0</v>
      </c>
      <c r="BE22" s="25">
        <v>1.0</v>
      </c>
      <c r="BF22" s="25">
        <v>1.0</v>
      </c>
      <c r="BG22" s="25">
        <v>1.0</v>
      </c>
      <c r="BH22" s="25">
        <v>1.0</v>
      </c>
      <c r="BI22" s="25">
        <v>44.0</v>
      </c>
      <c r="BJ22" s="29"/>
      <c r="BK22" s="29"/>
      <c r="BL22" s="29"/>
      <c r="BM22" s="29"/>
      <c r="BN22" s="29"/>
    </row>
    <row r="23">
      <c r="A23" s="7">
        <v>5126913.0</v>
      </c>
      <c r="B23" s="23" t="s">
        <v>68</v>
      </c>
      <c r="C23" s="25" t="s">
        <v>94</v>
      </c>
      <c r="D23" s="25">
        <v>1.0</v>
      </c>
      <c r="E23" s="25">
        <v>1.0</v>
      </c>
      <c r="F23" s="25">
        <v>1.0</v>
      </c>
      <c r="G23" s="25">
        <v>1.0</v>
      </c>
      <c r="H23" s="25">
        <v>1.0</v>
      </c>
      <c r="I23" s="25">
        <v>1.0</v>
      </c>
      <c r="J23" s="25">
        <v>1.0</v>
      </c>
      <c r="K23" s="25">
        <v>0.5</v>
      </c>
      <c r="L23" s="25">
        <v>0.0</v>
      </c>
      <c r="M23" s="25">
        <v>0.0</v>
      </c>
      <c r="N23" s="25">
        <v>0.0</v>
      </c>
      <c r="O23" s="25">
        <v>0.0</v>
      </c>
      <c r="P23" s="25">
        <v>0.0</v>
      </c>
      <c r="Q23" s="25">
        <v>0.0</v>
      </c>
      <c r="R23" s="25">
        <v>0.0</v>
      </c>
      <c r="S23" s="25">
        <v>0.5</v>
      </c>
      <c r="T23" s="25">
        <v>1.0</v>
      </c>
      <c r="U23" s="25">
        <v>1.0</v>
      </c>
      <c r="V23" s="25">
        <v>1.0</v>
      </c>
      <c r="W23" s="25">
        <v>1.0</v>
      </c>
      <c r="X23" s="25">
        <v>1.0</v>
      </c>
      <c r="Y23" s="25">
        <v>1.0</v>
      </c>
      <c r="Z23" s="25">
        <v>1.0</v>
      </c>
      <c r="AA23" s="25">
        <v>0.5</v>
      </c>
      <c r="AB23" s="25">
        <v>0.0</v>
      </c>
      <c r="AC23" s="25">
        <v>0.0</v>
      </c>
      <c r="AD23" s="25">
        <v>0.0</v>
      </c>
      <c r="AE23" s="25">
        <v>0.0</v>
      </c>
      <c r="AF23" s="25">
        <v>0.0</v>
      </c>
      <c r="AG23" s="25">
        <v>0.0</v>
      </c>
      <c r="AH23" s="25">
        <v>0.5</v>
      </c>
      <c r="AI23" s="25">
        <v>0.5</v>
      </c>
      <c r="AJ23" s="25">
        <v>0.0</v>
      </c>
      <c r="AK23" s="25">
        <v>0.0</v>
      </c>
      <c r="AL23" s="25">
        <v>0.0</v>
      </c>
      <c r="AM23" s="25">
        <v>0.0</v>
      </c>
      <c r="AN23" s="25">
        <v>0.0</v>
      </c>
      <c r="AO23" s="25">
        <v>0.0</v>
      </c>
      <c r="AP23" s="25">
        <v>0.5</v>
      </c>
      <c r="AQ23" s="25">
        <v>1.0</v>
      </c>
      <c r="AR23" s="25">
        <v>1.0</v>
      </c>
      <c r="AS23" s="25">
        <v>1.0</v>
      </c>
      <c r="AT23" s="25">
        <v>1.0</v>
      </c>
      <c r="AU23" s="25">
        <v>1.0</v>
      </c>
      <c r="AV23" s="25">
        <v>1.0</v>
      </c>
      <c r="AW23" s="25">
        <v>1.0</v>
      </c>
      <c r="AX23" s="25">
        <v>1.0</v>
      </c>
      <c r="AY23" s="25">
        <v>1.0</v>
      </c>
      <c r="AZ23" s="25">
        <v>1.0</v>
      </c>
      <c r="BA23" s="25">
        <v>1.0</v>
      </c>
      <c r="BB23" s="25">
        <v>1.0</v>
      </c>
      <c r="BC23" s="25">
        <v>1.0</v>
      </c>
      <c r="BD23" s="25">
        <v>1.0</v>
      </c>
      <c r="BE23" s="25">
        <v>1.0</v>
      </c>
      <c r="BF23" s="25">
        <v>1.0</v>
      </c>
      <c r="BG23" s="25">
        <v>1.0</v>
      </c>
      <c r="BH23" s="25">
        <v>1.0</v>
      </c>
      <c r="BI23" s="25">
        <v>35.0</v>
      </c>
      <c r="BJ23" s="29"/>
      <c r="BK23" s="29"/>
      <c r="BL23" s="29"/>
      <c r="BM23" s="29"/>
      <c r="BN23" s="29"/>
    </row>
    <row r="24">
      <c r="A24" s="7">
        <v>5821173.0</v>
      </c>
      <c r="B24" s="23" t="s">
        <v>221</v>
      </c>
      <c r="C24" s="25" t="s">
        <v>94</v>
      </c>
      <c r="D24" s="25">
        <v>1.0</v>
      </c>
      <c r="E24" s="25">
        <v>1.0</v>
      </c>
      <c r="F24" s="25">
        <v>1.0</v>
      </c>
      <c r="G24" s="25">
        <v>1.0</v>
      </c>
      <c r="H24" s="25">
        <v>1.0</v>
      </c>
      <c r="I24" s="25">
        <v>1.0</v>
      </c>
      <c r="J24" s="25">
        <v>1.0</v>
      </c>
      <c r="K24" s="25">
        <v>1.0</v>
      </c>
      <c r="L24" s="25">
        <v>1.0</v>
      </c>
      <c r="M24" s="25">
        <v>1.0</v>
      </c>
      <c r="N24" s="25">
        <v>1.0</v>
      </c>
      <c r="O24" s="25">
        <v>1.0</v>
      </c>
      <c r="P24" s="25">
        <v>1.0</v>
      </c>
      <c r="Q24" s="25">
        <v>1.0</v>
      </c>
      <c r="R24" s="25">
        <v>1.0</v>
      </c>
      <c r="S24" s="25">
        <v>1.0</v>
      </c>
      <c r="T24" s="25">
        <v>1.0</v>
      </c>
      <c r="U24" s="25">
        <v>1.0</v>
      </c>
      <c r="V24" s="25">
        <v>1.0</v>
      </c>
      <c r="W24" s="25">
        <v>1.0</v>
      </c>
      <c r="X24" s="25">
        <v>1.0</v>
      </c>
      <c r="Y24" s="25">
        <v>1.0</v>
      </c>
      <c r="Z24" s="25">
        <v>1.0</v>
      </c>
      <c r="AA24" s="25">
        <v>1.0</v>
      </c>
      <c r="AB24" s="25">
        <v>1.0</v>
      </c>
      <c r="AC24" s="25">
        <v>1.0</v>
      </c>
      <c r="AD24" s="25">
        <v>1.0</v>
      </c>
      <c r="AE24" s="25">
        <v>1.0</v>
      </c>
      <c r="AF24" s="25">
        <v>1.0</v>
      </c>
      <c r="AG24" s="25">
        <v>1.0</v>
      </c>
      <c r="AH24" s="25">
        <v>1.0</v>
      </c>
      <c r="AI24" s="25">
        <v>1.0</v>
      </c>
      <c r="AJ24" s="25">
        <v>1.0</v>
      </c>
      <c r="AK24" s="25">
        <v>1.0</v>
      </c>
      <c r="AL24" s="25">
        <v>1.0</v>
      </c>
      <c r="AM24" s="25">
        <v>1.0</v>
      </c>
      <c r="AN24" s="25">
        <v>1.0</v>
      </c>
      <c r="AO24" s="25">
        <v>1.0</v>
      </c>
      <c r="AP24" s="25">
        <v>1.0</v>
      </c>
      <c r="AQ24" s="25">
        <v>1.0</v>
      </c>
      <c r="AR24" s="25">
        <v>1.0</v>
      </c>
      <c r="AS24" s="25">
        <v>1.0</v>
      </c>
      <c r="AT24" s="25">
        <v>1.0</v>
      </c>
      <c r="AU24" s="25">
        <v>1.0</v>
      </c>
      <c r="AV24" s="25">
        <v>1.0</v>
      </c>
      <c r="AW24" s="25">
        <v>1.0</v>
      </c>
      <c r="AX24" s="25">
        <v>1.0</v>
      </c>
      <c r="AY24" s="25">
        <v>1.0</v>
      </c>
      <c r="AZ24" s="25">
        <v>1.0</v>
      </c>
      <c r="BA24" s="25">
        <v>1.0</v>
      </c>
      <c r="BB24" s="25">
        <v>1.0</v>
      </c>
      <c r="BC24" s="25">
        <v>1.0</v>
      </c>
      <c r="BD24" s="25">
        <v>1.0</v>
      </c>
      <c r="BE24" s="25">
        <v>1.0</v>
      </c>
      <c r="BF24" s="25">
        <v>1.0</v>
      </c>
      <c r="BG24" s="25">
        <v>1.0</v>
      </c>
      <c r="BH24" s="25">
        <v>1.0</v>
      </c>
      <c r="BI24" s="25">
        <v>57.0</v>
      </c>
      <c r="BJ24" s="29"/>
      <c r="BK24" s="29"/>
      <c r="BL24" s="29"/>
      <c r="BM24" s="29"/>
      <c r="BN24" s="29"/>
    </row>
    <row r="25">
      <c r="A25" s="7">
        <v>6392386.0</v>
      </c>
      <c r="B25" s="23" t="s">
        <v>229</v>
      </c>
      <c r="C25" s="25" t="s">
        <v>94</v>
      </c>
      <c r="D25" s="25">
        <v>1.0</v>
      </c>
      <c r="E25" s="25">
        <v>1.0</v>
      </c>
      <c r="F25" s="25">
        <v>1.0</v>
      </c>
      <c r="G25" s="25">
        <v>1.0</v>
      </c>
      <c r="H25" s="25">
        <v>1.0</v>
      </c>
      <c r="I25" s="25">
        <v>1.0</v>
      </c>
      <c r="J25" s="25">
        <v>0.5</v>
      </c>
      <c r="K25" s="25">
        <v>0.0</v>
      </c>
      <c r="L25" s="25">
        <v>0.5</v>
      </c>
      <c r="M25" s="25">
        <v>0.5</v>
      </c>
      <c r="N25" s="25">
        <v>0.0</v>
      </c>
      <c r="O25" s="25">
        <v>0.5</v>
      </c>
      <c r="P25" s="25">
        <v>1.0</v>
      </c>
      <c r="Q25" s="25">
        <v>1.0</v>
      </c>
      <c r="R25" s="25">
        <v>1.0</v>
      </c>
      <c r="S25" s="25">
        <v>1.0</v>
      </c>
      <c r="T25" s="25">
        <v>1.0</v>
      </c>
      <c r="U25" s="25">
        <v>1.0</v>
      </c>
      <c r="V25" s="25">
        <v>1.0</v>
      </c>
      <c r="W25" s="25">
        <v>1.0</v>
      </c>
      <c r="X25" s="25">
        <v>1.0</v>
      </c>
      <c r="Y25" s="25">
        <v>1.0</v>
      </c>
      <c r="Z25" s="25">
        <v>1.0</v>
      </c>
      <c r="AA25" s="25">
        <v>1.0</v>
      </c>
      <c r="AB25" s="25">
        <v>1.0</v>
      </c>
      <c r="AC25" s="25">
        <v>1.0</v>
      </c>
      <c r="AD25" s="25">
        <v>1.0</v>
      </c>
      <c r="AE25" s="25">
        <v>1.0</v>
      </c>
      <c r="AF25" s="25">
        <v>1.0</v>
      </c>
      <c r="AG25" s="25">
        <v>1.0</v>
      </c>
      <c r="AH25" s="25">
        <v>1.0</v>
      </c>
      <c r="AI25" s="25">
        <v>1.0</v>
      </c>
      <c r="AJ25" s="25">
        <v>1.0</v>
      </c>
      <c r="AK25" s="25">
        <v>1.0</v>
      </c>
      <c r="AL25" s="25">
        <v>1.0</v>
      </c>
      <c r="AM25" s="25">
        <v>1.0</v>
      </c>
      <c r="AN25" s="25">
        <v>1.0</v>
      </c>
      <c r="AO25" s="25">
        <v>1.0</v>
      </c>
      <c r="AP25" s="25">
        <v>1.0</v>
      </c>
      <c r="AQ25" s="25">
        <v>1.0</v>
      </c>
      <c r="AR25" s="25">
        <v>1.0</v>
      </c>
      <c r="AS25" s="25">
        <v>1.0</v>
      </c>
      <c r="AT25" s="25">
        <v>1.0</v>
      </c>
      <c r="AU25" s="25">
        <v>1.0</v>
      </c>
      <c r="AV25" s="25">
        <v>1.0</v>
      </c>
      <c r="AW25" s="25">
        <v>1.0</v>
      </c>
      <c r="AX25" s="25">
        <v>1.0</v>
      </c>
      <c r="AY25" s="25">
        <v>1.0</v>
      </c>
      <c r="AZ25" s="25">
        <v>1.0</v>
      </c>
      <c r="BA25" s="25">
        <v>1.0</v>
      </c>
      <c r="BB25" s="25">
        <v>1.0</v>
      </c>
      <c r="BC25" s="25">
        <v>1.0</v>
      </c>
      <c r="BD25" s="25">
        <v>1.0</v>
      </c>
      <c r="BE25" s="25">
        <v>1.0</v>
      </c>
      <c r="BF25" s="25">
        <v>1.0</v>
      </c>
      <c r="BG25" s="25">
        <v>1.0</v>
      </c>
      <c r="BH25" s="25">
        <v>1.0</v>
      </c>
      <c r="BI25" s="25">
        <v>53.0</v>
      </c>
      <c r="BJ25" s="29"/>
      <c r="BK25" s="29"/>
      <c r="BL25" s="29"/>
      <c r="BM25" s="29"/>
      <c r="BN25" s="29"/>
    </row>
    <row r="26">
      <c r="A26" s="7">
        <v>6977337.0</v>
      </c>
      <c r="B26" s="23" t="s">
        <v>203</v>
      </c>
      <c r="C26" s="25" t="s">
        <v>94</v>
      </c>
      <c r="D26" s="25">
        <v>1.0</v>
      </c>
      <c r="E26" s="25">
        <v>1.0</v>
      </c>
      <c r="F26" s="25">
        <v>1.0</v>
      </c>
      <c r="G26" s="25">
        <v>1.0</v>
      </c>
      <c r="H26" s="25">
        <v>1.0</v>
      </c>
      <c r="I26" s="25">
        <v>1.0</v>
      </c>
      <c r="J26" s="25">
        <v>1.0</v>
      </c>
      <c r="K26" s="25">
        <v>1.0</v>
      </c>
      <c r="L26" s="25">
        <v>1.0</v>
      </c>
      <c r="M26" s="25">
        <v>1.0</v>
      </c>
      <c r="N26" s="25">
        <v>1.0</v>
      </c>
      <c r="O26" s="25">
        <v>1.0</v>
      </c>
      <c r="P26" s="25">
        <v>1.0</v>
      </c>
      <c r="Q26" s="25">
        <v>1.0</v>
      </c>
      <c r="R26" s="25">
        <v>1.0</v>
      </c>
      <c r="S26" s="25">
        <v>1.0</v>
      </c>
      <c r="T26" s="25">
        <v>1.0</v>
      </c>
      <c r="U26" s="25">
        <v>1.0</v>
      </c>
      <c r="V26" s="25">
        <v>1.0</v>
      </c>
      <c r="W26" s="25">
        <v>1.0</v>
      </c>
      <c r="X26" s="25">
        <v>1.0</v>
      </c>
      <c r="Y26" s="25">
        <v>1.0</v>
      </c>
      <c r="Z26" s="25">
        <v>1.0</v>
      </c>
      <c r="AA26" s="25">
        <v>1.0</v>
      </c>
      <c r="AB26" s="25">
        <v>1.0</v>
      </c>
      <c r="AC26" s="25">
        <v>1.0</v>
      </c>
      <c r="AD26" s="25">
        <v>1.0</v>
      </c>
      <c r="AE26" s="25">
        <v>0.5</v>
      </c>
      <c r="AF26" s="25">
        <v>0.0</v>
      </c>
      <c r="AG26" s="25">
        <v>0.0</v>
      </c>
      <c r="AH26" s="25">
        <v>0.0</v>
      </c>
      <c r="AI26" s="25">
        <v>0.0</v>
      </c>
      <c r="AJ26" s="25">
        <v>0.0</v>
      </c>
      <c r="AK26" s="25">
        <v>0.0</v>
      </c>
      <c r="AL26" s="25">
        <v>0.0</v>
      </c>
      <c r="AM26" s="25">
        <v>0.0</v>
      </c>
      <c r="AN26" s="25">
        <v>0.0</v>
      </c>
      <c r="AO26" s="25">
        <v>0.0</v>
      </c>
      <c r="AP26" s="25">
        <v>0.0</v>
      </c>
      <c r="AQ26" s="25">
        <v>0.0</v>
      </c>
      <c r="AR26" s="25">
        <v>0.5</v>
      </c>
      <c r="AS26" s="25">
        <v>1.0</v>
      </c>
      <c r="AT26" s="25">
        <v>1.0</v>
      </c>
      <c r="AU26" s="25">
        <v>1.0</v>
      </c>
      <c r="AV26" s="25">
        <v>1.0</v>
      </c>
      <c r="AW26" s="25">
        <v>1.0</v>
      </c>
      <c r="AX26" s="25">
        <v>1.0</v>
      </c>
      <c r="AY26" s="25">
        <v>1.0</v>
      </c>
      <c r="AZ26" s="25">
        <v>1.0</v>
      </c>
      <c r="BA26" s="25">
        <v>1.0</v>
      </c>
      <c r="BB26" s="25">
        <v>1.0</v>
      </c>
      <c r="BC26" s="25">
        <v>1.0</v>
      </c>
      <c r="BD26" s="25">
        <v>1.0</v>
      </c>
      <c r="BE26" s="25">
        <v>1.0</v>
      </c>
      <c r="BF26" s="25">
        <v>1.0</v>
      </c>
      <c r="BG26" s="25">
        <v>1.0</v>
      </c>
      <c r="BH26" s="25">
        <v>1.0</v>
      </c>
      <c r="BI26" s="25">
        <v>44.0</v>
      </c>
      <c r="BJ26" s="29"/>
      <c r="BK26" s="29"/>
      <c r="BL26" s="29"/>
      <c r="BM26" s="29"/>
      <c r="BN26" s="29"/>
    </row>
    <row r="27">
      <c r="A27" s="7">
        <v>7236705.0</v>
      </c>
      <c r="B27" s="23" t="s">
        <v>243</v>
      </c>
      <c r="C27" s="25" t="s">
        <v>112</v>
      </c>
      <c r="D27" s="25">
        <v>1.0</v>
      </c>
      <c r="E27" s="25">
        <v>1.0</v>
      </c>
      <c r="F27" s="25">
        <v>1.0</v>
      </c>
      <c r="G27" s="25">
        <v>1.0</v>
      </c>
      <c r="H27" s="25">
        <v>1.0</v>
      </c>
      <c r="I27" s="25">
        <v>1.0</v>
      </c>
      <c r="J27" s="25">
        <v>1.0</v>
      </c>
      <c r="K27" s="25">
        <v>1.0</v>
      </c>
      <c r="L27" s="25">
        <v>1.0</v>
      </c>
      <c r="M27" s="25">
        <v>1.0</v>
      </c>
      <c r="N27" s="25">
        <v>1.0</v>
      </c>
      <c r="O27" s="25">
        <v>1.0</v>
      </c>
      <c r="P27" s="25">
        <v>1.0</v>
      </c>
      <c r="Q27" s="25">
        <v>1.0</v>
      </c>
      <c r="R27" s="25">
        <v>1.0</v>
      </c>
      <c r="S27" s="25">
        <v>1.0</v>
      </c>
      <c r="T27" s="25">
        <v>1.0</v>
      </c>
      <c r="U27" s="25">
        <v>1.0</v>
      </c>
      <c r="V27" s="25">
        <v>1.0</v>
      </c>
      <c r="W27" s="25">
        <v>1.0</v>
      </c>
      <c r="X27" s="25">
        <v>1.0</v>
      </c>
      <c r="Y27" s="25">
        <v>1.0</v>
      </c>
      <c r="Z27" s="25">
        <v>1.0</v>
      </c>
      <c r="AA27" s="25">
        <v>1.0</v>
      </c>
      <c r="AB27" s="25">
        <v>1.0</v>
      </c>
      <c r="AC27" s="25">
        <v>1.0</v>
      </c>
      <c r="AD27" s="25">
        <v>1.0</v>
      </c>
      <c r="AE27" s="25">
        <v>1.0</v>
      </c>
      <c r="AF27" s="25">
        <v>1.0</v>
      </c>
      <c r="AG27" s="25">
        <v>1.0</v>
      </c>
      <c r="AH27" s="25">
        <v>1.0</v>
      </c>
      <c r="AI27" s="25">
        <v>1.0</v>
      </c>
      <c r="AJ27" s="25">
        <v>1.0</v>
      </c>
      <c r="AK27" s="25">
        <v>1.0</v>
      </c>
      <c r="AL27" s="25">
        <v>0.5</v>
      </c>
      <c r="AM27" s="25">
        <v>0.0</v>
      </c>
      <c r="AN27" s="25">
        <v>0.0</v>
      </c>
      <c r="AO27" s="25">
        <v>0.0</v>
      </c>
      <c r="AP27" s="25">
        <v>0.0</v>
      </c>
      <c r="AQ27" s="25">
        <v>0.0</v>
      </c>
      <c r="AR27" s="25">
        <v>0.5</v>
      </c>
      <c r="AS27" s="25">
        <v>1.0</v>
      </c>
      <c r="AT27" s="25">
        <v>1.0</v>
      </c>
      <c r="AU27" s="25">
        <v>1.0</v>
      </c>
      <c r="AV27" s="25">
        <v>1.0</v>
      </c>
      <c r="AW27" s="25">
        <v>0.5</v>
      </c>
      <c r="AX27" s="25">
        <v>0.0</v>
      </c>
      <c r="AY27" s="25">
        <v>0.0</v>
      </c>
      <c r="AZ27" s="25">
        <v>0.0</v>
      </c>
      <c r="BA27" s="25">
        <v>0.0</v>
      </c>
      <c r="BB27" s="25">
        <v>0.0</v>
      </c>
      <c r="BC27" s="25">
        <v>0.5</v>
      </c>
      <c r="BD27" s="25">
        <v>1.0</v>
      </c>
      <c r="BE27" s="25">
        <v>1.0</v>
      </c>
      <c r="BF27" s="25">
        <v>1.0</v>
      </c>
      <c r="BG27" s="25">
        <v>1.0</v>
      </c>
      <c r="BH27" s="25">
        <v>1.0</v>
      </c>
      <c r="BI27" s="25">
        <v>45.0</v>
      </c>
      <c r="BJ27" s="29"/>
      <c r="BK27" s="29"/>
      <c r="BL27" s="29"/>
      <c r="BM27" s="29"/>
      <c r="BN27" s="29"/>
    </row>
    <row r="28">
      <c r="A28" s="7">
        <v>5785566.0</v>
      </c>
      <c r="B28" s="23" t="s">
        <v>59</v>
      </c>
      <c r="C28" s="25" t="s">
        <v>87</v>
      </c>
      <c r="D28" s="25">
        <v>1.0</v>
      </c>
      <c r="E28" s="25">
        <v>1.0</v>
      </c>
      <c r="F28" s="25">
        <v>1.0</v>
      </c>
      <c r="G28" s="25">
        <v>1.0</v>
      </c>
      <c r="H28" s="25">
        <v>1.0</v>
      </c>
      <c r="I28" s="25">
        <v>1.0</v>
      </c>
      <c r="J28" s="25">
        <v>1.0</v>
      </c>
      <c r="K28" s="25">
        <v>1.0</v>
      </c>
      <c r="L28" s="25">
        <v>1.0</v>
      </c>
      <c r="M28" s="25">
        <v>1.0</v>
      </c>
      <c r="N28" s="25">
        <v>1.0</v>
      </c>
      <c r="O28" s="25">
        <v>1.0</v>
      </c>
      <c r="P28" s="25">
        <v>1.0</v>
      </c>
      <c r="Q28" s="25">
        <v>1.0</v>
      </c>
      <c r="R28" s="25">
        <v>1.0</v>
      </c>
      <c r="S28" s="25">
        <v>1.0</v>
      </c>
      <c r="T28" s="25">
        <v>1.0</v>
      </c>
      <c r="U28" s="25">
        <v>1.0</v>
      </c>
      <c r="V28" s="25">
        <v>1.0</v>
      </c>
      <c r="W28" s="25">
        <v>1.0</v>
      </c>
      <c r="X28" s="25">
        <v>1.0</v>
      </c>
      <c r="Y28" s="25">
        <v>1.0</v>
      </c>
      <c r="Z28" s="25">
        <v>1.0</v>
      </c>
      <c r="AA28" s="25">
        <v>1.0</v>
      </c>
      <c r="AB28" s="25">
        <v>1.0</v>
      </c>
      <c r="AC28" s="25">
        <v>1.0</v>
      </c>
      <c r="AD28" s="25">
        <v>1.0</v>
      </c>
      <c r="AE28" s="25">
        <v>1.0</v>
      </c>
      <c r="AF28" s="25">
        <v>1.0</v>
      </c>
      <c r="AG28" s="25">
        <v>1.0</v>
      </c>
      <c r="AH28" s="25">
        <v>1.0</v>
      </c>
      <c r="AI28" s="25">
        <v>1.0</v>
      </c>
      <c r="AJ28" s="25">
        <v>1.0</v>
      </c>
      <c r="AK28" s="25">
        <v>1.0</v>
      </c>
      <c r="AL28" s="25">
        <v>1.0</v>
      </c>
      <c r="AM28" s="25">
        <v>1.0</v>
      </c>
      <c r="AN28" s="25">
        <v>1.0</v>
      </c>
      <c r="AO28" s="25">
        <v>1.0</v>
      </c>
      <c r="AP28" s="25">
        <v>1.0</v>
      </c>
      <c r="AQ28" s="25">
        <v>1.0</v>
      </c>
      <c r="AR28" s="25">
        <v>1.0</v>
      </c>
      <c r="AS28" s="25">
        <v>1.0</v>
      </c>
      <c r="AT28" s="25">
        <v>1.0</v>
      </c>
      <c r="AU28" s="25">
        <v>1.0</v>
      </c>
      <c r="AV28" s="25">
        <v>1.0</v>
      </c>
      <c r="AW28" s="25">
        <v>1.0</v>
      </c>
      <c r="AX28" s="25">
        <v>1.0</v>
      </c>
      <c r="AY28" s="25">
        <v>1.0</v>
      </c>
      <c r="AZ28" s="25">
        <v>1.0</v>
      </c>
      <c r="BA28" s="25">
        <v>1.0</v>
      </c>
      <c r="BB28" s="25">
        <v>1.0</v>
      </c>
      <c r="BC28" s="25">
        <v>1.0</v>
      </c>
      <c r="BD28" s="25">
        <v>1.0</v>
      </c>
      <c r="BE28" s="25">
        <v>1.0</v>
      </c>
      <c r="BF28" s="25">
        <v>1.0</v>
      </c>
      <c r="BG28" s="25">
        <v>1.0</v>
      </c>
      <c r="BH28" s="25">
        <v>1.0</v>
      </c>
      <c r="BI28" s="25">
        <v>57.0</v>
      </c>
      <c r="BJ28" s="29"/>
      <c r="BK28" s="29"/>
      <c r="BL28" s="29"/>
      <c r="BM28" s="29"/>
      <c r="BN28" s="29"/>
    </row>
    <row r="29">
      <c r="A29" s="7">
        <v>3782633.0</v>
      </c>
      <c r="B29" s="23" t="s">
        <v>207</v>
      </c>
      <c r="C29" s="25" t="s">
        <v>94</v>
      </c>
      <c r="D29" s="25">
        <v>1.0</v>
      </c>
      <c r="E29" s="25">
        <v>1.0</v>
      </c>
      <c r="F29" s="25">
        <v>1.0</v>
      </c>
      <c r="G29" s="25">
        <v>1.0</v>
      </c>
      <c r="H29" s="25">
        <v>1.0</v>
      </c>
      <c r="I29" s="25">
        <v>1.0</v>
      </c>
      <c r="J29" s="25">
        <v>1.0</v>
      </c>
      <c r="K29" s="25">
        <v>1.0</v>
      </c>
      <c r="L29" s="25">
        <v>0.5</v>
      </c>
      <c r="M29" s="25">
        <v>0.0</v>
      </c>
      <c r="N29" s="25">
        <v>0.0</v>
      </c>
      <c r="O29" s="25">
        <v>0.0</v>
      </c>
      <c r="P29" s="25">
        <v>0.0</v>
      </c>
      <c r="Q29" s="25">
        <v>0.0</v>
      </c>
      <c r="R29" s="25">
        <v>0.0</v>
      </c>
      <c r="S29" s="25">
        <v>0.5</v>
      </c>
      <c r="T29" s="25">
        <v>1.0</v>
      </c>
      <c r="U29" s="25">
        <v>1.0</v>
      </c>
      <c r="V29" s="25">
        <v>1.0</v>
      </c>
      <c r="W29" s="25">
        <v>1.0</v>
      </c>
      <c r="X29" s="25">
        <v>1.0</v>
      </c>
      <c r="Y29" s="25">
        <v>1.0</v>
      </c>
      <c r="Z29" s="25">
        <v>1.0</v>
      </c>
      <c r="AA29" s="25">
        <v>1.0</v>
      </c>
      <c r="AB29" s="25">
        <v>1.0</v>
      </c>
      <c r="AC29" s="25">
        <v>1.0</v>
      </c>
      <c r="AD29" s="25">
        <v>1.0</v>
      </c>
      <c r="AE29" s="25">
        <v>1.0</v>
      </c>
      <c r="AF29" s="25">
        <v>1.0</v>
      </c>
      <c r="AG29" s="25">
        <v>1.0</v>
      </c>
      <c r="AH29" s="25">
        <v>1.0</v>
      </c>
      <c r="AI29" s="25">
        <v>1.0</v>
      </c>
      <c r="AJ29" s="25">
        <v>1.0</v>
      </c>
      <c r="AK29" s="25">
        <v>1.0</v>
      </c>
      <c r="AL29" s="25">
        <v>1.0</v>
      </c>
      <c r="AM29" s="25">
        <v>1.0</v>
      </c>
      <c r="AN29" s="25">
        <v>1.0</v>
      </c>
      <c r="AO29" s="25">
        <v>1.0</v>
      </c>
      <c r="AP29" s="25">
        <v>1.0</v>
      </c>
      <c r="AQ29" s="25">
        <v>1.0</v>
      </c>
      <c r="AR29" s="25">
        <v>1.0</v>
      </c>
      <c r="AS29" s="25">
        <v>1.0</v>
      </c>
      <c r="AT29" s="25">
        <v>1.0</v>
      </c>
      <c r="AU29" s="25">
        <v>1.0</v>
      </c>
      <c r="AV29" s="25">
        <v>1.0</v>
      </c>
      <c r="AW29" s="25">
        <v>1.0</v>
      </c>
      <c r="AX29" s="25">
        <v>1.0</v>
      </c>
      <c r="AY29" s="25">
        <v>1.0</v>
      </c>
      <c r="AZ29" s="25">
        <v>1.0</v>
      </c>
      <c r="BA29" s="25">
        <v>1.0</v>
      </c>
      <c r="BB29" s="25">
        <v>1.0</v>
      </c>
      <c r="BC29" s="25">
        <v>1.0</v>
      </c>
      <c r="BD29" s="25">
        <v>1.0</v>
      </c>
      <c r="BE29" s="25">
        <v>1.0</v>
      </c>
      <c r="BF29" s="25">
        <v>1.0</v>
      </c>
      <c r="BG29" s="25">
        <v>1.0</v>
      </c>
      <c r="BH29" s="25">
        <v>1.0</v>
      </c>
      <c r="BI29" s="25">
        <v>50.0</v>
      </c>
      <c r="BJ29" s="29"/>
      <c r="BK29" s="29"/>
      <c r="BL29" s="29"/>
      <c r="BM29" s="29"/>
      <c r="BN29" s="29"/>
    </row>
    <row r="30">
      <c r="A30" s="7">
        <v>5895057.0</v>
      </c>
      <c r="B30" s="23" t="s">
        <v>263</v>
      </c>
      <c r="C30" s="25" t="s">
        <v>94</v>
      </c>
      <c r="D30" s="25">
        <v>1.0</v>
      </c>
      <c r="E30" s="25">
        <v>1.0</v>
      </c>
      <c r="F30" s="25">
        <v>1.0</v>
      </c>
      <c r="G30" s="25">
        <v>1.0</v>
      </c>
      <c r="H30" s="25">
        <v>1.0</v>
      </c>
      <c r="I30" s="25">
        <v>1.0</v>
      </c>
      <c r="J30" s="25">
        <v>1.0</v>
      </c>
      <c r="K30" s="25">
        <v>1.0</v>
      </c>
      <c r="L30" s="25">
        <v>1.0</v>
      </c>
      <c r="M30" s="25">
        <v>1.0</v>
      </c>
      <c r="N30" s="25">
        <v>1.0</v>
      </c>
      <c r="O30" s="25">
        <v>1.0</v>
      </c>
      <c r="P30" s="25">
        <v>1.0</v>
      </c>
      <c r="Q30" s="25">
        <v>1.0</v>
      </c>
      <c r="R30" s="25">
        <v>1.0</v>
      </c>
      <c r="S30" s="25">
        <v>1.0</v>
      </c>
      <c r="T30" s="25">
        <v>1.0</v>
      </c>
      <c r="U30" s="25">
        <v>1.0</v>
      </c>
      <c r="V30" s="25">
        <v>1.0</v>
      </c>
      <c r="W30" s="25">
        <v>1.0</v>
      </c>
      <c r="X30" s="25">
        <v>1.0</v>
      </c>
      <c r="Y30" s="25">
        <v>1.0</v>
      </c>
      <c r="Z30" s="25">
        <v>1.0</v>
      </c>
      <c r="AA30" s="25">
        <v>1.0</v>
      </c>
      <c r="AB30" s="25">
        <v>1.0</v>
      </c>
      <c r="AC30" s="25">
        <v>1.0</v>
      </c>
      <c r="AD30" s="25">
        <v>1.0</v>
      </c>
      <c r="AE30" s="25">
        <v>1.0</v>
      </c>
      <c r="AF30" s="25">
        <v>1.0</v>
      </c>
      <c r="AG30" s="25">
        <v>1.0</v>
      </c>
      <c r="AH30" s="25">
        <v>1.0</v>
      </c>
      <c r="AI30" s="25">
        <v>1.0</v>
      </c>
      <c r="AJ30" s="25">
        <v>1.0</v>
      </c>
      <c r="AK30" s="25">
        <v>1.0</v>
      </c>
      <c r="AL30" s="25">
        <v>1.0</v>
      </c>
      <c r="AM30" s="25">
        <v>1.0</v>
      </c>
      <c r="AN30" s="25">
        <v>1.0</v>
      </c>
      <c r="AO30" s="25">
        <v>1.0</v>
      </c>
      <c r="AP30" s="25">
        <v>1.0</v>
      </c>
      <c r="AQ30" s="25">
        <v>1.0</v>
      </c>
      <c r="AR30" s="25">
        <v>1.0</v>
      </c>
      <c r="AS30" s="25">
        <v>1.0</v>
      </c>
      <c r="AT30" s="25">
        <v>1.0</v>
      </c>
      <c r="AU30" s="25">
        <v>1.0</v>
      </c>
      <c r="AV30" s="25">
        <v>1.0</v>
      </c>
      <c r="AW30" s="25">
        <v>1.0</v>
      </c>
      <c r="AX30" s="25">
        <v>1.0</v>
      </c>
      <c r="AY30" s="25">
        <v>1.0</v>
      </c>
      <c r="AZ30" s="25">
        <v>1.0</v>
      </c>
      <c r="BA30" s="25">
        <v>1.0</v>
      </c>
      <c r="BB30" s="25">
        <v>1.0</v>
      </c>
      <c r="BC30" s="25">
        <v>1.0</v>
      </c>
      <c r="BD30" s="25">
        <v>1.0</v>
      </c>
      <c r="BE30" s="25">
        <v>1.0</v>
      </c>
      <c r="BF30" s="25">
        <v>1.0</v>
      </c>
      <c r="BG30" s="25">
        <v>1.0</v>
      </c>
      <c r="BH30" s="25">
        <v>1.0</v>
      </c>
      <c r="BI30" s="25">
        <v>57.0</v>
      </c>
      <c r="BJ30" s="29"/>
      <c r="BK30" s="29"/>
      <c r="BL30" s="29"/>
      <c r="BM30" s="29"/>
      <c r="BN30" s="29"/>
    </row>
    <row r="31">
      <c r="A31" s="7">
        <v>5821097.0</v>
      </c>
      <c r="B31" s="23" t="s">
        <v>270</v>
      </c>
      <c r="C31" s="25" t="s">
        <v>94</v>
      </c>
      <c r="D31" s="25">
        <v>1.0</v>
      </c>
      <c r="E31" s="25">
        <v>1.0</v>
      </c>
      <c r="F31" s="25">
        <v>1.0</v>
      </c>
      <c r="G31" s="25">
        <v>1.0</v>
      </c>
      <c r="H31" s="25">
        <v>1.0</v>
      </c>
      <c r="I31" s="25">
        <v>1.0</v>
      </c>
      <c r="J31" s="25">
        <v>1.0</v>
      </c>
      <c r="K31" s="25">
        <v>1.0</v>
      </c>
      <c r="L31" s="25">
        <v>1.0</v>
      </c>
      <c r="M31" s="25">
        <v>1.0</v>
      </c>
      <c r="N31" s="25">
        <v>1.0</v>
      </c>
      <c r="O31" s="25">
        <v>1.0</v>
      </c>
      <c r="P31" s="25">
        <v>1.0</v>
      </c>
      <c r="Q31" s="25">
        <v>1.0</v>
      </c>
      <c r="R31" s="25">
        <v>1.0</v>
      </c>
      <c r="S31" s="25">
        <v>1.0</v>
      </c>
      <c r="T31" s="25">
        <v>1.0</v>
      </c>
      <c r="U31" s="25">
        <v>1.0</v>
      </c>
      <c r="V31" s="25">
        <v>1.0</v>
      </c>
      <c r="W31" s="25">
        <v>1.0</v>
      </c>
      <c r="X31" s="25">
        <v>1.0</v>
      </c>
      <c r="Y31" s="25">
        <v>1.0</v>
      </c>
      <c r="Z31" s="25">
        <v>1.0</v>
      </c>
      <c r="AA31" s="25">
        <v>1.0</v>
      </c>
      <c r="AB31" s="25">
        <v>1.0</v>
      </c>
      <c r="AC31" s="25">
        <v>1.0</v>
      </c>
      <c r="AD31" s="25">
        <v>1.0</v>
      </c>
      <c r="AE31" s="25">
        <v>1.0</v>
      </c>
      <c r="AF31" s="25">
        <v>1.0</v>
      </c>
      <c r="AG31" s="25">
        <v>1.0</v>
      </c>
      <c r="AH31" s="25">
        <v>1.0</v>
      </c>
      <c r="AI31" s="25">
        <v>1.0</v>
      </c>
      <c r="AJ31" s="25">
        <v>1.0</v>
      </c>
      <c r="AK31" s="25">
        <v>1.0</v>
      </c>
      <c r="AL31" s="25">
        <v>1.0</v>
      </c>
      <c r="AM31" s="25">
        <v>1.0</v>
      </c>
      <c r="AN31" s="25">
        <v>1.0</v>
      </c>
      <c r="AO31" s="25">
        <v>1.0</v>
      </c>
      <c r="AP31" s="25">
        <v>1.0</v>
      </c>
      <c r="AQ31" s="25">
        <v>1.0</v>
      </c>
      <c r="AR31" s="25">
        <v>1.0</v>
      </c>
      <c r="AS31" s="25">
        <v>1.0</v>
      </c>
      <c r="AT31" s="25">
        <v>1.0</v>
      </c>
      <c r="AU31" s="25">
        <v>1.0</v>
      </c>
      <c r="AV31" s="25">
        <v>1.0</v>
      </c>
      <c r="AW31" s="25">
        <v>1.0</v>
      </c>
      <c r="AX31" s="25">
        <v>1.0</v>
      </c>
      <c r="AY31" s="25">
        <v>1.0</v>
      </c>
      <c r="AZ31" s="25">
        <v>1.0</v>
      </c>
      <c r="BA31" s="25">
        <v>1.0</v>
      </c>
      <c r="BB31" s="25">
        <v>1.0</v>
      </c>
      <c r="BC31" s="25">
        <v>1.0</v>
      </c>
      <c r="BD31" s="25">
        <v>1.0</v>
      </c>
      <c r="BE31" s="25">
        <v>1.0</v>
      </c>
      <c r="BF31" s="25">
        <v>1.0</v>
      </c>
      <c r="BG31" s="25">
        <v>1.0</v>
      </c>
      <c r="BH31" s="25">
        <v>1.0</v>
      </c>
      <c r="BI31" s="25">
        <v>57.0</v>
      </c>
      <c r="BJ31" s="29"/>
      <c r="BK31" s="29"/>
      <c r="BL31" s="29"/>
      <c r="BM31" s="29"/>
      <c r="BN31" s="29"/>
    </row>
    <row r="32">
      <c r="A32" s="7">
        <v>8140590.0</v>
      </c>
      <c r="B32" s="23" t="s">
        <v>160</v>
      </c>
      <c r="C32" s="25" t="s">
        <v>94</v>
      </c>
      <c r="D32" s="25">
        <v>1.0</v>
      </c>
      <c r="E32" s="25">
        <v>1.0</v>
      </c>
      <c r="F32" s="25">
        <v>0.5</v>
      </c>
      <c r="G32" s="25">
        <v>0.0</v>
      </c>
      <c r="H32" s="25">
        <v>0.0</v>
      </c>
      <c r="I32" s="25">
        <v>0.0</v>
      </c>
      <c r="J32" s="25">
        <v>0.0</v>
      </c>
      <c r="K32" s="25">
        <v>0.5</v>
      </c>
      <c r="L32" s="25">
        <v>1.0</v>
      </c>
      <c r="M32" s="25">
        <v>1.0</v>
      </c>
      <c r="N32" s="25">
        <v>1.0</v>
      </c>
      <c r="O32" s="25">
        <v>1.0</v>
      </c>
      <c r="P32" s="25">
        <v>1.0</v>
      </c>
      <c r="Q32" s="25">
        <v>1.0</v>
      </c>
      <c r="R32" s="25">
        <v>1.0</v>
      </c>
      <c r="S32" s="25">
        <v>1.0</v>
      </c>
      <c r="T32" s="25">
        <v>1.0</v>
      </c>
      <c r="U32" s="25">
        <v>1.0</v>
      </c>
      <c r="V32" s="25">
        <v>1.0</v>
      </c>
      <c r="W32" s="25">
        <v>1.0</v>
      </c>
      <c r="X32" s="25">
        <v>1.0</v>
      </c>
      <c r="Y32" s="25">
        <v>1.0</v>
      </c>
      <c r="Z32" s="25">
        <v>1.0</v>
      </c>
      <c r="AA32" s="25">
        <v>1.0</v>
      </c>
      <c r="AB32" s="25">
        <v>1.0</v>
      </c>
      <c r="AC32" s="25">
        <v>1.0</v>
      </c>
      <c r="AD32" s="25">
        <v>1.0</v>
      </c>
      <c r="AE32" s="25">
        <v>1.0</v>
      </c>
      <c r="AF32" s="25">
        <v>1.0</v>
      </c>
      <c r="AG32" s="25">
        <v>0.5</v>
      </c>
      <c r="AH32" s="25">
        <v>0.0</v>
      </c>
      <c r="AI32" s="25">
        <v>0.0</v>
      </c>
      <c r="AJ32" s="25">
        <v>0.5</v>
      </c>
      <c r="AK32" s="25">
        <v>1.0</v>
      </c>
      <c r="AL32" s="25">
        <v>1.0</v>
      </c>
      <c r="AM32" s="25">
        <v>1.0</v>
      </c>
      <c r="AN32" s="25">
        <v>1.0</v>
      </c>
      <c r="AO32" s="25">
        <v>0.5</v>
      </c>
      <c r="AP32" s="25">
        <v>0.0</v>
      </c>
      <c r="AQ32" s="25">
        <v>0.0</v>
      </c>
      <c r="AR32" s="25">
        <v>0.5</v>
      </c>
      <c r="AS32" s="25">
        <v>1.0</v>
      </c>
      <c r="AT32" s="25">
        <v>1.0</v>
      </c>
      <c r="AU32" s="25">
        <v>1.0</v>
      </c>
      <c r="AV32" s="25">
        <v>1.0</v>
      </c>
      <c r="AW32" s="25">
        <v>1.0</v>
      </c>
      <c r="AX32" s="25">
        <v>1.0</v>
      </c>
      <c r="AY32" s="25">
        <v>1.0</v>
      </c>
      <c r="AZ32" s="25">
        <v>1.0</v>
      </c>
      <c r="BA32" s="25">
        <v>1.0</v>
      </c>
      <c r="BB32" s="25">
        <v>1.0</v>
      </c>
      <c r="BC32" s="25">
        <v>1.0</v>
      </c>
      <c r="BD32" s="25">
        <v>1.0</v>
      </c>
      <c r="BE32" s="25">
        <v>1.0</v>
      </c>
      <c r="BF32" s="25">
        <v>1.0</v>
      </c>
      <c r="BG32" s="25">
        <v>1.0</v>
      </c>
      <c r="BH32" s="25">
        <v>1.0</v>
      </c>
      <c r="BI32" s="25">
        <v>46.0</v>
      </c>
      <c r="BJ32" s="29"/>
      <c r="BK32" s="29"/>
      <c r="BL32" s="29"/>
      <c r="BM32" s="29"/>
      <c r="BN32" s="29"/>
    </row>
    <row r="33">
      <c r="A33" s="7">
        <v>7023922.0</v>
      </c>
      <c r="B33" s="23" t="s">
        <v>182</v>
      </c>
      <c r="C33" s="25" t="s">
        <v>146</v>
      </c>
      <c r="D33" s="25">
        <v>0.0</v>
      </c>
      <c r="E33" s="25">
        <v>0.0</v>
      </c>
      <c r="F33" s="25">
        <v>0.0</v>
      </c>
      <c r="G33" s="25">
        <v>0.0</v>
      </c>
      <c r="H33" s="25">
        <v>0.0</v>
      </c>
      <c r="I33" s="25">
        <v>0.0</v>
      </c>
      <c r="J33" s="25">
        <v>0.0</v>
      </c>
      <c r="K33" s="25">
        <v>0.0</v>
      </c>
      <c r="L33" s="25">
        <v>0.0</v>
      </c>
      <c r="M33" s="25">
        <v>0.0</v>
      </c>
      <c r="N33" s="25">
        <v>0.0</v>
      </c>
      <c r="O33" s="25">
        <v>0.0</v>
      </c>
      <c r="P33" s="25">
        <v>0.0</v>
      </c>
      <c r="Q33" s="25">
        <v>0.0</v>
      </c>
      <c r="R33" s="25">
        <v>0.5</v>
      </c>
      <c r="S33" s="25">
        <v>0.5</v>
      </c>
      <c r="T33" s="25">
        <v>0.0</v>
      </c>
      <c r="U33" s="25">
        <v>0.0</v>
      </c>
      <c r="V33" s="25">
        <v>0.0</v>
      </c>
      <c r="W33" s="25">
        <v>0.5</v>
      </c>
      <c r="X33" s="25">
        <v>1.0</v>
      </c>
      <c r="Y33" s="25">
        <v>1.0</v>
      </c>
      <c r="Z33" s="25">
        <v>1.0</v>
      </c>
      <c r="AA33" s="25">
        <v>1.0</v>
      </c>
      <c r="AB33" s="25">
        <v>1.0</v>
      </c>
      <c r="AC33" s="25">
        <v>0.5</v>
      </c>
      <c r="AD33" s="25">
        <v>0.0</v>
      </c>
      <c r="AE33" s="25">
        <v>0.0</v>
      </c>
      <c r="AF33" s="25">
        <v>0.5</v>
      </c>
      <c r="AG33" s="25">
        <v>0.5</v>
      </c>
      <c r="AH33" s="25">
        <v>0.0</v>
      </c>
      <c r="AI33" s="25">
        <v>0.0</v>
      </c>
      <c r="AJ33" s="25">
        <v>0.0</v>
      </c>
      <c r="AK33" s="25">
        <v>0.5</v>
      </c>
      <c r="AL33" s="25">
        <v>1.0</v>
      </c>
      <c r="AM33" s="25">
        <v>1.0</v>
      </c>
      <c r="AN33" s="25">
        <v>1.0</v>
      </c>
      <c r="AO33" s="25">
        <v>1.0</v>
      </c>
      <c r="AP33" s="25">
        <v>1.0</v>
      </c>
      <c r="AQ33" s="25">
        <v>0.5</v>
      </c>
      <c r="AR33" s="25">
        <v>0.0</v>
      </c>
      <c r="AS33" s="25">
        <v>0.0</v>
      </c>
      <c r="AT33" s="25">
        <v>0.5</v>
      </c>
      <c r="AU33" s="25">
        <v>0.5</v>
      </c>
      <c r="AV33" s="25">
        <v>0.0</v>
      </c>
      <c r="AW33" s="25">
        <v>0.0</v>
      </c>
      <c r="AX33" s="25">
        <v>0.0</v>
      </c>
      <c r="AY33" s="25">
        <v>0.5</v>
      </c>
      <c r="AZ33" s="25">
        <v>1.0</v>
      </c>
      <c r="BA33" s="25">
        <v>1.0</v>
      </c>
      <c r="BB33" s="25">
        <v>1.0</v>
      </c>
      <c r="BC33" s="25">
        <v>1.0</v>
      </c>
      <c r="BD33" s="25">
        <v>1.0</v>
      </c>
      <c r="BE33" s="25">
        <v>0.5</v>
      </c>
      <c r="BF33" s="25">
        <v>0.0</v>
      </c>
      <c r="BG33" s="25">
        <v>0.0</v>
      </c>
      <c r="BH33" s="25">
        <v>0.5</v>
      </c>
      <c r="BI33" s="25">
        <v>21.5</v>
      </c>
      <c r="BJ33" s="29"/>
      <c r="BK33" s="29"/>
      <c r="BL33" s="29"/>
      <c r="BM33" s="29"/>
      <c r="BN33" s="29"/>
    </row>
    <row r="34">
      <c r="A34" s="7">
        <v>6977049.0</v>
      </c>
      <c r="B34" s="23" t="s">
        <v>284</v>
      </c>
      <c r="C34" s="25" t="s">
        <v>94</v>
      </c>
      <c r="D34" s="25">
        <v>1.0</v>
      </c>
      <c r="E34" s="25">
        <v>1.0</v>
      </c>
      <c r="F34" s="25">
        <v>1.0</v>
      </c>
      <c r="G34" s="25">
        <v>1.0</v>
      </c>
      <c r="H34" s="25">
        <v>1.0</v>
      </c>
      <c r="I34" s="25">
        <v>1.0</v>
      </c>
      <c r="J34" s="25">
        <v>1.0</v>
      </c>
      <c r="K34" s="25">
        <v>1.0</v>
      </c>
      <c r="L34" s="25">
        <v>1.0</v>
      </c>
      <c r="M34" s="25">
        <v>1.0</v>
      </c>
      <c r="N34" s="25">
        <v>1.0</v>
      </c>
      <c r="O34" s="25">
        <v>1.0</v>
      </c>
      <c r="P34" s="25">
        <v>1.0</v>
      </c>
      <c r="Q34" s="25">
        <v>1.0</v>
      </c>
      <c r="R34" s="25">
        <v>1.0</v>
      </c>
      <c r="S34" s="25">
        <v>1.0</v>
      </c>
      <c r="T34" s="25">
        <v>0.5</v>
      </c>
      <c r="U34" s="25">
        <v>0.0</v>
      </c>
      <c r="V34" s="25">
        <v>0.0</v>
      </c>
      <c r="W34" s="25">
        <v>0.0</v>
      </c>
      <c r="X34" s="25">
        <v>0.0</v>
      </c>
      <c r="Y34" s="25">
        <v>0.5</v>
      </c>
      <c r="Z34" s="25">
        <v>1.0</v>
      </c>
      <c r="AA34" s="25">
        <v>1.0</v>
      </c>
      <c r="AB34" s="25">
        <v>1.0</v>
      </c>
      <c r="AC34" s="25">
        <v>0.5</v>
      </c>
      <c r="AD34" s="25">
        <v>0.0</v>
      </c>
      <c r="AE34" s="25">
        <v>0.0</v>
      </c>
      <c r="AF34" s="25">
        <v>0.0</v>
      </c>
      <c r="AG34" s="25">
        <v>0.0</v>
      </c>
      <c r="AH34" s="25">
        <v>0.0</v>
      </c>
      <c r="AI34" s="25">
        <v>0.5</v>
      </c>
      <c r="AJ34" s="25">
        <v>1.0</v>
      </c>
      <c r="AK34" s="25">
        <v>1.0</v>
      </c>
      <c r="AL34" s="25">
        <v>1.0</v>
      </c>
      <c r="AM34" s="25">
        <v>1.0</v>
      </c>
      <c r="AN34" s="25">
        <v>1.0</v>
      </c>
      <c r="AO34" s="25">
        <v>0.5</v>
      </c>
      <c r="AP34" s="25">
        <v>0.0</v>
      </c>
      <c r="AQ34" s="25">
        <v>0.0</v>
      </c>
      <c r="AR34" s="25">
        <v>0.5</v>
      </c>
      <c r="AS34" s="25">
        <v>1.0</v>
      </c>
      <c r="AT34" s="25">
        <v>1.0</v>
      </c>
      <c r="AU34" s="25">
        <v>1.0</v>
      </c>
      <c r="AV34" s="25">
        <v>1.0</v>
      </c>
      <c r="AW34" s="25">
        <v>1.0</v>
      </c>
      <c r="AX34" s="25">
        <v>1.0</v>
      </c>
      <c r="AY34" s="25">
        <v>1.0</v>
      </c>
      <c r="AZ34" s="25">
        <v>1.0</v>
      </c>
      <c r="BA34" s="25">
        <v>1.0</v>
      </c>
      <c r="BB34" s="25">
        <v>1.0</v>
      </c>
      <c r="BC34" s="25">
        <v>1.0</v>
      </c>
      <c r="BD34" s="25">
        <v>1.0</v>
      </c>
      <c r="BE34" s="25">
        <v>1.0</v>
      </c>
      <c r="BF34" s="25">
        <v>1.0</v>
      </c>
      <c r="BG34" s="25">
        <v>1.0</v>
      </c>
      <c r="BH34" s="25">
        <v>1.0</v>
      </c>
      <c r="BI34" s="25">
        <v>43.0</v>
      </c>
      <c r="BJ34" s="29"/>
      <c r="BK34" s="29"/>
      <c r="BL34" s="29"/>
      <c r="BM34" s="29"/>
      <c r="BN34" s="29"/>
    </row>
    <row r="35">
      <c r="A35" s="7">
        <v>8202000.0</v>
      </c>
      <c r="B35" s="23" t="s">
        <v>236</v>
      </c>
      <c r="C35" s="25" t="s">
        <v>94</v>
      </c>
      <c r="D35" s="25">
        <v>1.0</v>
      </c>
      <c r="E35" s="25">
        <v>1.0</v>
      </c>
      <c r="F35" s="25">
        <v>1.0</v>
      </c>
      <c r="G35" s="25">
        <v>1.0</v>
      </c>
      <c r="H35" s="25">
        <v>1.0</v>
      </c>
      <c r="I35" s="25">
        <v>1.0</v>
      </c>
      <c r="J35" s="25">
        <v>1.0</v>
      </c>
      <c r="K35" s="25">
        <v>1.0</v>
      </c>
      <c r="L35" s="25">
        <v>1.0</v>
      </c>
      <c r="M35" s="25">
        <v>1.0</v>
      </c>
      <c r="N35" s="25">
        <v>1.0</v>
      </c>
      <c r="O35" s="25">
        <v>1.0</v>
      </c>
      <c r="P35" s="25">
        <v>1.0</v>
      </c>
      <c r="Q35" s="25">
        <v>1.0</v>
      </c>
      <c r="R35" s="25">
        <v>1.0</v>
      </c>
      <c r="S35" s="25">
        <v>1.0</v>
      </c>
      <c r="T35" s="25">
        <v>1.0</v>
      </c>
      <c r="U35" s="25">
        <v>1.0</v>
      </c>
      <c r="V35" s="25">
        <v>1.0</v>
      </c>
      <c r="W35" s="25">
        <v>1.0</v>
      </c>
      <c r="X35" s="25">
        <v>1.0</v>
      </c>
      <c r="Y35" s="25">
        <v>1.0</v>
      </c>
      <c r="Z35" s="25">
        <v>1.0</v>
      </c>
      <c r="AA35" s="25">
        <v>1.0</v>
      </c>
      <c r="AB35" s="25">
        <v>1.0</v>
      </c>
      <c r="AC35" s="25">
        <v>1.0</v>
      </c>
      <c r="AD35" s="25">
        <v>1.0</v>
      </c>
      <c r="AE35" s="25">
        <v>0.5</v>
      </c>
      <c r="AF35" s="25">
        <v>0.0</v>
      </c>
      <c r="AG35" s="25">
        <v>0.5</v>
      </c>
      <c r="AH35" s="25">
        <v>1.0</v>
      </c>
      <c r="AI35" s="25">
        <v>1.0</v>
      </c>
      <c r="AJ35" s="25">
        <v>1.0</v>
      </c>
      <c r="AK35" s="25">
        <v>1.0</v>
      </c>
      <c r="AL35" s="25">
        <v>1.0</v>
      </c>
      <c r="AM35" s="25">
        <v>1.0</v>
      </c>
      <c r="AN35" s="25">
        <v>1.0</v>
      </c>
      <c r="AO35" s="25">
        <v>1.0</v>
      </c>
      <c r="AP35" s="25">
        <v>1.0</v>
      </c>
      <c r="AQ35" s="25">
        <v>1.0</v>
      </c>
      <c r="AR35" s="25">
        <v>1.0</v>
      </c>
      <c r="AS35" s="25">
        <v>1.0</v>
      </c>
      <c r="AT35" s="25">
        <v>1.0</v>
      </c>
      <c r="AU35" s="25">
        <v>1.0</v>
      </c>
      <c r="AV35" s="25">
        <v>1.0</v>
      </c>
      <c r="AW35" s="25">
        <v>1.0</v>
      </c>
      <c r="AX35" s="25">
        <v>1.0</v>
      </c>
      <c r="AY35" s="25">
        <v>1.0</v>
      </c>
      <c r="AZ35" s="25">
        <v>1.0</v>
      </c>
      <c r="BA35" s="25">
        <v>1.0</v>
      </c>
      <c r="BB35" s="25">
        <v>1.0</v>
      </c>
      <c r="BC35" s="25">
        <v>1.0</v>
      </c>
      <c r="BD35" s="25">
        <v>1.0</v>
      </c>
      <c r="BE35" s="25">
        <v>1.0</v>
      </c>
      <c r="BF35" s="25">
        <v>1.0</v>
      </c>
      <c r="BG35" s="25">
        <v>1.0</v>
      </c>
      <c r="BH35" s="25">
        <v>1.0</v>
      </c>
      <c r="BI35" s="25">
        <v>55.0</v>
      </c>
      <c r="BJ35" s="29"/>
      <c r="BK35" s="29"/>
      <c r="BL35" s="29"/>
      <c r="BM35" s="29"/>
      <c r="BN35" s="29"/>
    </row>
    <row r="36">
      <c r="A36" s="7">
        <v>5053743.0</v>
      </c>
      <c r="B36" s="23" t="s">
        <v>290</v>
      </c>
      <c r="C36" s="25" t="s">
        <v>146</v>
      </c>
      <c r="D36" s="25">
        <v>1.0</v>
      </c>
      <c r="E36" s="25">
        <v>1.0</v>
      </c>
      <c r="F36" s="25">
        <v>1.0</v>
      </c>
      <c r="G36" s="25">
        <v>1.0</v>
      </c>
      <c r="H36" s="25">
        <v>1.0</v>
      </c>
      <c r="I36" s="25">
        <v>1.0</v>
      </c>
      <c r="J36" s="25">
        <v>1.0</v>
      </c>
      <c r="K36" s="25">
        <v>1.0</v>
      </c>
      <c r="L36" s="25">
        <v>1.0</v>
      </c>
      <c r="M36" s="25">
        <v>1.0</v>
      </c>
      <c r="N36" s="25">
        <v>1.0</v>
      </c>
      <c r="O36" s="25">
        <v>1.0</v>
      </c>
      <c r="P36" s="25">
        <v>1.0</v>
      </c>
      <c r="Q36" s="25">
        <v>1.0</v>
      </c>
      <c r="R36" s="25">
        <v>1.0</v>
      </c>
      <c r="S36" s="25">
        <v>1.0</v>
      </c>
      <c r="T36" s="25">
        <v>1.0</v>
      </c>
      <c r="U36" s="25">
        <v>1.0</v>
      </c>
      <c r="V36" s="25">
        <v>1.0</v>
      </c>
      <c r="W36" s="25">
        <v>1.0</v>
      </c>
      <c r="X36" s="25">
        <v>1.0</v>
      </c>
      <c r="Y36" s="25">
        <v>1.0</v>
      </c>
      <c r="Z36" s="25">
        <v>1.0</v>
      </c>
      <c r="AA36" s="25">
        <v>1.0</v>
      </c>
      <c r="AB36" s="25">
        <v>1.0</v>
      </c>
      <c r="AC36" s="25">
        <v>1.0</v>
      </c>
      <c r="AD36" s="25">
        <v>1.0</v>
      </c>
      <c r="AE36" s="25">
        <v>1.0</v>
      </c>
      <c r="AF36" s="25">
        <v>1.0</v>
      </c>
      <c r="AG36" s="25">
        <v>1.0</v>
      </c>
      <c r="AH36" s="25">
        <v>1.0</v>
      </c>
      <c r="AI36" s="25">
        <v>1.0</v>
      </c>
      <c r="AJ36" s="25">
        <v>1.0</v>
      </c>
      <c r="AK36" s="25">
        <v>1.0</v>
      </c>
      <c r="AL36" s="25">
        <v>1.0</v>
      </c>
      <c r="AM36" s="25">
        <v>1.0</v>
      </c>
      <c r="AN36" s="25">
        <v>1.0</v>
      </c>
      <c r="AO36" s="25">
        <v>1.0</v>
      </c>
      <c r="AP36" s="25">
        <v>1.0</v>
      </c>
      <c r="AQ36" s="25">
        <v>1.0</v>
      </c>
      <c r="AR36" s="25">
        <v>1.0</v>
      </c>
      <c r="AS36" s="25">
        <v>1.0</v>
      </c>
      <c r="AT36" s="25">
        <v>1.0</v>
      </c>
      <c r="AU36" s="25">
        <v>1.0</v>
      </c>
      <c r="AV36" s="25">
        <v>1.0</v>
      </c>
      <c r="AW36" s="25">
        <v>1.0</v>
      </c>
      <c r="AX36" s="25">
        <v>1.0</v>
      </c>
      <c r="AY36" s="25">
        <v>1.0</v>
      </c>
      <c r="AZ36" s="25">
        <v>1.0</v>
      </c>
      <c r="BA36" s="25">
        <v>1.0</v>
      </c>
      <c r="BB36" s="25">
        <v>1.0</v>
      </c>
      <c r="BC36" s="25">
        <v>1.0</v>
      </c>
      <c r="BD36" s="25">
        <v>1.0</v>
      </c>
      <c r="BE36" s="25">
        <v>1.0</v>
      </c>
      <c r="BF36" s="25">
        <v>1.0</v>
      </c>
      <c r="BG36" s="25">
        <v>1.0</v>
      </c>
      <c r="BH36" s="25">
        <v>1.0</v>
      </c>
      <c r="BI36" s="25">
        <v>57.0</v>
      </c>
      <c r="BJ36" s="29"/>
      <c r="BK36" s="29"/>
      <c r="BL36" s="29"/>
      <c r="BM36" s="29"/>
      <c r="BN36" s="29"/>
    </row>
    <row r="37">
      <c r="A37" s="7">
        <v>7144025.0</v>
      </c>
      <c r="B37" s="23" t="s">
        <v>291</v>
      </c>
      <c r="C37" s="25" t="s">
        <v>94</v>
      </c>
      <c r="D37" s="25">
        <v>1.0</v>
      </c>
      <c r="E37" s="25">
        <v>1.0</v>
      </c>
      <c r="F37" s="25">
        <v>1.0</v>
      </c>
      <c r="G37" s="25">
        <v>1.0</v>
      </c>
      <c r="H37" s="25">
        <v>1.0</v>
      </c>
      <c r="I37" s="25">
        <v>1.0</v>
      </c>
      <c r="J37" s="25">
        <v>1.0</v>
      </c>
      <c r="K37" s="25">
        <v>1.0</v>
      </c>
      <c r="L37" s="25">
        <v>1.0</v>
      </c>
      <c r="M37" s="25">
        <v>1.0</v>
      </c>
      <c r="N37" s="25">
        <v>1.0</v>
      </c>
      <c r="O37" s="25">
        <v>1.0</v>
      </c>
      <c r="P37" s="25">
        <v>1.0</v>
      </c>
      <c r="Q37" s="25">
        <v>1.0</v>
      </c>
      <c r="R37" s="25">
        <v>1.0</v>
      </c>
      <c r="S37" s="25">
        <v>1.0</v>
      </c>
      <c r="T37" s="25">
        <v>1.0</v>
      </c>
      <c r="U37" s="25">
        <v>1.0</v>
      </c>
      <c r="V37" s="25">
        <v>1.0</v>
      </c>
      <c r="W37" s="25">
        <v>1.0</v>
      </c>
      <c r="X37" s="25">
        <v>1.0</v>
      </c>
      <c r="Y37" s="25">
        <v>1.0</v>
      </c>
      <c r="Z37" s="25">
        <v>1.0</v>
      </c>
      <c r="AA37" s="25">
        <v>1.0</v>
      </c>
      <c r="AB37" s="25">
        <v>1.0</v>
      </c>
      <c r="AC37" s="25">
        <v>1.0</v>
      </c>
      <c r="AD37" s="25">
        <v>1.0</v>
      </c>
      <c r="AE37" s="25">
        <v>1.0</v>
      </c>
      <c r="AF37" s="25">
        <v>1.0</v>
      </c>
      <c r="AG37" s="25">
        <v>1.0</v>
      </c>
      <c r="AH37" s="25">
        <v>1.0</v>
      </c>
      <c r="AI37" s="25">
        <v>1.0</v>
      </c>
      <c r="AJ37" s="25">
        <v>1.0</v>
      </c>
      <c r="AK37" s="25">
        <v>1.0</v>
      </c>
      <c r="AL37" s="25">
        <v>1.0</v>
      </c>
      <c r="AM37" s="25">
        <v>1.0</v>
      </c>
      <c r="AN37" s="25">
        <v>1.0</v>
      </c>
      <c r="AO37" s="25">
        <v>1.0</v>
      </c>
      <c r="AP37" s="25">
        <v>1.0</v>
      </c>
      <c r="AQ37" s="25">
        <v>1.0</v>
      </c>
      <c r="AR37" s="25">
        <v>1.0</v>
      </c>
      <c r="AS37" s="25">
        <v>1.0</v>
      </c>
      <c r="AT37" s="25">
        <v>1.0</v>
      </c>
      <c r="AU37" s="25">
        <v>1.0</v>
      </c>
      <c r="AV37" s="25">
        <v>1.0</v>
      </c>
      <c r="AW37" s="25">
        <v>1.0</v>
      </c>
      <c r="AX37" s="25">
        <v>1.0</v>
      </c>
      <c r="AY37" s="25">
        <v>1.0</v>
      </c>
      <c r="AZ37" s="25">
        <v>1.0</v>
      </c>
      <c r="BA37" s="25">
        <v>1.0</v>
      </c>
      <c r="BB37" s="25">
        <v>1.0</v>
      </c>
      <c r="BC37" s="25">
        <v>1.0</v>
      </c>
      <c r="BD37" s="25">
        <v>1.0</v>
      </c>
      <c r="BE37" s="25">
        <v>1.0</v>
      </c>
      <c r="BF37" s="25">
        <v>1.0</v>
      </c>
      <c r="BG37" s="25">
        <v>1.0</v>
      </c>
      <c r="BH37" s="25">
        <v>1.0</v>
      </c>
      <c r="BI37" s="25">
        <v>57.0</v>
      </c>
      <c r="BJ37" s="29"/>
      <c r="BK37" s="29"/>
      <c r="BL37" s="29"/>
      <c r="BM37" s="29"/>
      <c r="BN37" s="29"/>
    </row>
    <row r="38">
      <c r="A38" s="7">
        <v>7081804.0</v>
      </c>
      <c r="B38" s="23" t="s">
        <v>75</v>
      </c>
      <c r="C38" s="25" t="s">
        <v>94</v>
      </c>
      <c r="D38" s="25">
        <v>1.0</v>
      </c>
      <c r="E38" s="25">
        <v>1.0</v>
      </c>
      <c r="F38" s="25">
        <v>1.0</v>
      </c>
      <c r="G38" s="25">
        <v>1.0</v>
      </c>
      <c r="H38" s="25">
        <v>0.5</v>
      </c>
      <c r="I38" s="25">
        <v>0.0</v>
      </c>
      <c r="J38" s="25">
        <v>0.0</v>
      </c>
      <c r="K38" s="25">
        <v>0.5</v>
      </c>
      <c r="L38" s="25">
        <v>1.0</v>
      </c>
      <c r="M38" s="25">
        <v>1.0</v>
      </c>
      <c r="N38" s="25">
        <v>1.0</v>
      </c>
      <c r="O38" s="25">
        <v>0.5</v>
      </c>
      <c r="P38" s="25">
        <v>0.0</v>
      </c>
      <c r="Q38" s="25">
        <v>0.0</v>
      </c>
      <c r="R38" s="25">
        <v>0.5</v>
      </c>
      <c r="S38" s="25">
        <v>1.0</v>
      </c>
      <c r="T38" s="25">
        <v>1.0</v>
      </c>
      <c r="U38" s="25">
        <v>1.0</v>
      </c>
      <c r="V38" s="25">
        <v>1.0</v>
      </c>
      <c r="W38" s="25">
        <v>1.0</v>
      </c>
      <c r="X38" s="25">
        <v>1.0</v>
      </c>
      <c r="Y38" s="25">
        <v>1.0</v>
      </c>
      <c r="Z38" s="25">
        <v>1.0</v>
      </c>
      <c r="AA38" s="25">
        <v>1.0</v>
      </c>
      <c r="AB38" s="25">
        <v>0.5</v>
      </c>
      <c r="AC38" s="25">
        <v>0.0</v>
      </c>
      <c r="AD38" s="25">
        <v>0.0</v>
      </c>
      <c r="AE38" s="25">
        <v>0.0</v>
      </c>
      <c r="AF38" s="25">
        <v>0.5</v>
      </c>
      <c r="AG38" s="25">
        <v>1.0</v>
      </c>
      <c r="AH38" s="25">
        <v>1.0</v>
      </c>
      <c r="AI38" s="25">
        <v>1.0</v>
      </c>
      <c r="AJ38" s="25">
        <v>1.0</v>
      </c>
      <c r="AK38" s="25">
        <v>1.0</v>
      </c>
      <c r="AL38" s="25">
        <v>1.0</v>
      </c>
      <c r="AM38" s="25">
        <v>1.0</v>
      </c>
      <c r="AN38" s="25">
        <v>1.0</v>
      </c>
      <c r="AO38" s="25">
        <v>1.0</v>
      </c>
      <c r="AP38" s="25">
        <v>1.0</v>
      </c>
      <c r="AQ38" s="25">
        <v>1.0</v>
      </c>
      <c r="AR38" s="25">
        <v>1.0</v>
      </c>
      <c r="AS38" s="25">
        <v>1.0</v>
      </c>
      <c r="AT38" s="25">
        <v>1.0</v>
      </c>
      <c r="AU38" s="25">
        <v>1.0</v>
      </c>
      <c r="AV38" s="25">
        <v>1.0</v>
      </c>
      <c r="AW38" s="25">
        <v>1.0</v>
      </c>
      <c r="AX38" s="25">
        <v>1.0</v>
      </c>
      <c r="AY38" s="25">
        <v>1.0</v>
      </c>
      <c r="AZ38" s="25">
        <v>1.0</v>
      </c>
      <c r="BA38" s="25">
        <v>1.0</v>
      </c>
      <c r="BB38" s="25">
        <v>1.0</v>
      </c>
      <c r="BC38" s="25">
        <v>1.0</v>
      </c>
      <c r="BD38" s="25">
        <v>1.0</v>
      </c>
      <c r="BE38" s="25">
        <v>1.0</v>
      </c>
      <c r="BF38" s="25">
        <v>1.0</v>
      </c>
      <c r="BG38" s="25">
        <v>1.0</v>
      </c>
      <c r="BH38" s="25">
        <v>1.0</v>
      </c>
      <c r="BI38" s="25">
        <v>47.0</v>
      </c>
      <c r="BJ38" s="29"/>
      <c r="BK38" s="29"/>
      <c r="BL38" s="29"/>
      <c r="BM38" s="29"/>
      <c r="BN38" s="29"/>
    </row>
    <row r="39">
      <c r="A39" s="7">
        <v>8115729.0</v>
      </c>
      <c r="B39" s="23" t="s">
        <v>209</v>
      </c>
      <c r="C39" s="25" t="s">
        <v>94</v>
      </c>
      <c r="D39" s="25">
        <v>0.0</v>
      </c>
      <c r="E39" s="25">
        <v>0.5</v>
      </c>
      <c r="F39" s="25">
        <v>1.0</v>
      </c>
      <c r="G39" s="25">
        <v>1.0</v>
      </c>
      <c r="H39" s="25">
        <v>1.0</v>
      </c>
      <c r="I39" s="25">
        <v>1.0</v>
      </c>
      <c r="J39" s="25">
        <v>1.0</v>
      </c>
      <c r="K39" s="25">
        <v>1.0</v>
      </c>
      <c r="L39" s="25">
        <v>1.0</v>
      </c>
      <c r="M39" s="25">
        <v>0.5</v>
      </c>
      <c r="N39" s="25">
        <v>0.0</v>
      </c>
      <c r="O39" s="25">
        <v>0.0</v>
      </c>
      <c r="P39" s="25">
        <v>0.0</v>
      </c>
      <c r="Q39" s="25">
        <v>0.0</v>
      </c>
      <c r="R39" s="25">
        <v>0.0</v>
      </c>
      <c r="S39" s="25">
        <v>0.5</v>
      </c>
      <c r="T39" s="25">
        <v>1.0</v>
      </c>
      <c r="U39" s="25">
        <v>1.0</v>
      </c>
      <c r="V39" s="25">
        <v>1.0</v>
      </c>
      <c r="W39" s="25">
        <v>1.0</v>
      </c>
      <c r="X39" s="25">
        <v>1.0</v>
      </c>
      <c r="Y39" s="25">
        <v>1.0</v>
      </c>
      <c r="Z39" s="25">
        <v>1.0</v>
      </c>
      <c r="AA39" s="25">
        <v>1.0</v>
      </c>
      <c r="AB39" s="25">
        <v>1.0</v>
      </c>
      <c r="AC39" s="25">
        <v>1.0</v>
      </c>
      <c r="AD39" s="25">
        <v>1.0</v>
      </c>
      <c r="AE39" s="25">
        <v>1.0</v>
      </c>
      <c r="AF39" s="25">
        <v>1.0</v>
      </c>
      <c r="AG39" s="25">
        <v>1.0</v>
      </c>
      <c r="AH39" s="25">
        <v>1.0</v>
      </c>
      <c r="AI39" s="25">
        <v>1.0</v>
      </c>
      <c r="AJ39" s="25">
        <v>1.0</v>
      </c>
      <c r="AK39" s="25">
        <v>1.0</v>
      </c>
      <c r="AL39" s="25">
        <v>1.0</v>
      </c>
      <c r="AM39" s="25">
        <v>1.0</v>
      </c>
      <c r="AN39" s="25">
        <v>1.0</v>
      </c>
      <c r="AO39" s="25">
        <v>1.0</v>
      </c>
      <c r="AP39" s="25">
        <v>1.0</v>
      </c>
      <c r="AQ39" s="25">
        <v>1.0</v>
      </c>
      <c r="AR39" s="25">
        <v>1.0</v>
      </c>
      <c r="AS39" s="25">
        <v>1.0</v>
      </c>
      <c r="AT39" s="25">
        <v>1.0</v>
      </c>
      <c r="AU39" s="25">
        <v>1.0</v>
      </c>
      <c r="AV39" s="25">
        <v>1.0</v>
      </c>
      <c r="AW39" s="25">
        <v>1.0</v>
      </c>
      <c r="AX39" s="25">
        <v>1.0</v>
      </c>
      <c r="AY39" s="25">
        <v>1.0</v>
      </c>
      <c r="AZ39" s="25">
        <v>1.0</v>
      </c>
      <c r="BA39" s="25">
        <v>1.0</v>
      </c>
      <c r="BB39" s="25">
        <v>1.0</v>
      </c>
      <c r="BC39" s="25">
        <v>1.0</v>
      </c>
      <c r="BD39" s="25">
        <v>1.0</v>
      </c>
      <c r="BE39" s="25">
        <v>1.0</v>
      </c>
      <c r="BF39" s="25">
        <v>1.0</v>
      </c>
      <c r="BG39" s="25">
        <v>1.0</v>
      </c>
      <c r="BH39" s="25">
        <v>1.0</v>
      </c>
      <c r="BI39" s="25">
        <v>49.5</v>
      </c>
      <c r="BJ39" s="29"/>
      <c r="BK39" s="29"/>
      <c r="BL39" s="29"/>
      <c r="BM39" s="29"/>
      <c r="BN39" s="29"/>
    </row>
    <row r="40">
      <c r="A40" s="7">
        <v>5146385.0</v>
      </c>
      <c r="B40" s="23" t="s">
        <v>238</v>
      </c>
      <c r="C40" s="25" t="s">
        <v>87</v>
      </c>
      <c r="D40" s="25">
        <v>1.0</v>
      </c>
      <c r="E40" s="25">
        <v>1.0</v>
      </c>
      <c r="F40" s="25">
        <v>1.0</v>
      </c>
      <c r="G40" s="25">
        <v>1.0</v>
      </c>
      <c r="H40" s="25">
        <v>1.0</v>
      </c>
      <c r="I40" s="25">
        <v>1.0</v>
      </c>
      <c r="J40" s="25">
        <v>1.0</v>
      </c>
      <c r="K40" s="25">
        <v>1.0</v>
      </c>
      <c r="L40" s="25">
        <v>1.0</v>
      </c>
      <c r="M40" s="25">
        <v>1.0</v>
      </c>
      <c r="N40" s="25">
        <v>1.0</v>
      </c>
      <c r="O40" s="25">
        <v>1.0</v>
      </c>
      <c r="P40" s="25">
        <v>1.0</v>
      </c>
      <c r="Q40" s="25">
        <v>1.0</v>
      </c>
      <c r="R40" s="25">
        <v>1.0</v>
      </c>
      <c r="S40" s="25">
        <v>1.0</v>
      </c>
      <c r="T40" s="25">
        <v>1.0</v>
      </c>
      <c r="U40" s="25">
        <v>1.0</v>
      </c>
      <c r="V40" s="25">
        <v>1.0</v>
      </c>
      <c r="W40" s="25">
        <v>1.0</v>
      </c>
      <c r="X40" s="25">
        <v>1.0</v>
      </c>
      <c r="Y40" s="25">
        <v>1.0</v>
      </c>
      <c r="Z40" s="25">
        <v>1.0</v>
      </c>
      <c r="AA40" s="25">
        <v>1.0</v>
      </c>
      <c r="AB40" s="25">
        <v>1.0</v>
      </c>
      <c r="AC40" s="25">
        <v>1.0</v>
      </c>
      <c r="AD40" s="25">
        <v>1.0</v>
      </c>
      <c r="AE40" s="25">
        <v>1.0</v>
      </c>
      <c r="AF40" s="25">
        <v>1.0</v>
      </c>
      <c r="AG40" s="25">
        <v>0.5</v>
      </c>
      <c r="AH40" s="25">
        <v>0.0</v>
      </c>
      <c r="AI40" s="25">
        <v>0.0</v>
      </c>
      <c r="AJ40" s="25">
        <v>0.5</v>
      </c>
      <c r="AK40" s="25">
        <v>1.0</v>
      </c>
      <c r="AL40" s="25">
        <v>1.0</v>
      </c>
      <c r="AM40" s="25">
        <v>1.0</v>
      </c>
      <c r="AN40" s="25">
        <v>1.0</v>
      </c>
      <c r="AO40" s="25">
        <v>1.0</v>
      </c>
      <c r="AP40" s="25">
        <v>1.0</v>
      </c>
      <c r="AQ40" s="25">
        <v>1.0</v>
      </c>
      <c r="AR40" s="25">
        <v>1.0</v>
      </c>
      <c r="AS40" s="25">
        <v>1.0</v>
      </c>
      <c r="AT40" s="25">
        <v>1.0</v>
      </c>
      <c r="AU40" s="25">
        <v>1.0</v>
      </c>
      <c r="AV40" s="25">
        <v>1.0</v>
      </c>
      <c r="AW40" s="25">
        <v>1.0</v>
      </c>
      <c r="AX40" s="25">
        <v>1.0</v>
      </c>
      <c r="AY40" s="25">
        <v>1.0</v>
      </c>
      <c r="AZ40" s="25">
        <v>1.0</v>
      </c>
      <c r="BA40" s="25">
        <v>1.0</v>
      </c>
      <c r="BB40" s="25">
        <v>1.0</v>
      </c>
      <c r="BC40" s="25">
        <v>1.0</v>
      </c>
      <c r="BD40" s="25">
        <v>1.0</v>
      </c>
      <c r="BE40" s="25">
        <v>1.0</v>
      </c>
      <c r="BF40" s="25">
        <v>1.0</v>
      </c>
      <c r="BG40" s="25">
        <v>1.0</v>
      </c>
      <c r="BH40" s="25">
        <v>1.0</v>
      </c>
      <c r="BI40" s="25">
        <v>54.0</v>
      </c>
      <c r="BJ40" s="29"/>
      <c r="BK40" s="29"/>
      <c r="BL40" s="29"/>
      <c r="BM40" s="29"/>
      <c r="BN40" s="29"/>
    </row>
    <row r="41">
      <c r="A41" s="7">
        <v>8357953.0</v>
      </c>
      <c r="B41" s="23" t="s">
        <v>83</v>
      </c>
      <c r="C41" s="25" t="s">
        <v>87</v>
      </c>
      <c r="D41" s="25">
        <v>1.0</v>
      </c>
      <c r="E41" s="25">
        <v>1.0</v>
      </c>
      <c r="F41" s="25">
        <v>1.0</v>
      </c>
      <c r="G41" s="25">
        <v>1.0</v>
      </c>
      <c r="H41" s="25">
        <v>1.0</v>
      </c>
      <c r="I41" s="25">
        <v>1.0</v>
      </c>
      <c r="J41" s="25">
        <v>1.0</v>
      </c>
      <c r="K41" s="25">
        <v>1.0</v>
      </c>
      <c r="L41" s="25">
        <v>1.0</v>
      </c>
      <c r="M41" s="25">
        <v>1.0</v>
      </c>
      <c r="N41" s="25">
        <v>1.0</v>
      </c>
      <c r="O41" s="25">
        <v>1.0</v>
      </c>
      <c r="P41" s="25">
        <v>1.0</v>
      </c>
      <c r="Q41" s="25">
        <v>1.0</v>
      </c>
      <c r="R41" s="25">
        <v>1.0</v>
      </c>
      <c r="S41" s="25">
        <v>1.0</v>
      </c>
      <c r="T41" s="25">
        <v>1.0</v>
      </c>
      <c r="U41" s="25">
        <v>1.0</v>
      </c>
      <c r="V41" s="25">
        <v>1.0</v>
      </c>
      <c r="W41" s="25">
        <v>1.0</v>
      </c>
      <c r="X41" s="25">
        <v>1.0</v>
      </c>
      <c r="Y41" s="25">
        <v>1.0</v>
      </c>
      <c r="Z41" s="25">
        <v>1.0</v>
      </c>
      <c r="AA41" s="25">
        <v>1.0</v>
      </c>
      <c r="AB41" s="25">
        <v>1.0</v>
      </c>
      <c r="AC41" s="25">
        <v>1.0</v>
      </c>
      <c r="AD41" s="25">
        <v>1.0</v>
      </c>
      <c r="AE41" s="25">
        <v>1.0</v>
      </c>
      <c r="AF41" s="25">
        <v>1.0</v>
      </c>
      <c r="AG41" s="25">
        <v>1.0</v>
      </c>
      <c r="AH41" s="25">
        <v>1.0</v>
      </c>
      <c r="AI41" s="25">
        <v>1.0</v>
      </c>
      <c r="AJ41" s="25">
        <v>1.0</v>
      </c>
      <c r="AK41" s="25">
        <v>1.0</v>
      </c>
      <c r="AL41" s="25">
        <v>1.0</v>
      </c>
      <c r="AM41" s="25">
        <v>1.0</v>
      </c>
      <c r="AN41" s="25">
        <v>1.0</v>
      </c>
      <c r="AO41" s="25">
        <v>1.0</v>
      </c>
      <c r="AP41" s="25">
        <v>1.0</v>
      </c>
      <c r="AQ41" s="25">
        <v>1.0</v>
      </c>
      <c r="AR41" s="25">
        <v>1.0</v>
      </c>
      <c r="AS41" s="25">
        <v>1.0</v>
      </c>
      <c r="AT41" s="25">
        <v>1.0</v>
      </c>
      <c r="AU41" s="25">
        <v>1.0</v>
      </c>
      <c r="AV41" s="25">
        <v>1.0</v>
      </c>
      <c r="AW41" s="25">
        <v>1.0</v>
      </c>
      <c r="AX41" s="25">
        <v>1.0</v>
      </c>
      <c r="AY41" s="25">
        <v>1.0</v>
      </c>
      <c r="AZ41" s="25">
        <v>1.0</v>
      </c>
      <c r="BA41" s="25">
        <v>1.0</v>
      </c>
      <c r="BB41" s="25">
        <v>1.0</v>
      </c>
      <c r="BC41" s="25">
        <v>1.0</v>
      </c>
      <c r="BD41" s="25">
        <v>1.0</v>
      </c>
      <c r="BE41" s="25">
        <v>1.0</v>
      </c>
      <c r="BF41" s="25">
        <v>1.0</v>
      </c>
      <c r="BG41" s="25">
        <v>1.0</v>
      </c>
      <c r="BH41" s="25">
        <v>1.0</v>
      </c>
      <c r="BI41" s="25">
        <v>57.0</v>
      </c>
    </row>
    <row r="42">
      <c r="A42" s="7">
        <v>7157051.0</v>
      </c>
      <c r="B42" s="3" t="s">
        <v>225</v>
      </c>
      <c r="C42" s="25" t="s">
        <v>94</v>
      </c>
      <c r="D42" s="25">
        <v>1.0</v>
      </c>
      <c r="E42" s="25">
        <v>1.0</v>
      </c>
      <c r="F42" s="25">
        <v>1.0</v>
      </c>
      <c r="G42" s="25">
        <v>1.0</v>
      </c>
      <c r="H42" s="25">
        <v>1.0</v>
      </c>
      <c r="I42" s="25">
        <v>1.0</v>
      </c>
      <c r="J42" s="25">
        <v>1.0</v>
      </c>
      <c r="K42" s="25">
        <v>1.0</v>
      </c>
      <c r="L42" s="25">
        <v>1.0</v>
      </c>
      <c r="M42" s="25">
        <v>0.5</v>
      </c>
      <c r="N42" s="25">
        <v>0.0</v>
      </c>
      <c r="O42" s="25">
        <v>0.0</v>
      </c>
      <c r="P42" s="25">
        <v>0.0</v>
      </c>
      <c r="Q42" s="25">
        <v>0.0</v>
      </c>
      <c r="R42" s="25">
        <v>0.5</v>
      </c>
      <c r="S42" s="25">
        <v>1.0</v>
      </c>
      <c r="T42" s="25">
        <v>1.0</v>
      </c>
      <c r="U42" s="25">
        <v>1.0</v>
      </c>
      <c r="V42" s="25">
        <v>1.0</v>
      </c>
      <c r="W42" s="25">
        <v>1.0</v>
      </c>
      <c r="X42" s="25">
        <v>0.5</v>
      </c>
      <c r="Y42" s="25">
        <v>0.0</v>
      </c>
      <c r="Z42" s="25">
        <v>0.0</v>
      </c>
      <c r="AA42" s="25">
        <v>0.0</v>
      </c>
      <c r="AB42" s="25">
        <v>0.0</v>
      </c>
      <c r="AC42" s="25">
        <v>0.5</v>
      </c>
      <c r="AD42" s="25">
        <v>1.0</v>
      </c>
      <c r="AE42" s="25">
        <v>1.0</v>
      </c>
      <c r="AF42" s="25">
        <v>1.0</v>
      </c>
      <c r="AG42" s="25">
        <v>1.0</v>
      </c>
      <c r="AH42" s="25">
        <v>1.0</v>
      </c>
      <c r="AI42" s="25">
        <v>0.5</v>
      </c>
      <c r="AJ42" s="25">
        <v>0.0</v>
      </c>
      <c r="AK42" s="25">
        <v>0.0</v>
      </c>
      <c r="AL42" s="25">
        <v>0.0</v>
      </c>
      <c r="AM42" s="25">
        <v>0.5</v>
      </c>
      <c r="AN42" s="25">
        <v>1.0</v>
      </c>
      <c r="AO42" s="25">
        <v>1.0</v>
      </c>
      <c r="AP42" s="25">
        <v>1.0</v>
      </c>
      <c r="AQ42" s="25">
        <v>1.0</v>
      </c>
      <c r="AR42" s="25">
        <v>1.0</v>
      </c>
      <c r="AS42" s="25">
        <v>1.0</v>
      </c>
      <c r="AT42" s="25">
        <v>1.0</v>
      </c>
      <c r="AU42" s="25">
        <v>1.0</v>
      </c>
      <c r="AV42" s="25">
        <v>1.0</v>
      </c>
      <c r="AW42" s="25">
        <v>1.0</v>
      </c>
      <c r="AX42" s="25">
        <v>1.0</v>
      </c>
      <c r="AY42" s="25">
        <v>1.0</v>
      </c>
      <c r="AZ42" s="25">
        <v>1.0</v>
      </c>
      <c r="BA42" s="25">
        <v>1.0</v>
      </c>
      <c r="BB42" s="25">
        <v>1.0</v>
      </c>
      <c r="BC42" s="25">
        <v>1.0</v>
      </c>
      <c r="BD42" s="25">
        <v>1.0</v>
      </c>
      <c r="BE42" s="25">
        <v>1.0</v>
      </c>
      <c r="BF42" s="25">
        <v>1.0</v>
      </c>
      <c r="BG42" s="25">
        <v>1.0</v>
      </c>
      <c r="BH42" s="25">
        <v>1.0</v>
      </c>
      <c r="BI42" s="25">
        <v>43.0</v>
      </c>
    </row>
    <row r="43">
      <c r="A43" s="7">
        <v>4383619.0</v>
      </c>
      <c r="B43" s="3" t="s">
        <v>302</v>
      </c>
      <c r="C43" s="25" t="s">
        <v>188</v>
      </c>
      <c r="D43" s="25">
        <v>1.0</v>
      </c>
      <c r="E43" s="25">
        <v>1.0</v>
      </c>
      <c r="F43" s="25">
        <v>1.0</v>
      </c>
      <c r="G43" s="25">
        <v>1.0</v>
      </c>
      <c r="H43" s="25">
        <v>1.0</v>
      </c>
      <c r="I43" s="25">
        <v>1.0</v>
      </c>
      <c r="J43" s="25">
        <v>1.0</v>
      </c>
      <c r="K43" s="25">
        <v>1.0</v>
      </c>
      <c r="L43" s="25">
        <v>1.0</v>
      </c>
      <c r="M43" s="25">
        <v>1.0</v>
      </c>
      <c r="N43" s="25">
        <v>1.0</v>
      </c>
      <c r="O43" s="25">
        <v>1.0</v>
      </c>
      <c r="P43" s="25">
        <v>1.0</v>
      </c>
      <c r="Q43" s="25">
        <v>1.0</v>
      </c>
      <c r="R43" s="25">
        <v>1.0</v>
      </c>
      <c r="S43" s="25">
        <v>1.0</v>
      </c>
      <c r="T43" s="25">
        <v>1.0</v>
      </c>
      <c r="U43" s="25">
        <v>1.0</v>
      </c>
      <c r="V43" s="25">
        <v>1.0</v>
      </c>
      <c r="W43" s="25">
        <v>1.0</v>
      </c>
      <c r="X43" s="25">
        <v>1.0</v>
      </c>
      <c r="Y43" s="25">
        <v>1.0</v>
      </c>
      <c r="Z43" s="25">
        <v>1.0</v>
      </c>
      <c r="AA43" s="25">
        <v>1.0</v>
      </c>
      <c r="AB43" s="25">
        <v>1.0</v>
      </c>
      <c r="AC43" s="25">
        <v>1.0</v>
      </c>
      <c r="AD43" s="25">
        <v>1.0</v>
      </c>
      <c r="AE43" s="25">
        <v>1.0</v>
      </c>
      <c r="AF43" s="25">
        <v>1.0</v>
      </c>
      <c r="AG43" s="25">
        <v>1.0</v>
      </c>
      <c r="AH43" s="25">
        <v>1.0</v>
      </c>
      <c r="AI43" s="25">
        <v>1.0</v>
      </c>
      <c r="AJ43" s="25">
        <v>1.0</v>
      </c>
      <c r="AK43" s="25">
        <v>1.0</v>
      </c>
      <c r="AL43" s="25">
        <v>1.0</v>
      </c>
      <c r="AM43" s="25">
        <v>1.0</v>
      </c>
      <c r="AN43" s="25">
        <v>1.0</v>
      </c>
      <c r="AO43" s="25">
        <v>1.0</v>
      </c>
      <c r="AP43" s="25">
        <v>1.0</v>
      </c>
      <c r="AQ43" s="25">
        <v>1.0</v>
      </c>
      <c r="AR43" s="25">
        <v>1.0</v>
      </c>
      <c r="AS43" s="25">
        <v>1.0</v>
      </c>
      <c r="AT43" s="25">
        <v>1.0</v>
      </c>
      <c r="AU43" s="25">
        <v>1.0</v>
      </c>
      <c r="AV43" s="25">
        <v>1.0</v>
      </c>
      <c r="AW43" s="25">
        <v>1.0</v>
      </c>
      <c r="AX43" s="25">
        <v>1.0</v>
      </c>
      <c r="AY43" s="25">
        <v>1.0</v>
      </c>
      <c r="AZ43" s="25">
        <v>1.0</v>
      </c>
      <c r="BA43" s="25">
        <v>1.0</v>
      </c>
      <c r="BB43" s="25">
        <v>1.0</v>
      </c>
      <c r="BC43" s="25">
        <v>1.0</v>
      </c>
      <c r="BD43" s="25">
        <v>1.0</v>
      </c>
      <c r="BE43" s="25">
        <v>1.0</v>
      </c>
      <c r="BF43" s="25">
        <v>1.0</v>
      </c>
      <c r="BG43" s="25">
        <v>1.0</v>
      </c>
      <c r="BH43" s="25">
        <v>1.0</v>
      </c>
      <c r="BI43" s="25">
        <v>57.0</v>
      </c>
    </row>
    <row r="44">
      <c r="A44" s="7">
        <v>5064080.0</v>
      </c>
      <c r="B44" s="3" t="s">
        <v>305</v>
      </c>
      <c r="C44" s="25" t="s">
        <v>214</v>
      </c>
      <c r="D44" s="25">
        <v>1.0</v>
      </c>
      <c r="E44" s="25">
        <v>1.0</v>
      </c>
      <c r="F44" s="25">
        <v>1.0</v>
      </c>
      <c r="G44" s="25">
        <v>1.0</v>
      </c>
      <c r="H44" s="25">
        <v>1.0</v>
      </c>
      <c r="I44" s="25">
        <v>1.0</v>
      </c>
      <c r="J44" s="25">
        <v>1.0</v>
      </c>
      <c r="K44" s="25">
        <v>1.0</v>
      </c>
      <c r="L44" s="25">
        <v>1.0</v>
      </c>
      <c r="M44" s="25">
        <v>1.0</v>
      </c>
      <c r="N44" s="25">
        <v>1.0</v>
      </c>
      <c r="O44" s="25">
        <v>1.0</v>
      </c>
      <c r="P44" s="25">
        <v>1.0</v>
      </c>
      <c r="Q44" s="25">
        <v>1.0</v>
      </c>
      <c r="R44" s="25">
        <v>1.0</v>
      </c>
      <c r="S44" s="25">
        <v>1.0</v>
      </c>
      <c r="T44" s="25">
        <v>1.0</v>
      </c>
      <c r="U44" s="25">
        <v>1.0</v>
      </c>
      <c r="V44" s="25">
        <v>1.0</v>
      </c>
      <c r="W44" s="25">
        <v>1.0</v>
      </c>
      <c r="X44" s="25">
        <v>1.0</v>
      </c>
      <c r="Y44" s="25">
        <v>1.0</v>
      </c>
      <c r="Z44" s="25">
        <v>1.0</v>
      </c>
      <c r="AA44" s="25">
        <v>1.0</v>
      </c>
      <c r="AB44" s="25">
        <v>1.0</v>
      </c>
      <c r="AC44" s="25">
        <v>1.0</v>
      </c>
      <c r="AD44" s="25">
        <v>1.0</v>
      </c>
      <c r="AE44" s="25">
        <v>1.0</v>
      </c>
      <c r="AF44" s="25">
        <v>1.0</v>
      </c>
      <c r="AG44" s="25">
        <v>1.0</v>
      </c>
      <c r="AH44" s="25">
        <v>1.0</v>
      </c>
      <c r="AI44" s="25">
        <v>1.0</v>
      </c>
      <c r="AJ44" s="25">
        <v>1.0</v>
      </c>
      <c r="AK44" s="25">
        <v>1.0</v>
      </c>
      <c r="AL44" s="25">
        <v>1.0</v>
      </c>
      <c r="AM44" s="25">
        <v>1.0</v>
      </c>
      <c r="AN44" s="25">
        <v>1.0</v>
      </c>
      <c r="AO44" s="25">
        <v>1.0</v>
      </c>
      <c r="AP44" s="25">
        <v>1.0</v>
      </c>
      <c r="AQ44" s="25">
        <v>1.0</v>
      </c>
      <c r="AR44" s="25">
        <v>1.0</v>
      </c>
      <c r="AS44" s="25">
        <v>1.0</v>
      </c>
      <c r="AT44" s="25">
        <v>1.0</v>
      </c>
      <c r="AU44" s="25">
        <v>1.0</v>
      </c>
      <c r="AV44" s="25">
        <v>1.0</v>
      </c>
      <c r="AW44" s="25">
        <v>1.0</v>
      </c>
      <c r="AX44" s="25">
        <v>1.0</v>
      </c>
      <c r="AY44" s="25">
        <v>1.0</v>
      </c>
      <c r="AZ44" s="25">
        <v>1.0</v>
      </c>
      <c r="BA44" s="25">
        <v>1.0</v>
      </c>
      <c r="BB44" s="25">
        <v>1.0</v>
      </c>
      <c r="BC44" s="25">
        <v>1.0</v>
      </c>
      <c r="BD44" s="25">
        <v>1.0</v>
      </c>
      <c r="BE44" s="25">
        <v>1.0</v>
      </c>
      <c r="BF44" s="25">
        <v>1.0</v>
      </c>
      <c r="BG44" s="25">
        <v>1.0</v>
      </c>
      <c r="BH44" s="25">
        <v>1.0</v>
      </c>
      <c r="BI44" s="25">
        <v>57.0</v>
      </c>
    </row>
    <row r="45">
      <c r="A45" s="7">
        <v>5203697.0</v>
      </c>
      <c r="B45" s="23" t="s">
        <v>307</v>
      </c>
      <c r="C45" s="25" t="s">
        <v>94</v>
      </c>
      <c r="D45" s="25">
        <v>1.0</v>
      </c>
      <c r="E45" s="25">
        <v>1.0</v>
      </c>
      <c r="F45" s="25">
        <v>1.0</v>
      </c>
      <c r="G45" s="25">
        <v>1.0</v>
      </c>
      <c r="H45" s="25">
        <v>1.0</v>
      </c>
      <c r="I45" s="25">
        <v>1.0</v>
      </c>
      <c r="J45" s="25">
        <v>1.0</v>
      </c>
      <c r="K45" s="25">
        <v>1.0</v>
      </c>
      <c r="L45" s="25">
        <v>1.0</v>
      </c>
      <c r="M45" s="25">
        <v>1.0</v>
      </c>
      <c r="N45" s="25">
        <v>1.0</v>
      </c>
      <c r="O45" s="25">
        <v>1.0</v>
      </c>
      <c r="P45" s="25">
        <v>1.0</v>
      </c>
      <c r="Q45" s="25">
        <v>1.0</v>
      </c>
      <c r="R45" s="25">
        <v>1.0</v>
      </c>
      <c r="S45" s="25">
        <v>1.0</v>
      </c>
      <c r="T45" s="25">
        <v>1.0</v>
      </c>
      <c r="U45" s="25">
        <v>1.0</v>
      </c>
      <c r="V45" s="25">
        <v>1.0</v>
      </c>
      <c r="W45" s="25">
        <v>1.0</v>
      </c>
      <c r="X45" s="25">
        <v>1.0</v>
      </c>
      <c r="Y45" s="25">
        <v>1.0</v>
      </c>
      <c r="Z45" s="25">
        <v>1.0</v>
      </c>
      <c r="AA45" s="25">
        <v>1.0</v>
      </c>
      <c r="AB45" s="25">
        <v>1.0</v>
      </c>
      <c r="AC45" s="25">
        <v>1.0</v>
      </c>
      <c r="AD45" s="25">
        <v>1.0</v>
      </c>
      <c r="AE45" s="25">
        <v>1.0</v>
      </c>
      <c r="AF45" s="25">
        <v>1.0</v>
      </c>
      <c r="AG45" s="25">
        <v>1.0</v>
      </c>
      <c r="AH45" s="25">
        <v>1.0</v>
      </c>
      <c r="AI45" s="25">
        <v>1.0</v>
      </c>
      <c r="AJ45" s="25">
        <v>1.0</v>
      </c>
      <c r="AK45" s="25">
        <v>1.0</v>
      </c>
      <c r="AL45" s="25">
        <v>1.0</v>
      </c>
      <c r="AM45" s="25">
        <v>1.0</v>
      </c>
      <c r="AN45" s="25">
        <v>1.0</v>
      </c>
      <c r="AO45" s="25">
        <v>1.0</v>
      </c>
      <c r="AP45" s="25">
        <v>1.0</v>
      </c>
      <c r="AQ45" s="25">
        <v>1.0</v>
      </c>
      <c r="AR45" s="25">
        <v>1.0</v>
      </c>
      <c r="AS45" s="25">
        <v>1.0</v>
      </c>
      <c r="AT45" s="25">
        <v>1.0</v>
      </c>
      <c r="AU45" s="25">
        <v>1.0</v>
      </c>
      <c r="AV45" s="25">
        <v>1.0</v>
      </c>
      <c r="AW45" s="25">
        <v>1.0</v>
      </c>
      <c r="AX45" s="25">
        <v>1.0</v>
      </c>
      <c r="AY45" s="25">
        <v>1.0</v>
      </c>
      <c r="AZ45" s="25">
        <v>1.0</v>
      </c>
      <c r="BA45" s="25">
        <v>1.0</v>
      </c>
      <c r="BB45" s="25">
        <v>1.0</v>
      </c>
      <c r="BC45" s="25">
        <v>1.0</v>
      </c>
      <c r="BD45" s="25">
        <v>1.0</v>
      </c>
      <c r="BE45" s="25">
        <v>1.0</v>
      </c>
      <c r="BF45" s="25">
        <v>1.0</v>
      </c>
      <c r="BG45" s="25">
        <v>1.0</v>
      </c>
      <c r="BH45" s="25">
        <v>1.0</v>
      </c>
      <c r="BI45" s="25">
        <v>57.0</v>
      </c>
      <c r="BJ45" s="29"/>
      <c r="BK45" s="29"/>
      <c r="BL45" s="29"/>
      <c r="BM45" s="29"/>
      <c r="BN45" s="29"/>
    </row>
    <row r="46">
      <c r="A46" s="7">
        <v>5249134.0</v>
      </c>
      <c r="B46" s="23" t="s">
        <v>64</v>
      </c>
      <c r="C46" s="25" t="s">
        <v>94</v>
      </c>
      <c r="D46" s="25">
        <v>1.0</v>
      </c>
      <c r="E46" s="25">
        <v>1.0</v>
      </c>
      <c r="F46" s="25">
        <v>1.0</v>
      </c>
      <c r="G46" s="25">
        <v>1.0</v>
      </c>
      <c r="H46" s="25">
        <v>1.0</v>
      </c>
      <c r="I46" s="25">
        <v>1.0</v>
      </c>
      <c r="J46" s="25">
        <v>1.0</v>
      </c>
      <c r="K46" s="25">
        <v>1.0</v>
      </c>
      <c r="L46" s="25">
        <v>1.0</v>
      </c>
      <c r="M46" s="25">
        <v>1.0</v>
      </c>
      <c r="N46" s="25">
        <v>1.0</v>
      </c>
      <c r="O46" s="25">
        <v>1.0</v>
      </c>
      <c r="P46" s="25">
        <v>1.0</v>
      </c>
      <c r="Q46" s="25">
        <v>1.0</v>
      </c>
      <c r="R46" s="25">
        <v>1.0</v>
      </c>
      <c r="S46" s="25">
        <v>1.0</v>
      </c>
      <c r="T46" s="25">
        <v>1.0</v>
      </c>
      <c r="U46" s="25">
        <v>1.0</v>
      </c>
      <c r="V46" s="25">
        <v>1.0</v>
      </c>
      <c r="W46" s="25">
        <v>1.0</v>
      </c>
      <c r="X46" s="25">
        <v>0.5</v>
      </c>
      <c r="Y46" s="25">
        <v>0.0</v>
      </c>
      <c r="Z46" s="25">
        <v>0.5</v>
      </c>
      <c r="AA46" s="25">
        <v>0.5</v>
      </c>
      <c r="AB46" s="25">
        <v>0.0</v>
      </c>
      <c r="AC46" s="25">
        <v>0.0</v>
      </c>
      <c r="AD46" s="25">
        <v>0.0</v>
      </c>
      <c r="AE46" s="25">
        <v>0.0</v>
      </c>
      <c r="AF46" s="25">
        <v>0.0</v>
      </c>
      <c r="AG46" s="25">
        <v>0.0</v>
      </c>
      <c r="AH46" s="25">
        <v>0.5</v>
      </c>
      <c r="AI46" s="25">
        <v>1.0</v>
      </c>
      <c r="AJ46" s="25">
        <v>1.0</v>
      </c>
      <c r="AK46" s="25">
        <v>1.0</v>
      </c>
      <c r="AL46" s="25">
        <v>0.5</v>
      </c>
      <c r="AM46" s="25">
        <v>0.0</v>
      </c>
      <c r="AN46" s="25">
        <v>0.0</v>
      </c>
      <c r="AO46" s="25">
        <v>0.0</v>
      </c>
      <c r="AP46" s="25">
        <v>0.0</v>
      </c>
      <c r="AQ46" s="25">
        <v>0.5</v>
      </c>
      <c r="AR46" s="25">
        <v>1.0</v>
      </c>
      <c r="AS46" s="25">
        <v>1.0</v>
      </c>
      <c r="AT46" s="25">
        <v>1.0</v>
      </c>
      <c r="AU46" s="25">
        <v>1.0</v>
      </c>
      <c r="AV46" s="25">
        <v>1.0</v>
      </c>
      <c r="AW46" s="25">
        <v>1.0</v>
      </c>
      <c r="AX46" s="25">
        <v>1.0</v>
      </c>
      <c r="AY46" s="25">
        <v>1.0</v>
      </c>
      <c r="AZ46" s="25">
        <v>1.0</v>
      </c>
      <c r="BA46" s="25">
        <v>1.0</v>
      </c>
      <c r="BB46" s="25">
        <v>1.0</v>
      </c>
      <c r="BC46" s="25">
        <v>1.0</v>
      </c>
      <c r="BD46" s="25">
        <v>1.0</v>
      </c>
      <c r="BE46" s="25">
        <v>1.0</v>
      </c>
      <c r="BF46" s="25">
        <v>1.0</v>
      </c>
      <c r="BG46" s="25">
        <v>1.0</v>
      </c>
      <c r="BH46" s="25">
        <v>1.0</v>
      </c>
      <c r="BI46" s="25">
        <v>43.0</v>
      </c>
      <c r="BJ46" s="29"/>
      <c r="BK46" s="29"/>
      <c r="BL46" s="29"/>
      <c r="BM46" s="29"/>
      <c r="BN46" s="29"/>
    </row>
    <row r="47">
      <c r="A47" s="7">
        <v>4683682.0</v>
      </c>
      <c r="B47" s="23" t="s">
        <v>310</v>
      </c>
      <c r="C47" s="25" t="s">
        <v>94</v>
      </c>
      <c r="D47" s="25">
        <v>1.0</v>
      </c>
      <c r="E47" s="25">
        <v>1.0</v>
      </c>
      <c r="F47" s="25">
        <v>1.0</v>
      </c>
      <c r="G47" s="25">
        <v>1.0</v>
      </c>
      <c r="H47" s="25">
        <v>1.0</v>
      </c>
      <c r="I47" s="25">
        <v>1.0</v>
      </c>
      <c r="J47" s="25">
        <v>1.0</v>
      </c>
      <c r="K47" s="25">
        <v>1.0</v>
      </c>
      <c r="L47" s="25">
        <v>1.0</v>
      </c>
      <c r="M47" s="25">
        <v>1.0</v>
      </c>
      <c r="N47" s="25">
        <v>1.0</v>
      </c>
      <c r="O47" s="25">
        <v>1.0</v>
      </c>
      <c r="P47" s="25">
        <v>1.0</v>
      </c>
      <c r="Q47" s="25">
        <v>1.0</v>
      </c>
      <c r="R47" s="25">
        <v>1.0</v>
      </c>
      <c r="S47" s="25">
        <v>1.0</v>
      </c>
      <c r="T47" s="25">
        <v>1.0</v>
      </c>
      <c r="U47" s="25">
        <v>1.0</v>
      </c>
      <c r="V47" s="25">
        <v>1.0</v>
      </c>
      <c r="W47" s="25">
        <v>1.0</v>
      </c>
      <c r="X47" s="25">
        <v>1.0</v>
      </c>
      <c r="Y47" s="25">
        <v>1.0</v>
      </c>
      <c r="Z47" s="25">
        <v>1.0</v>
      </c>
      <c r="AA47" s="25">
        <v>1.0</v>
      </c>
      <c r="AB47" s="25">
        <v>1.0</v>
      </c>
      <c r="AC47" s="25">
        <v>1.0</v>
      </c>
      <c r="AD47" s="25">
        <v>1.0</v>
      </c>
      <c r="AE47" s="25">
        <v>1.0</v>
      </c>
      <c r="AF47" s="25">
        <v>1.0</v>
      </c>
      <c r="AG47" s="25">
        <v>1.0</v>
      </c>
      <c r="AH47" s="25">
        <v>1.0</v>
      </c>
      <c r="AI47" s="25">
        <v>1.0</v>
      </c>
      <c r="AJ47" s="25">
        <v>1.0</v>
      </c>
      <c r="AK47" s="25">
        <v>1.0</v>
      </c>
      <c r="AL47" s="25">
        <v>1.0</v>
      </c>
      <c r="AM47" s="25">
        <v>1.0</v>
      </c>
      <c r="AN47" s="25">
        <v>1.0</v>
      </c>
      <c r="AO47" s="25">
        <v>1.0</v>
      </c>
      <c r="AP47" s="25">
        <v>1.0</v>
      </c>
      <c r="AQ47" s="25">
        <v>1.0</v>
      </c>
      <c r="AR47" s="25">
        <v>1.0</v>
      </c>
      <c r="AS47" s="25">
        <v>1.0</v>
      </c>
      <c r="AT47" s="25">
        <v>1.0</v>
      </c>
      <c r="AU47" s="25">
        <v>1.0</v>
      </c>
      <c r="AV47" s="25">
        <v>1.0</v>
      </c>
      <c r="AW47" s="25">
        <v>1.0</v>
      </c>
      <c r="AX47" s="25">
        <v>1.0</v>
      </c>
      <c r="AY47" s="25">
        <v>1.0</v>
      </c>
      <c r="AZ47" s="25">
        <v>1.0</v>
      </c>
      <c r="BA47" s="25">
        <v>1.0</v>
      </c>
      <c r="BB47" s="25">
        <v>1.0</v>
      </c>
      <c r="BC47" s="25">
        <v>1.0</v>
      </c>
      <c r="BD47" s="25">
        <v>1.0</v>
      </c>
      <c r="BE47" s="25">
        <v>1.0</v>
      </c>
      <c r="BF47" s="25">
        <v>1.0</v>
      </c>
      <c r="BG47" s="25">
        <v>1.0</v>
      </c>
      <c r="BH47" s="25">
        <v>1.0</v>
      </c>
      <c r="BI47" s="25">
        <v>57.0</v>
      </c>
      <c r="BJ47" s="29"/>
      <c r="BK47" s="29"/>
      <c r="BL47" s="29"/>
      <c r="BM47" s="29"/>
      <c r="BN47" s="29"/>
    </row>
    <row r="48">
      <c r="A48" s="7">
        <v>5003391.0</v>
      </c>
      <c r="B48" s="3" t="s">
        <v>78</v>
      </c>
      <c r="C48" s="25" t="s">
        <v>94</v>
      </c>
      <c r="D48" s="25">
        <v>1.0</v>
      </c>
      <c r="E48" s="25">
        <v>1.0</v>
      </c>
      <c r="F48" s="25">
        <v>1.0</v>
      </c>
      <c r="G48" s="25">
        <v>1.0</v>
      </c>
      <c r="H48" s="25">
        <v>1.0</v>
      </c>
      <c r="I48" s="25">
        <v>1.0</v>
      </c>
      <c r="J48" s="25">
        <v>1.0</v>
      </c>
      <c r="K48" s="25">
        <v>1.0</v>
      </c>
      <c r="L48" s="25">
        <v>1.0</v>
      </c>
      <c r="M48" s="25">
        <v>1.0</v>
      </c>
      <c r="N48" s="25">
        <v>1.0</v>
      </c>
      <c r="O48" s="25">
        <v>1.0</v>
      </c>
      <c r="P48" s="25">
        <v>1.0</v>
      </c>
      <c r="Q48" s="25">
        <v>1.0</v>
      </c>
      <c r="R48" s="25">
        <v>1.0</v>
      </c>
      <c r="S48" s="25">
        <v>1.0</v>
      </c>
      <c r="T48" s="25">
        <v>1.0</v>
      </c>
      <c r="U48" s="25">
        <v>1.0</v>
      </c>
      <c r="V48" s="25">
        <v>1.0</v>
      </c>
      <c r="W48" s="25">
        <v>1.0</v>
      </c>
      <c r="X48" s="25">
        <v>1.0</v>
      </c>
      <c r="Y48" s="25">
        <v>1.0</v>
      </c>
      <c r="Z48" s="25">
        <v>1.0</v>
      </c>
      <c r="AA48" s="25">
        <v>1.0</v>
      </c>
      <c r="AB48" s="25">
        <v>1.0</v>
      </c>
      <c r="AC48" s="25">
        <v>1.0</v>
      </c>
      <c r="AD48" s="25">
        <v>1.0</v>
      </c>
      <c r="AE48" s="25">
        <v>1.0</v>
      </c>
      <c r="AF48" s="25">
        <v>1.0</v>
      </c>
      <c r="AG48" s="25">
        <v>0.5</v>
      </c>
      <c r="AH48" s="25">
        <v>0.0</v>
      </c>
      <c r="AI48" s="25">
        <v>0.5</v>
      </c>
      <c r="AJ48" s="25">
        <v>1.0</v>
      </c>
      <c r="AK48" s="25">
        <v>1.0</v>
      </c>
      <c r="AL48" s="25">
        <v>1.0</v>
      </c>
      <c r="AM48" s="25">
        <v>1.0</v>
      </c>
      <c r="AN48" s="25">
        <v>1.0</v>
      </c>
      <c r="AO48" s="25">
        <v>1.0</v>
      </c>
      <c r="AP48" s="25">
        <v>1.0</v>
      </c>
      <c r="AQ48" s="25">
        <v>1.0</v>
      </c>
      <c r="AR48" s="25">
        <v>1.0</v>
      </c>
      <c r="AS48" s="25">
        <v>1.0</v>
      </c>
      <c r="AT48" s="25">
        <v>1.0</v>
      </c>
      <c r="AU48" s="25">
        <v>1.0</v>
      </c>
      <c r="AV48" s="25">
        <v>1.0</v>
      </c>
      <c r="AW48" s="25">
        <v>1.0</v>
      </c>
      <c r="AX48" s="25">
        <v>1.0</v>
      </c>
      <c r="AY48" s="25">
        <v>1.0</v>
      </c>
      <c r="AZ48" s="25">
        <v>1.0</v>
      </c>
      <c r="BA48" s="25">
        <v>1.0</v>
      </c>
      <c r="BB48" s="25">
        <v>1.0</v>
      </c>
      <c r="BC48" s="25">
        <v>1.0</v>
      </c>
      <c r="BD48" s="25">
        <v>1.0</v>
      </c>
      <c r="BE48" s="25">
        <v>1.0</v>
      </c>
      <c r="BF48" s="25">
        <v>1.0</v>
      </c>
      <c r="BG48" s="25">
        <v>1.0</v>
      </c>
      <c r="BH48" s="25">
        <v>1.0</v>
      </c>
      <c r="BI48" s="25">
        <v>55.0</v>
      </c>
    </row>
    <row r="49">
      <c r="A49" s="7">
        <v>6910712.0</v>
      </c>
      <c r="B49" s="3" t="s">
        <v>301</v>
      </c>
      <c r="C49" s="7" t="s">
        <v>116</v>
      </c>
      <c r="D49" s="25">
        <v>1.0</v>
      </c>
      <c r="E49" s="25">
        <v>1.0</v>
      </c>
      <c r="F49" s="25">
        <v>1.0</v>
      </c>
      <c r="G49" s="25">
        <v>1.0</v>
      </c>
      <c r="H49" s="25">
        <v>1.0</v>
      </c>
      <c r="I49" s="25">
        <v>1.0</v>
      </c>
      <c r="J49" s="25">
        <v>1.0</v>
      </c>
      <c r="K49" s="25">
        <v>1.0</v>
      </c>
      <c r="L49" s="25">
        <v>1.0</v>
      </c>
      <c r="M49" s="25">
        <v>1.0</v>
      </c>
      <c r="N49" s="25">
        <v>1.0</v>
      </c>
      <c r="O49" s="25">
        <v>1.0</v>
      </c>
      <c r="P49" s="25">
        <v>0.5</v>
      </c>
      <c r="Q49" s="25">
        <v>0.0</v>
      </c>
      <c r="R49" s="25">
        <v>0.0</v>
      </c>
      <c r="S49" s="25">
        <v>0.0</v>
      </c>
      <c r="T49" s="25">
        <v>0.0</v>
      </c>
      <c r="U49" s="25">
        <v>0.0</v>
      </c>
      <c r="V49" s="25">
        <v>0.0</v>
      </c>
      <c r="W49" s="25">
        <v>0.0</v>
      </c>
      <c r="X49" s="25">
        <v>0.0</v>
      </c>
      <c r="Y49" s="25">
        <v>0.0</v>
      </c>
      <c r="Z49" s="25">
        <v>0.0</v>
      </c>
      <c r="AA49" s="25">
        <v>0.0</v>
      </c>
      <c r="AB49" s="25">
        <v>0.0</v>
      </c>
      <c r="AC49" s="25">
        <v>0.0</v>
      </c>
      <c r="AD49" s="25">
        <v>0.0</v>
      </c>
      <c r="AE49" s="25">
        <v>0.0</v>
      </c>
      <c r="AF49" s="25">
        <v>0.0</v>
      </c>
      <c r="AG49" s="25">
        <v>0.0</v>
      </c>
      <c r="AH49" s="25">
        <v>0.5</v>
      </c>
      <c r="AI49" s="25">
        <v>1.0</v>
      </c>
      <c r="AJ49" s="25">
        <v>1.0</v>
      </c>
      <c r="AK49" s="25">
        <v>1.0</v>
      </c>
      <c r="AL49" s="25">
        <v>1.0</v>
      </c>
      <c r="AM49" s="25">
        <v>1.0</v>
      </c>
      <c r="AN49" s="25">
        <v>1.0</v>
      </c>
      <c r="AO49" s="25">
        <v>1.0</v>
      </c>
      <c r="AP49" s="25">
        <v>1.0</v>
      </c>
      <c r="AQ49" s="25">
        <v>1.0</v>
      </c>
      <c r="AR49" s="25">
        <v>1.0</v>
      </c>
      <c r="AS49" s="25">
        <v>1.0</v>
      </c>
      <c r="AT49" s="25">
        <v>1.0</v>
      </c>
      <c r="AU49" s="25">
        <v>1.0</v>
      </c>
      <c r="AV49" s="25">
        <v>1.0</v>
      </c>
      <c r="AW49" s="25">
        <v>1.0</v>
      </c>
      <c r="AX49" s="25">
        <v>1.0</v>
      </c>
      <c r="AY49" s="25">
        <v>1.0</v>
      </c>
      <c r="AZ49" s="25">
        <v>1.0</v>
      </c>
      <c r="BA49" s="25">
        <v>1.0</v>
      </c>
      <c r="BB49" s="25">
        <v>1.0</v>
      </c>
      <c r="BC49" s="25">
        <v>1.0</v>
      </c>
      <c r="BD49" s="25">
        <v>1.0</v>
      </c>
      <c r="BE49" s="25">
        <v>1.0</v>
      </c>
      <c r="BF49" s="25">
        <v>1.0</v>
      </c>
      <c r="BG49" s="25">
        <v>1.0</v>
      </c>
      <c r="BH49" s="25">
        <v>1.0</v>
      </c>
      <c r="BI49" s="25">
        <v>39.0</v>
      </c>
    </row>
    <row r="50">
      <c r="A50" s="7">
        <v>6428995.0</v>
      </c>
      <c r="B50" s="3" t="s">
        <v>262</v>
      </c>
      <c r="C50" s="7" t="s">
        <v>94</v>
      </c>
      <c r="D50" s="25">
        <v>0.0</v>
      </c>
      <c r="E50" s="25">
        <v>0.0</v>
      </c>
      <c r="F50" s="25">
        <v>0.0</v>
      </c>
      <c r="G50" s="25">
        <v>0.0</v>
      </c>
      <c r="H50" s="25">
        <v>0.0</v>
      </c>
      <c r="I50" s="25">
        <v>0.0</v>
      </c>
      <c r="J50" s="25">
        <v>0.0</v>
      </c>
      <c r="K50" s="25">
        <v>0.0</v>
      </c>
      <c r="L50" s="25">
        <v>0.0</v>
      </c>
      <c r="M50" s="25">
        <v>0.0</v>
      </c>
      <c r="N50" s="25">
        <v>0.0</v>
      </c>
      <c r="O50" s="25">
        <v>0.0</v>
      </c>
      <c r="P50" s="25">
        <v>0.0</v>
      </c>
      <c r="Q50" s="25">
        <v>0.0</v>
      </c>
      <c r="R50" s="25">
        <v>0.0</v>
      </c>
      <c r="S50" s="25">
        <v>0.0</v>
      </c>
      <c r="T50" s="25">
        <v>0.0</v>
      </c>
      <c r="U50" s="25">
        <v>0.0</v>
      </c>
      <c r="V50" s="25">
        <v>0.0</v>
      </c>
      <c r="W50" s="25">
        <v>0.0</v>
      </c>
      <c r="X50" s="25">
        <v>0.0</v>
      </c>
      <c r="Y50" s="25">
        <v>0.0</v>
      </c>
      <c r="Z50" s="25">
        <v>0.0</v>
      </c>
      <c r="AA50" s="25">
        <v>0.0</v>
      </c>
      <c r="AB50" s="25">
        <v>0.0</v>
      </c>
      <c r="AC50" s="25">
        <v>0.0</v>
      </c>
      <c r="AD50" s="25">
        <v>0.0</v>
      </c>
      <c r="AE50" s="25">
        <v>0.0</v>
      </c>
      <c r="AF50" s="25">
        <v>0.0</v>
      </c>
      <c r="AG50" s="25">
        <v>0.0</v>
      </c>
      <c r="AH50" s="25">
        <v>0.0</v>
      </c>
      <c r="AI50" s="25">
        <v>0.0</v>
      </c>
      <c r="AJ50" s="25">
        <v>0.0</v>
      </c>
      <c r="AK50" s="25">
        <v>0.0</v>
      </c>
      <c r="AL50" s="25">
        <v>0.0</v>
      </c>
      <c r="AM50" s="25">
        <v>0.0</v>
      </c>
      <c r="AN50" s="25">
        <v>0.0</v>
      </c>
      <c r="AO50" s="25">
        <v>0.0</v>
      </c>
      <c r="AP50" s="25">
        <v>0.0</v>
      </c>
      <c r="AQ50" s="25">
        <v>0.0</v>
      </c>
      <c r="AR50" s="25">
        <v>0.0</v>
      </c>
      <c r="AS50" s="25">
        <v>0.0</v>
      </c>
      <c r="AT50" s="25">
        <v>0.0</v>
      </c>
      <c r="AU50" s="25">
        <v>0.5</v>
      </c>
      <c r="AV50" s="25">
        <v>1.0</v>
      </c>
      <c r="AW50" s="25">
        <v>1.0</v>
      </c>
      <c r="AX50" s="25">
        <v>1.0</v>
      </c>
      <c r="AY50" s="25">
        <v>1.0</v>
      </c>
      <c r="AZ50" s="25">
        <v>1.0</v>
      </c>
      <c r="BA50" s="25">
        <v>1.0</v>
      </c>
      <c r="BB50" s="25">
        <v>1.0</v>
      </c>
      <c r="BC50" s="25">
        <v>1.0</v>
      </c>
      <c r="BD50" s="25">
        <v>1.0</v>
      </c>
      <c r="BE50" s="25">
        <v>1.0</v>
      </c>
      <c r="BF50" s="25">
        <v>1.0</v>
      </c>
      <c r="BG50" s="25">
        <v>1.0</v>
      </c>
      <c r="BH50" s="25">
        <v>1.0</v>
      </c>
      <c r="BI50" s="25">
        <v>13.5</v>
      </c>
    </row>
    <row r="51">
      <c r="A51" s="7">
        <v>4604692.0</v>
      </c>
      <c r="B51" s="3" t="s">
        <v>318</v>
      </c>
      <c r="C51" s="7" t="s">
        <v>214</v>
      </c>
      <c r="D51" s="25">
        <v>1.0</v>
      </c>
      <c r="E51" s="25">
        <v>1.0</v>
      </c>
      <c r="F51" s="25">
        <v>1.0</v>
      </c>
      <c r="G51" s="25">
        <v>1.0</v>
      </c>
      <c r="H51" s="25">
        <v>1.0</v>
      </c>
      <c r="I51" s="25">
        <v>1.0</v>
      </c>
      <c r="J51" s="25">
        <v>1.0</v>
      </c>
      <c r="K51" s="25">
        <v>1.0</v>
      </c>
      <c r="L51" s="25">
        <v>1.0</v>
      </c>
      <c r="M51" s="25">
        <v>1.0</v>
      </c>
      <c r="N51" s="25">
        <v>1.0</v>
      </c>
      <c r="O51" s="25">
        <v>1.0</v>
      </c>
      <c r="P51" s="25">
        <v>1.0</v>
      </c>
      <c r="Q51" s="25">
        <v>1.0</v>
      </c>
      <c r="R51" s="25">
        <v>1.0</v>
      </c>
      <c r="S51" s="25">
        <v>0.5</v>
      </c>
      <c r="T51" s="25">
        <v>0.0</v>
      </c>
      <c r="U51" s="25">
        <v>0.5</v>
      </c>
      <c r="V51" s="25">
        <v>1.0</v>
      </c>
      <c r="W51" s="25">
        <v>1.0</v>
      </c>
      <c r="X51" s="25">
        <v>1.0</v>
      </c>
      <c r="Y51" s="25">
        <v>1.0</v>
      </c>
      <c r="Z51" s="25">
        <v>1.0</v>
      </c>
      <c r="AA51" s="25">
        <v>1.0</v>
      </c>
      <c r="AB51" s="25">
        <v>1.0</v>
      </c>
      <c r="AC51" s="25">
        <v>1.0</v>
      </c>
      <c r="AD51" s="25">
        <v>1.0</v>
      </c>
      <c r="AE51" s="25">
        <v>1.0</v>
      </c>
      <c r="AF51" s="25">
        <v>1.0</v>
      </c>
      <c r="AG51" s="25">
        <v>1.0</v>
      </c>
      <c r="AH51" s="25">
        <v>1.0</v>
      </c>
      <c r="AI51" s="25">
        <v>1.0</v>
      </c>
      <c r="AJ51" s="25">
        <v>1.0</v>
      </c>
      <c r="AK51" s="25">
        <v>1.0</v>
      </c>
      <c r="AL51" s="25">
        <v>1.0</v>
      </c>
      <c r="AM51" s="25">
        <v>1.0</v>
      </c>
      <c r="AN51" s="25">
        <v>1.0</v>
      </c>
      <c r="AO51" s="25">
        <v>1.0</v>
      </c>
      <c r="AP51" s="25">
        <v>1.0</v>
      </c>
      <c r="AQ51" s="25">
        <v>1.0</v>
      </c>
      <c r="AR51" s="25">
        <v>1.0</v>
      </c>
      <c r="AS51" s="25">
        <v>1.0</v>
      </c>
      <c r="AT51" s="25">
        <v>1.0</v>
      </c>
      <c r="AU51" s="25">
        <v>1.0</v>
      </c>
      <c r="AV51" s="25">
        <v>1.0</v>
      </c>
      <c r="AW51" s="25">
        <v>1.0</v>
      </c>
      <c r="AX51" s="25">
        <v>1.0</v>
      </c>
      <c r="AY51" s="25">
        <v>1.0</v>
      </c>
      <c r="AZ51" s="25">
        <v>1.0</v>
      </c>
      <c r="BA51" s="25">
        <v>1.0</v>
      </c>
      <c r="BB51" s="25">
        <v>1.0</v>
      </c>
      <c r="BC51" s="25">
        <v>1.0</v>
      </c>
      <c r="BD51" s="25">
        <v>1.0</v>
      </c>
      <c r="BE51" s="25">
        <v>1.0</v>
      </c>
      <c r="BF51" s="25">
        <v>1.0</v>
      </c>
      <c r="BG51" s="25">
        <v>1.0</v>
      </c>
      <c r="BH51" s="25">
        <v>1.0</v>
      </c>
      <c r="BI51" s="25">
        <v>55.0</v>
      </c>
    </row>
    <row r="52">
      <c r="A52" s="7">
        <v>6031430.0</v>
      </c>
      <c r="B52" s="3" t="s">
        <v>304</v>
      </c>
      <c r="C52" s="7" t="s">
        <v>94</v>
      </c>
      <c r="D52" s="25">
        <v>1.0</v>
      </c>
      <c r="E52" s="25">
        <v>1.0</v>
      </c>
      <c r="F52" s="25">
        <v>1.0</v>
      </c>
      <c r="G52" s="25">
        <v>0.5</v>
      </c>
      <c r="H52" s="25">
        <v>0.0</v>
      </c>
      <c r="I52" s="25">
        <v>0.0</v>
      </c>
      <c r="J52" s="25">
        <v>0.0</v>
      </c>
      <c r="K52" s="25">
        <v>0.5</v>
      </c>
      <c r="L52" s="25">
        <v>1.0</v>
      </c>
      <c r="M52" s="25">
        <v>1.0</v>
      </c>
      <c r="N52" s="25">
        <v>1.0</v>
      </c>
      <c r="O52" s="25">
        <v>1.0</v>
      </c>
      <c r="P52" s="25">
        <v>1.0</v>
      </c>
      <c r="Q52" s="25">
        <v>1.0</v>
      </c>
      <c r="R52" s="25">
        <v>1.0</v>
      </c>
      <c r="S52" s="25">
        <v>1.0</v>
      </c>
      <c r="T52" s="25">
        <v>1.0</v>
      </c>
      <c r="U52" s="25">
        <v>1.0</v>
      </c>
      <c r="V52" s="25">
        <v>0.5</v>
      </c>
      <c r="W52" s="25">
        <v>0.0</v>
      </c>
      <c r="X52" s="25">
        <v>0.0</v>
      </c>
      <c r="Y52" s="25">
        <v>0.5</v>
      </c>
      <c r="Z52" s="25">
        <v>1.0</v>
      </c>
      <c r="AA52" s="25">
        <v>1.0</v>
      </c>
      <c r="AB52" s="25">
        <v>1.0</v>
      </c>
      <c r="AC52" s="25">
        <v>0.5</v>
      </c>
      <c r="AD52" s="25">
        <v>0.0</v>
      </c>
      <c r="AE52" s="25">
        <v>0.0</v>
      </c>
      <c r="AF52" s="25">
        <v>0.5</v>
      </c>
      <c r="AG52" s="25">
        <v>1.0</v>
      </c>
      <c r="AH52" s="25">
        <v>1.0</v>
      </c>
      <c r="AI52" s="25">
        <v>1.0</v>
      </c>
      <c r="AJ52" s="25">
        <v>1.0</v>
      </c>
      <c r="AK52" s="25">
        <v>1.0</v>
      </c>
      <c r="AL52" s="25">
        <v>1.0</v>
      </c>
      <c r="AM52" s="25">
        <v>1.0</v>
      </c>
      <c r="AN52" s="25">
        <v>1.0</v>
      </c>
      <c r="AO52" s="25">
        <v>1.0</v>
      </c>
      <c r="AP52" s="25">
        <v>1.0</v>
      </c>
      <c r="AQ52" s="25">
        <v>1.0</v>
      </c>
      <c r="AR52" s="25">
        <v>1.0</v>
      </c>
      <c r="AS52" s="25">
        <v>1.0</v>
      </c>
      <c r="AT52" s="25">
        <v>1.0</v>
      </c>
      <c r="AU52" s="25">
        <v>1.0</v>
      </c>
      <c r="AV52" s="25">
        <v>1.0</v>
      </c>
      <c r="AW52" s="25">
        <v>1.0</v>
      </c>
      <c r="AX52" s="25">
        <v>1.0</v>
      </c>
      <c r="AY52" s="25">
        <v>1.0</v>
      </c>
      <c r="AZ52" s="25">
        <v>1.0</v>
      </c>
      <c r="BA52" s="25">
        <v>1.0</v>
      </c>
      <c r="BB52" s="25">
        <v>1.0</v>
      </c>
      <c r="BC52" s="25">
        <v>1.0</v>
      </c>
      <c r="BD52" s="25">
        <v>1.0</v>
      </c>
      <c r="BE52" s="25">
        <v>1.0</v>
      </c>
      <c r="BF52" s="25">
        <v>1.0</v>
      </c>
      <c r="BG52" s="25">
        <v>1.0</v>
      </c>
      <c r="BH52" s="25">
        <v>1.0</v>
      </c>
      <c r="BI52" s="25">
        <v>47.0</v>
      </c>
    </row>
    <row r="53">
      <c r="A53" s="7">
        <v>5682069.0</v>
      </c>
      <c r="B53" s="3" t="s">
        <v>324</v>
      </c>
      <c r="C53" s="7" t="s">
        <v>94</v>
      </c>
      <c r="D53" s="25">
        <v>1.0</v>
      </c>
      <c r="E53" s="25">
        <v>1.0</v>
      </c>
      <c r="F53" s="25">
        <v>1.0</v>
      </c>
      <c r="G53" s="25">
        <v>1.0</v>
      </c>
      <c r="H53" s="25">
        <v>1.0</v>
      </c>
      <c r="I53" s="25">
        <v>1.0</v>
      </c>
      <c r="J53" s="25">
        <v>1.0</v>
      </c>
      <c r="K53" s="25">
        <v>1.0</v>
      </c>
      <c r="L53" s="25">
        <v>1.0</v>
      </c>
      <c r="M53" s="25">
        <v>1.0</v>
      </c>
      <c r="N53" s="25">
        <v>1.0</v>
      </c>
      <c r="O53" s="25">
        <v>1.0</v>
      </c>
      <c r="P53" s="25">
        <v>0.5</v>
      </c>
      <c r="Q53" s="25">
        <v>0.0</v>
      </c>
      <c r="R53" s="25">
        <v>0.0</v>
      </c>
      <c r="S53" s="25">
        <v>0.5</v>
      </c>
      <c r="T53" s="25">
        <v>1.0</v>
      </c>
      <c r="U53" s="25">
        <v>1.0</v>
      </c>
      <c r="V53" s="25">
        <v>1.0</v>
      </c>
      <c r="W53" s="25">
        <v>1.0</v>
      </c>
      <c r="X53" s="25">
        <v>1.0</v>
      </c>
      <c r="Y53" s="25">
        <v>0.5</v>
      </c>
      <c r="Z53" s="25">
        <v>0.0</v>
      </c>
      <c r="AA53" s="25">
        <v>0.0</v>
      </c>
      <c r="AB53" s="25">
        <v>0.5</v>
      </c>
      <c r="AC53" s="25">
        <v>1.0</v>
      </c>
      <c r="AD53" s="25">
        <v>1.0</v>
      </c>
      <c r="AE53" s="25">
        <v>1.0</v>
      </c>
      <c r="AF53" s="25">
        <v>1.0</v>
      </c>
      <c r="AG53" s="25">
        <v>1.0</v>
      </c>
      <c r="AH53" s="25">
        <v>1.0</v>
      </c>
      <c r="AI53" s="25">
        <v>1.0</v>
      </c>
      <c r="AJ53" s="25">
        <v>1.0</v>
      </c>
      <c r="AK53" s="25">
        <v>1.0</v>
      </c>
      <c r="AL53" s="25">
        <v>1.0</v>
      </c>
      <c r="AM53" s="25">
        <v>1.0</v>
      </c>
      <c r="AN53" s="25">
        <v>1.0</v>
      </c>
      <c r="AO53" s="25">
        <v>1.0</v>
      </c>
      <c r="AP53" s="25">
        <v>1.0</v>
      </c>
      <c r="AQ53" s="25">
        <v>1.0</v>
      </c>
      <c r="AR53" s="25">
        <v>1.0</v>
      </c>
      <c r="AS53" s="25">
        <v>1.0</v>
      </c>
      <c r="AT53" s="25">
        <v>1.0</v>
      </c>
      <c r="AU53" s="25">
        <v>1.0</v>
      </c>
      <c r="AV53" s="25">
        <v>1.0</v>
      </c>
      <c r="AW53" s="25">
        <v>1.0</v>
      </c>
      <c r="AX53" s="25">
        <v>1.0</v>
      </c>
      <c r="AY53" s="25">
        <v>1.0</v>
      </c>
      <c r="AZ53" s="25">
        <v>1.0</v>
      </c>
      <c r="BA53" s="25">
        <v>1.0</v>
      </c>
      <c r="BB53" s="25">
        <v>1.0</v>
      </c>
      <c r="BC53" s="25">
        <v>1.0</v>
      </c>
      <c r="BD53" s="25">
        <v>1.0</v>
      </c>
      <c r="BE53" s="25">
        <v>1.0</v>
      </c>
      <c r="BF53" s="25">
        <v>1.0</v>
      </c>
      <c r="BG53" s="25">
        <v>1.0</v>
      </c>
      <c r="BH53" s="25">
        <v>1.0</v>
      </c>
      <c r="BI53" s="25">
        <v>51.0</v>
      </c>
    </row>
    <row r="54">
      <c r="A54" s="7">
        <v>3.5925205E7</v>
      </c>
      <c r="B54" s="3" t="s">
        <v>143</v>
      </c>
      <c r="C54" s="7" t="s">
        <v>146</v>
      </c>
      <c r="D54" s="25">
        <v>0.0</v>
      </c>
      <c r="E54" s="25">
        <v>0.0</v>
      </c>
      <c r="F54" s="25">
        <v>0.0</v>
      </c>
      <c r="G54" s="25">
        <v>0.0</v>
      </c>
      <c r="H54" s="25">
        <v>0.0</v>
      </c>
      <c r="I54" s="25">
        <v>0.0</v>
      </c>
      <c r="J54" s="25">
        <v>0.0</v>
      </c>
      <c r="K54" s="25">
        <v>0.0</v>
      </c>
      <c r="L54" s="25">
        <v>0.0</v>
      </c>
      <c r="M54" s="25">
        <v>0.0</v>
      </c>
      <c r="N54" s="25">
        <v>0.5</v>
      </c>
      <c r="O54" s="25">
        <v>1.0</v>
      </c>
      <c r="P54" s="25">
        <v>1.0</v>
      </c>
      <c r="Q54" s="25">
        <v>1.0</v>
      </c>
      <c r="R54" s="25">
        <v>1.0</v>
      </c>
      <c r="S54" s="25">
        <v>1.0</v>
      </c>
      <c r="T54" s="25">
        <v>1.0</v>
      </c>
      <c r="U54" s="25">
        <v>1.0</v>
      </c>
      <c r="V54" s="25">
        <v>1.0</v>
      </c>
      <c r="W54" s="25">
        <v>1.0</v>
      </c>
      <c r="X54" s="25">
        <v>1.0</v>
      </c>
      <c r="Y54" s="25">
        <v>1.0</v>
      </c>
      <c r="Z54" s="25">
        <v>1.0</v>
      </c>
      <c r="AA54" s="25">
        <v>1.0</v>
      </c>
      <c r="AB54" s="25">
        <v>1.0</v>
      </c>
      <c r="AC54" s="25">
        <v>1.0</v>
      </c>
      <c r="AD54" s="25">
        <v>1.0</v>
      </c>
      <c r="AE54" s="25">
        <v>1.0</v>
      </c>
      <c r="AF54" s="25">
        <v>1.0</v>
      </c>
      <c r="AG54" s="25">
        <v>1.0</v>
      </c>
      <c r="AH54" s="25">
        <v>1.0</v>
      </c>
      <c r="AI54" s="25">
        <v>1.0</v>
      </c>
      <c r="AJ54" s="25">
        <v>1.0</v>
      </c>
      <c r="AK54" s="25">
        <v>1.0</v>
      </c>
      <c r="AL54" s="25">
        <v>1.0</v>
      </c>
      <c r="AM54" s="25">
        <v>1.0</v>
      </c>
      <c r="AN54" s="25">
        <v>1.0</v>
      </c>
      <c r="AO54" s="25">
        <v>1.0</v>
      </c>
      <c r="AP54" s="25">
        <v>1.0</v>
      </c>
      <c r="AQ54" s="25">
        <v>1.0</v>
      </c>
      <c r="AR54" s="25">
        <v>1.0</v>
      </c>
      <c r="AS54" s="25">
        <v>1.0</v>
      </c>
      <c r="AT54" s="25">
        <v>1.0</v>
      </c>
      <c r="AU54" s="25">
        <v>1.0</v>
      </c>
      <c r="AV54" s="25">
        <v>1.0</v>
      </c>
      <c r="AW54" s="25">
        <v>1.0</v>
      </c>
      <c r="AX54" s="25">
        <v>1.0</v>
      </c>
      <c r="AY54" s="25">
        <v>1.0</v>
      </c>
      <c r="AZ54" s="25">
        <v>1.0</v>
      </c>
      <c r="BA54" s="25">
        <v>1.0</v>
      </c>
      <c r="BB54" s="25">
        <v>1.0</v>
      </c>
      <c r="BC54" s="25">
        <v>1.0</v>
      </c>
      <c r="BD54" s="25">
        <v>1.0</v>
      </c>
      <c r="BE54" s="25">
        <v>1.0</v>
      </c>
      <c r="BF54" s="25">
        <v>1.0</v>
      </c>
      <c r="BG54" s="25">
        <v>1.0</v>
      </c>
      <c r="BH54" s="25">
        <v>1.0</v>
      </c>
      <c r="BI54" s="25">
        <v>46.5</v>
      </c>
    </row>
    <row r="55">
      <c r="A55" s="7">
        <v>1.231231E8</v>
      </c>
      <c r="B55" s="3" t="s">
        <v>328</v>
      </c>
      <c r="C55" s="7" t="s">
        <v>94</v>
      </c>
      <c r="D55" s="25">
        <v>1.0</v>
      </c>
      <c r="E55" s="25">
        <v>1.0</v>
      </c>
      <c r="F55" s="25">
        <v>1.0</v>
      </c>
      <c r="G55" s="25">
        <v>1.0</v>
      </c>
      <c r="H55" s="25">
        <v>1.0</v>
      </c>
      <c r="I55" s="25">
        <v>1.0</v>
      </c>
      <c r="J55" s="25">
        <v>1.0</v>
      </c>
      <c r="K55" s="25">
        <v>1.0</v>
      </c>
      <c r="L55" s="25">
        <v>1.0</v>
      </c>
      <c r="M55" s="25">
        <v>1.0</v>
      </c>
      <c r="N55" s="25">
        <v>1.0</v>
      </c>
      <c r="O55" s="25">
        <v>1.0</v>
      </c>
      <c r="P55" s="25">
        <v>1.0</v>
      </c>
      <c r="Q55" s="25">
        <v>1.0</v>
      </c>
      <c r="R55" s="25">
        <v>1.0</v>
      </c>
      <c r="S55" s="25">
        <v>1.0</v>
      </c>
      <c r="T55" s="25">
        <v>1.0</v>
      </c>
      <c r="U55" s="25">
        <v>1.0</v>
      </c>
      <c r="V55" s="25">
        <v>1.0</v>
      </c>
      <c r="W55" s="25">
        <v>1.0</v>
      </c>
      <c r="X55" s="25">
        <v>1.0</v>
      </c>
      <c r="Y55" s="25">
        <v>1.0</v>
      </c>
      <c r="Z55" s="25">
        <v>1.0</v>
      </c>
      <c r="AA55" s="25">
        <v>1.0</v>
      </c>
      <c r="AB55" s="25">
        <v>1.0</v>
      </c>
      <c r="AC55" s="25">
        <v>1.0</v>
      </c>
      <c r="AD55" s="25">
        <v>1.0</v>
      </c>
      <c r="AE55" s="25">
        <v>1.0</v>
      </c>
      <c r="AF55" s="25">
        <v>1.0</v>
      </c>
      <c r="AG55" s="25">
        <v>1.0</v>
      </c>
      <c r="AH55" s="25">
        <v>1.0</v>
      </c>
      <c r="AI55" s="25">
        <v>1.0</v>
      </c>
      <c r="AJ55" s="25">
        <v>1.0</v>
      </c>
      <c r="AK55" s="25">
        <v>1.0</v>
      </c>
      <c r="AL55" s="25">
        <v>1.0</v>
      </c>
      <c r="AM55" s="25">
        <v>1.0</v>
      </c>
      <c r="AN55" s="25">
        <v>1.0</v>
      </c>
      <c r="AO55" s="25">
        <v>1.0</v>
      </c>
      <c r="AP55" s="25">
        <v>1.0</v>
      </c>
      <c r="AQ55" s="25">
        <v>1.0</v>
      </c>
      <c r="AR55" s="25">
        <v>1.0</v>
      </c>
      <c r="AS55" s="25">
        <v>1.0</v>
      </c>
      <c r="AT55" s="25">
        <v>1.0</v>
      </c>
      <c r="AU55" s="25">
        <v>1.0</v>
      </c>
      <c r="AV55" s="25">
        <v>1.0</v>
      </c>
      <c r="AW55" s="25">
        <v>1.0</v>
      </c>
      <c r="AX55" s="25">
        <v>1.0</v>
      </c>
      <c r="AY55" s="25">
        <v>1.0</v>
      </c>
      <c r="AZ55" s="25">
        <v>1.0</v>
      </c>
      <c r="BA55" s="25">
        <v>1.0</v>
      </c>
      <c r="BB55" s="25">
        <v>1.0</v>
      </c>
      <c r="BC55" s="25">
        <v>1.0</v>
      </c>
      <c r="BD55" s="25">
        <v>1.0</v>
      </c>
      <c r="BE55" s="25">
        <v>1.0</v>
      </c>
      <c r="BF55" s="25">
        <v>1.0</v>
      </c>
      <c r="BG55" s="25">
        <v>1.0</v>
      </c>
      <c r="BH55" s="25">
        <v>1.0</v>
      </c>
      <c r="BI55" s="25">
        <v>57.0</v>
      </c>
    </row>
    <row r="56">
      <c r="A56" s="7">
        <v>8015196.0</v>
      </c>
      <c r="B56" s="3" t="s">
        <v>331</v>
      </c>
      <c r="C56" s="7" t="s">
        <v>94</v>
      </c>
      <c r="D56" s="25">
        <v>0.0</v>
      </c>
      <c r="E56" s="25">
        <v>0.0</v>
      </c>
      <c r="F56" s="25">
        <v>0.0</v>
      </c>
      <c r="G56" s="25">
        <v>0.0</v>
      </c>
      <c r="H56" s="25">
        <v>0.0</v>
      </c>
      <c r="I56" s="25">
        <v>0.0</v>
      </c>
      <c r="J56" s="25">
        <v>0.0</v>
      </c>
      <c r="K56" s="25">
        <v>0.0</v>
      </c>
      <c r="L56" s="25">
        <v>0.0</v>
      </c>
      <c r="M56" s="25">
        <v>0.0</v>
      </c>
      <c r="N56" s="25">
        <v>0.0</v>
      </c>
      <c r="O56" s="25">
        <v>0.0</v>
      </c>
      <c r="P56" s="25">
        <v>0.0</v>
      </c>
      <c r="Q56" s="25">
        <v>0.0</v>
      </c>
      <c r="R56" s="25">
        <v>0.0</v>
      </c>
      <c r="S56" s="25">
        <v>0.0</v>
      </c>
      <c r="T56" s="25">
        <v>0.0</v>
      </c>
      <c r="U56" s="25">
        <v>0.0</v>
      </c>
      <c r="V56" s="25">
        <v>0.0</v>
      </c>
      <c r="W56" s="25">
        <v>0.0</v>
      </c>
      <c r="X56" s="25">
        <v>0.0</v>
      </c>
      <c r="Y56" s="25">
        <v>0.0</v>
      </c>
      <c r="Z56" s="25">
        <v>0.0</v>
      </c>
      <c r="AA56" s="25">
        <v>0.0</v>
      </c>
      <c r="AB56" s="25">
        <v>0.0</v>
      </c>
      <c r="AC56" s="25">
        <v>0.0</v>
      </c>
      <c r="AD56" s="25">
        <v>0.0</v>
      </c>
      <c r="AE56" s="25">
        <v>0.0</v>
      </c>
      <c r="AF56" s="25">
        <v>0.0</v>
      </c>
      <c r="AG56" s="25">
        <v>0.0</v>
      </c>
      <c r="AH56" s="25">
        <v>0.0</v>
      </c>
      <c r="AI56" s="25">
        <v>0.0</v>
      </c>
      <c r="AJ56" s="25">
        <v>0.0</v>
      </c>
      <c r="AK56" s="25">
        <v>0.0</v>
      </c>
      <c r="AL56" s="25">
        <v>0.0</v>
      </c>
      <c r="AM56" s="25">
        <v>0.0</v>
      </c>
      <c r="AN56" s="25">
        <v>0.0</v>
      </c>
      <c r="AO56" s="25">
        <v>0.0</v>
      </c>
      <c r="AP56" s="25">
        <v>0.0</v>
      </c>
      <c r="AQ56" s="25">
        <v>0.0</v>
      </c>
      <c r="AR56" s="25">
        <v>0.0</v>
      </c>
      <c r="AS56" s="25">
        <v>0.0</v>
      </c>
      <c r="AT56" s="25">
        <v>0.0</v>
      </c>
      <c r="AU56" s="25">
        <v>0.0</v>
      </c>
      <c r="AV56" s="25">
        <v>0.0</v>
      </c>
      <c r="AW56" s="25">
        <v>0.0</v>
      </c>
      <c r="AX56" s="25">
        <v>0.0</v>
      </c>
      <c r="AY56" s="25">
        <v>0.0</v>
      </c>
      <c r="AZ56" s="25">
        <v>0.0</v>
      </c>
      <c r="BA56" s="25">
        <v>0.0</v>
      </c>
      <c r="BB56" s="25">
        <v>0.0</v>
      </c>
      <c r="BC56" s="25">
        <v>0.0</v>
      </c>
      <c r="BD56" s="25">
        <v>0.0</v>
      </c>
      <c r="BE56" s="25">
        <v>0.0</v>
      </c>
      <c r="BF56" s="25">
        <v>0.0</v>
      </c>
      <c r="BG56" s="25">
        <v>0.0</v>
      </c>
      <c r="BH56" s="25">
        <v>0.0</v>
      </c>
      <c r="BI56" s="25">
        <v>0.0</v>
      </c>
    </row>
    <row r="57">
      <c r="A57" s="7">
        <v>7489746.0</v>
      </c>
      <c r="B57" s="3" t="s">
        <v>252</v>
      </c>
      <c r="C57" s="7" t="s">
        <v>94</v>
      </c>
      <c r="D57" s="25">
        <v>1.0</v>
      </c>
      <c r="E57" s="25">
        <v>1.0</v>
      </c>
      <c r="F57" s="25">
        <v>1.0</v>
      </c>
      <c r="G57" s="25">
        <v>1.0</v>
      </c>
      <c r="H57" s="25">
        <v>1.0</v>
      </c>
      <c r="I57" s="25">
        <v>1.0</v>
      </c>
      <c r="J57" s="25">
        <v>1.0</v>
      </c>
      <c r="K57" s="25">
        <v>1.0</v>
      </c>
      <c r="L57" s="25">
        <v>1.0</v>
      </c>
      <c r="M57" s="25">
        <v>1.0</v>
      </c>
      <c r="N57" s="25">
        <v>1.0</v>
      </c>
      <c r="O57" s="25">
        <v>1.0</v>
      </c>
      <c r="P57" s="25">
        <v>1.0</v>
      </c>
      <c r="Q57" s="25">
        <v>1.0</v>
      </c>
      <c r="R57" s="25">
        <v>1.0</v>
      </c>
      <c r="S57" s="25">
        <v>1.0</v>
      </c>
      <c r="T57" s="25">
        <v>1.0</v>
      </c>
      <c r="U57" s="25">
        <v>1.0</v>
      </c>
      <c r="V57" s="25">
        <v>1.0</v>
      </c>
      <c r="W57" s="25">
        <v>1.0</v>
      </c>
      <c r="X57" s="25">
        <v>0.5</v>
      </c>
      <c r="Y57" s="25">
        <v>0.0</v>
      </c>
      <c r="Z57" s="25">
        <v>0.0</v>
      </c>
      <c r="AA57" s="25">
        <v>0.0</v>
      </c>
      <c r="AB57" s="25">
        <v>0.0</v>
      </c>
      <c r="AC57" s="25">
        <v>0.0</v>
      </c>
      <c r="AD57" s="25">
        <v>0.0</v>
      </c>
      <c r="AE57" s="25">
        <v>0.0</v>
      </c>
      <c r="AF57" s="25">
        <v>0.0</v>
      </c>
      <c r="AG57" s="25">
        <v>0.0</v>
      </c>
      <c r="AH57" s="25">
        <v>0.0</v>
      </c>
      <c r="AI57" s="25">
        <v>0.0</v>
      </c>
      <c r="AJ57" s="25">
        <v>0.0</v>
      </c>
      <c r="AK57" s="25">
        <v>0.0</v>
      </c>
      <c r="AL57" s="25">
        <v>0.0</v>
      </c>
      <c r="AM57" s="25">
        <v>0.0</v>
      </c>
      <c r="AN57" s="25">
        <v>0.0</v>
      </c>
      <c r="AO57" s="25">
        <v>0.0</v>
      </c>
      <c r="AP57" s="25">
        <v>0.0</v>
      </c>
      <c r="AQ57" s="25">
        <v>0.0</v>
      </c>
      <c r="AR57" s="25">
        <v>0.5</v>
      </c>
      <c r="AS57" s="25">
        <v>1.0</v>
      </c>
      <c r="AT57" s="25">
        <v>1.0</v>
      </c>
      <c r="AU57" s="25">
        <v>1.0</v>
      </c>
      <c r="AV57" s="25">
        <v>1.0</v>
      </c>
      <c r="AW57" s="25">
        <v>1.0</v>
      </c>
      <c r="AX57" s="25">
        <v>1.0</v>
      </c>
      <c r="AY57" s="25">
        <v>1.0</v>
      </c>
      <c r="AZ57" s="25">
        <v>1.0</v>
      </c>
      <c r="BA57" s="25">
        <v>1.0</v>
      </c>
      <c r="BB57" s="25">
        <v>1.0</v>
      </c>
      <c r="BC57" s="25">
        <v>1.0</v>
      </c>
      <c r="BD57" s="25">
        <v>1.0</v>
      </c>
      <c r="BE57" s="25">
        <v>1.0</v>
      </c>
      <c r="BF57" s="25">
        <v>1.0</v>
      </c>
      <c r="BG57" s="25">
        <v>1.0</v>
      </c>
      <c r="BH57" s="25">
        <v>1.0</v>
      </c>
      <c r="BI57" s="25">
        <v>37.0</v>
      </c>
    </row>
    <row r="58">
      <c r="A58" s="7">
        <v>8689198.0</v>
      </c>
      <c r="B58" s="3" t="s">
        <v>330</v>
      </c>
      <c r="C58" s="7" t="s">
        <v>94</v>
      </c>
      <c r="D58" s="25">
        <v>1.0</v>
      </c>
      <c r="E58" s="25">
        <v>1.0</v>
      </c>
      <c r="F58" s="25">
        <v>1.0</v>
      </c>
      <c r="G58" s="25">
        <v>1.0</v>
      </c>
      <c r="H58" s="25">
        <v>1.0</v>
      </c>
      <c r="I58" s="25">
        <v>1.0</v>
      </c>
      <c r="J58" s="25">
        <v>1.0</v>
      </c>
      <c r="K58" s="25">
        <v>1.0</v>
      </c>
      <c r="L58" s="25">
        <v>1.0</v>
      </c>
      <c r="M58" s="25">
        <v>1.0</v>
      </c>
      <c r="N58" s="25">
        <v>1.0</v>
      </c>
      <c r="O58" s="25">
        <v>1.0</v>
      </c>
      <c r="P58" s="25">
        <v>1.0</v>
      </c>
      <c r="Q58" s="25">
        <v>1.0</v>
      </c>
      <c r="R58" s="25">
        <v>1.0</v>
      </c>
      <c r="S58" s="25">
        <v>1.0</v>
      </c>
      <c r="T58" s="25">
        <v>1.0</v>
      </c>
      <c r="U58" s="25">
        <v>1.0</v>
      </c>
      <c r="V58" s="25">
        <v>1.0</v>
      </c>
      <c r="W58" s="25">
        <v>1.0</v>
      </c>
      <c r="X58" s="25">
        <v>1.0</v>
      </c>
      <c r="Y58" s="25">
        <v>1.0</v>
      </c>
      <c r="Z58" s="25">
        <v>1.0</v>
      </c>
      <c r="AA58" s="25">
        <v>1.0</v>
      </c>
      <c r="AB58" s="25">
        <v>1.0</v>
      </c>
      <c r="AC58" s="25">
        <v>1.0</v>
      </c>
      <c r="AD58" s="25">
        <v>1.0</v>
      </c>
      <c r="AE58" s="25">
        <v>1.0</v>
      </c>
      <c r="AF58" s="25">
        <v>1.0</v>
      </c>
      <c r="AG58" s="25">
        <v>1.0</v>
      </c>
      <c r="AH58" s="25">
        <v>1.0</v>
      </c>
      <c r="AI58" s="25">
        <v>1.0</v>
      </c>
      <c r="AJ58" s="25">
        <v>1.0</v>
      </c>
      <c r="AK58" s="25">
        <v>1.0</v>
      </c>
      <c r="AL58" s="25">
        <v>1.0</v>
      </c>
      <c r="AM58" s="25">
        <v>1.0</v>
      </c>
      <c r="AN58" s="25">
        <v>1.0</v>
      </c>
      <c r="AO58" s="25">
        <v>1.0</v>
      </c>
      <c r="AP58" s="25">
        <v>1.0</v>
      </c>
      <c r="AQ58" s="25">
        <v>1.0</v>
      </c>
      <c r="AR58" s="25">
        <v>1.0</v>
      </c>
      <c r="AS58" s="25">
        <v>1.0</v>
      </c>
      <c r="AT58" s="25">
        <v>1.0</v>
      </c>
      <c r="AU58" s="25">
        <v>1.0</v>
      </c>
      <c r="AV58" s="25">
        <v>1.0</v>
      </c>
      <c r="AW58" s="25">
        <v>1.0</v>
      </c>
      <c r="AX58" s="25">
        <v>1.0</v>
      </c>
      <c r="AY58" s="25">
        <v>1.0</v>
      </c>
      <c r="AZ58" s="25">
        <v>1.0</v>
      </c>
      <c r="BA58" s="25">
        <v>1.0</v>
      </c>
      <c r="BB58" s="25">
        <v>1.0</v>
      </c>
      <c r="BC58" s="25">
        <v>1.0</v>
      </c>
      <c r="BD58" s="25">
        <v>1.0</v>
      </c>
      <c r="BE58" s="25">
        <v>1.0</v>
      </c>
      <c r="BF58" s="25">
        <v>1.0</v>
      </c>
      <c r="BG58" s="25">
        <v>1.0</v>
      </c>
      <c r="BH58" s="25">
        <v>1.0</v>
      </c>
      <c r="BI58" s="25">
        <v>57.0</v>
      </c>
    </row>
    <row r="59">
      <c r="A59" s="7">
        <v>7379602.0</v>
      </c>
      <c r="B59" s="3" t="s">
        <v>258</v>
      </c>
      <c r="C59" s="7" t="s">
        <v>94</v>
      </c>
      <c r="D59" s="25">
        <v>1.0</v>
      </c>
      <c r="E59" s="25">
        <v>1.0</v>
      </c>
      <c r="F59" s="25">
        <v>1.0</v>
      </c>
      <c r="G59" s="25">
        <v>0.5</v>
      </c>
      <c r="H59" s="25">
        <v>0.0</v>
      </c>
      <c r="I59" s="25">
        <v>0.0</v>
      </c>
      <c r="J59" s="25">
        <v>0.5</v>
      </c>
      <c r="K59" s="25">
        <v>1.0</v>
      </c>
      <c r="L59" s="25">
        <v>1.0</v>
      </c>
      <c r="M59" s="25">
        <v>1.0</v>
      </c>
      <c r="N59" s="25">
        <v>1.0</v>
      </c>
      <c r="O59" s="25">
        <v>1.0</v>
      </c>
      <c r="P59" s="25">
        <v>1.0</v>
      </c>
      <c r="Q59" s="25">
        <v>0.5</v>
      </c>
      <c r="R59" s="25">
        <v>0.0</v>
      </c>
      <c r="S59" s="25">
        <v>0.0</v>
      </c>
      <c r="T59" s="25">
        <v>0.5</v>
      </c>
      <c r="U59" s="25">
        <v>1.0</v>
      </c>
      <c r="V59" s="25">
        <v>1.0</v>
      </c>
      <c r="W59" s="25">
        <v>1.0</v>
      </c>
      <c r="X59" s="25">
        <v>1.0</v>
      </c>
      <c r="Y59" s="25">
        <v>1.0</v>
      </c>
      <c r="Z59" s="25">
        <v>1.0</v>
      </c>
      <c r="AA59" s="25">
        <v>1.0</v>
      </c>
      <c r="AB59" s="25">
        <v>1.0</v>
      </c>
      <c r="AC59" s="25">
        <v>1.0</v>
      </c>
      <c r="AD59" s="25">
        <v>1.0</v>
      </c>
      <c r="AE59" s="25">
        <v>1.0</v>
      </c>
      <c r="AF59" s="25">
        <v>1.0</v>
      </c>
      <c r="AG59" s="25">
        <v>1.0</v>
      </c>
      <c r="AH59" s="25">
        <v>1.0</v>
      </c>
      <c r="AI59" s="25">
        <v>1.0</v>
      </c>
      <c r="AJ59" s="25">
        <v>1.0</v>
      </c>
      <c r="AK59" s="25">
        <v>1.0</v>
      </c>
      <c r="AL59" s="25">
        <v>1.0</v>
      </c>
      <c r="AM59" s="25">
        <v>1.0</v>
      </c>
      <c r="AN59" s="25">
        <v>1.0</v>
      </c>
      <c r="AO59" s="25">
        <v>1.0</v>
      </c>
      <c r="AP59" s="25">
        <v>1.0</v>
      </c>
      <c r="AQ59" s="25">
        <v>1.0</v>
      </c>
      <c r="AR59" s="25">
        <v>1.0</v>
      </c>
      <c r="AS59" s="25">
        <v>1.0</v>
      </c>
      <c r="AT59" s="25">
        <v>1.0</v>
      </c>
      <c r="AU59" s="25">
        <v>1.0</v>
      </c>
      <c r="AV59" s="25">
        <v>1.0</v>
      </c>
      <c r="AW59" s="25">
        <v>1.0</v>
      </c>
      <c r="AX59" s="25">
        <v>1.0</v>
      </c>
      <c r="AY59" s="25">
        <v>1.0</v>
      </c>
      <c r="AZ59" s="25">
        <v>1.0</v>
      </c>
      <c r="BA59" s="25">
        <v>1.0</v>
      </c>
      <c r="BB59" s="25">
        <v>1.0</v>
      </c>
      <c r="BC59" s="25">
        <v>1.0</v>
      </c>
      <c r="BD59" s="25">
        <v>1.0</v>
      </c>
      <c r="BE59" s="25">
        <v>1.0</v>
      </c>
      <c r="BF59" s="25">
        <v>1.0</v>
      </c>
      <c r="BG59" s="25">
        <v>1.0</v>
      </c>
      <c r="BH59" s="25">
        <v>1.0</v>
      </c>
      <c r="BI59" s="25">
        <v>51.0</v>
      </c>
    </row>
    <row r="60">
      <c r="A60" s="7">
        <v>4667148.0</v>
      </c>
      <c r="B60" s="3" t="s">
        <v>55</v>
      </c>
      <c r="C60" s="7" t="s">
        <v>116</v>
      </c>
      <c r="D60" s="25">
        <v>1.0</v>
      </c>
      <c r="E60" s="25">
        <v>1.0</v>
      </c>
      <c r="F60" s="25">
        <v>1.0</v>
      </c>
      <c r="G60" s="25">
        <v>1.0</v>
      </c>
      <c r="H60" s="25">
        <v>1.0</v>
      </c>
      <c r="I60" s="25">
        <v>1.0</v>
      </c>
      <c r="J60" s="25">
        <v>1.0</v>
      </c>
      <c r="K60" s="25">
        <v>1.0</v>
      </c>
      <c r="L60" s="25">
        <v>1.0</v>
      </c>
      <c r="M60" s="25">
        <v>1.0</v>
      </c>
      <c r="N60" s="25">
        <v>1.0</v>
      </c>
      <c r="O60" s="25">
        <v>1.0</v>
      </c>
      <c r="P60" s="25">
        <v>1.0</v>
      </c>
      <c r="Q60" s="25">
        <v>0.5</v>
      </c>
      <c r="R60" s="25">
        <v>0.0</v>
      </c>
      <c r="S60" s="25">
        <v>0.0</v>
      </c>
      <c r="T60" s="25">
        <v>0.0</v>
      </c>
      <c r="U60" s="25">
        <v>0.0</v>
      </c>
      <c r="V60" s="25">
        <v>0.0</v>
      </c>
      <c r="W60" s="25">
        <v>0.5</v>
      </c>
      <c r="X60" s="25">
        <v>1.0</v>
      </c>
      <c r="Y60" s="25">
        <v>1.0</v>
      </c>
      <c r="Z60" s="25">
        <v>1.0</v>
      </c>
      <c r="AA60" s="25">
        <v>1.0</v>
      </c>
      <c r="AB60" s="25">
        <v>1.0</v>
      </c>
      <c r="AC60" s="25">
        <v>1.0</v>
      </c>
      <c r="AD60" s="25">
        <v>1.0</v>
      </c>
      <c r="AE60" s="25">
        <v>1.0</v>
      </c>
      <c r="AF60" s="25">
        <v>1.0</v>
      </c>
      <c r="AG60" s="25">
        <v>1.0</v>
      </c>
      <c r="AH60" s="25">
        <v>1.0</v>
      </c>
      <c r="AI60" s="25">
        <v>1.0</v>
      </c>
      <c r="AJ60" s="25">
        <v>1.0</v>
      </c>
      <c r="AK60" s="25">
        <v>1.0</v>
      </c>
      <c r="AL60" s="25">
        <v>1.0</v>
      </c>
      <c r="AM60" s="25">
        <v>1.0</v>
      </c>
      <c r="AN60" s="25">
        <v>1.0</v>
      </c>
      <c r="AO60" s="25">
        <v>1.0</v>
      </c>
      <c r="AP60" s="25">
        <v>1.0</v>
      </c>
      <c r="AQ60" s="25">
        <v>1.0</v>
      </c>
      <c r="AR60" s="25">
        <v>1.0</v>
      </c>
      <c r="AS60" s="25">
        <v>1.0</v>
      </c>
      <c r="AT60" s="25">
        <v>1.0</v>
      </c>
      <c r="AU60" s="25">
        <v>1.0</v>
      </c>
      <c r="AV60" s="25">
        <v>1.0</v>
      </c>
      <c r="AW60" s="25">
        <v>1.0</v>
      </c>
      <c r="AX60" s="25">
        <v>1.0</v>
      </c>
      <c r="AY60" s="25">
        <v>1.0</v>
      </c>
      <c r="AZ60" s="25">
        <v>1.0</v>
      </c>
      <c r="BA60" s="25">
        <v>1.0</v>
      </c>
      <c r="BB60" s="25">
        <v>1.0</v>
      </c>
      <c r="BC60" s="25">
        <v>1.0</v>
      </c>
      <c r="BD60" s="25">
        <v>1.0</v>
      </c>
      <c r="BE60" s="25">
        <v>1.0</v>
      </c>
      <c r="BF60" s="25">
        <v>1.0</v>
      </c>
      <c r="BG60" s="25">
        <v>1.0</v>
      </c>
      <c r="BH60" s="25">
        <v>1.0</v>
      </c>
      <c r="BI60" s="25">
        <v>51.0</v>
      </c>
    </row>
    <row r="61">
      <c r="A61" s="7">
        <v>6874858.0</v>
      </c>
      <c r="B61" s="3" t="s">
        <v>275</v>
      </c>
      <c r="C61" s="7" t="s">
        <v>214</v>
      </c>
      <c r="D61" s="25">
        <v>1.0</v>
      </c>
      <c r="E61" s="25">
        <v>1.0</v>
      </c>
      <c r="F61" s="25">
        <v>1.0</v>
      </c>
      <c r="G61" s="25">
        <v>1.0</v>
      </c>
      <c r="H61" s="25">
        <v>1.0</v>
      </c>
      <c r="I61" s="25">
        <v>1.0</v>
      </c>
      <c r="J61" s="25">
        <v>1.0</v>
      </c>
      <c r="K61" s="25">
        <v>0.5</v>
      </c>
      <c r="L61" s="25">
        <v>0.0</v>
      </c>
      <c r="M61" s="25">
        <v>0.0</v>
      </c>
      <c r="N61" s="25">
        <v>0.0</v>
      </c>
      <c r="O61" s="25">
        <v>0.0</v>
      </c>
      <c r="P61" s="25">
        <v>0.0</v>
      </c>
      <c r="Q61" s="25">
        <v>0.0</v>
      </c>
      <c r="R61" s="25">
        <v>0.0</v>
      </c>
      <c r="S61" s="25">
        <v>0.0</v>
      </c>
      <c r="T61" s="25">
        <v>0.0</v>
      </c>
      <c r="U61" s="25">
        <v>0.0</v>
      </c>
      <c r="V61" s="25">
        <v>0.0</v>
      </c>
      <c r="W61" s="25">
        <v>0.0</v>
      </c>
      <c r="X61" s="25">
        <v>0.0</v>
      </c>
      <c r="Y61" s="25">
        <v>0.0</v>
      </c>
      <c r="Z61" s="25">
        <v>0.0</v>
      </c>
      <c r="AA61" s="25">
        <v>0.0</v>
      </c>
      <c r="AB61" s="25">
        <v>0.0</v>
      </c>
      <c r="AC61" s="25">
        <v>0.0</v>
      </c>
      <c r="AD61" s="25">
        <v>0.0</v>
      </c>
      <c r="AE61" s="25">
        <v>0.0</v>
      </c>
      <c r="AF61" s="25">
        <v>0.0</v>
      </c>
      <c r="AG61" s="25">
        <v>0.0</v>
      </c>
      <c r="AH61" s="25">
        <v>0.0</v>
      </c>
      <c r="AI61" s="25">
        <v>0.0</v>
      </c>
      <c r="AJ61" s="25">
        <v>0.0</v>
      </c>
      <c r="AK61" s="25">
        <v>0.0</v>
      </c>
      <c r="AL61" s="25">
        <v>0.0</v>
      </c>
      <c r="AM61" s="25">
        <v>0.0</v>
      </c>
      <c r="AN61" s="25">
        <v>0.0</v>
      </c>
      <c r="AO61" s="25">
        <v>0.0</v>
      </c>
      <c r="AP61" s="25">
        <v>0.0</v>
      </c>
      <c r="AQ61" s="25">
        <v>0.0</v>
      </c>
      <c r="AR61" s="25">
        <v>0.0</v>
      </c>
      <c r="AS61" s="25">
        <v>0.0</v>
      </c>
      <c r="AT61" s="25">
        <v>0.5</v>
      </c>
      <c r="AU61" s="25">
        <v>1.0</v>
      </c>
      <c r="AV61" s="25">
        <v>1.0</v>
      </c>
      <c r="AW61" s="25">
        <v>1.0</v>
      </c>
      <c r="AX61" s="25">
        <v>1.0</v>
      </c>
      <c r="AY61" s="25">
        <v>1.0</v>
      </c>
      <c r="AZ61" s="25">
        <v>1.0</v>
      </c>
      <c r="BA61" s="25">
        <v>1.0</v>
      </c>
      <c r="BB61" s="25">
        <v>1.0</v>
      </c>
      <c r="BC61" s="25">
        <v>1.0</v>
      </c>
      <c r="BD61" s="25">
        <v>1.0</v>
      </c>
      <c r="BE61" s="25">
        <v>1.0</v>
      </c>
      <c r="BF61" s="25">
        <v>1.0</v>
      </c>
      <c r="BG61" s="25">
        <v>1.0</v>
      </c>
      <c r="BH61" s="25">
        <v>1.0</v>
      </c>
      <c r="BI61" s="25">
        <v>22.0</v>
      </c>
    </row>
    <row r="62">
      <c r="A62" s="7">
        <v>4635553.0</v>
      </c>
      <c r="B62" s="3" t="s">
        <v>222</v>
      </c>
      <c r="C62" s="7" t="s">
        <v>94</v>
      </c>
      <c r="D62" s="25">
        <v>1.0</v>
      </c>
      <c r="E62" s="25">
        <v>1.0</v>
      </c>
      <c r="F62" s="25">
        <v>1.0</v>
      </c>
      <c r="G62" s="25">
        <v>1.0</v>
      </c>
      <c r="H62" s="25">
        <v>1.0</v>
      </c>
      <c r="I62" s="25">
        <v>1.0</v>
      </c>
      <c r="J62" s="25">
        <v>1.0</v>
      </c>
      <c r="K62" s="25">
        <v>1.0</v>
      </c>
      <c r="L62" s="25">
        <v>1.0</v>
      </c>
      <c r="M62" s="25">
        <v>1.0</v>
      </c>
      <c r="N62" s="25">
        <v>1.0</v>
      </c>
      <c r="O62" s="25">
        <v>1.0</v>
      </c>
      <c r="P62" s="25">
        <v>1.0</v>
      </c>
      <c r="Q62" s="25">
        <v>1.0</v>
      </c>
      <c r="R62" s="25">
        <v>1.0</v>
      </c>
      <c r="S62" s="25">
        <v>1.0</v>
      </c>
      <c r="T62" s="25">
        <v>1.0</v>
      </c>
      <c r="U62" s="25">
        <v>1.0</v>
      </c>
      <c r="V62" s="25">
        <v>1.0</v>
      </c>
      <c r="W62" s="25">
        <v>1.0</v>
      </c>
      <c r="X62" s="25">
        <v>1.0</v>
      </c>
      <c r="Y62" s="25">
        <v>1.0</v>
      </c>
      <c r="Z62" s="25">
        <v>1.0</v>
      </c>
      <c r="AA62" s="25">
        <v>1.0</v>
      </c>
      <c r="AB62" s="25">
        <v>0.5</v>
      </c>
      <c r="AC62" s="25">
        <v>0.0</v>
      </c>
      <c r="AD62" s="25">
        <v>0.0</v>
      </c>
      <c r="AE62" s="25">
        <v>0.0</v>
      </c>
      <c r="AF62" s="25">
        <v>0.0</v>
      </c>
      <c r="AG62" s="25">
        <v>0.0</v>
      </c>
      <c r="AH62" s="25">
        <v>0.0</v>
      </c>
      <c r="AI62" s="25">
        <v>0.0</v>
      </c>
      <c r="AJ62" s="25">
        <v>0.0</v>
      </c>
      <c r="AK62" s="25">
        <v>0.0</v>
      </c>
      <c r="AL62" s="25">
        <v>0.0</v>
      </c>
      <c r="AM62" s="25">
        <v>0.0</v>
      </c>
      <c r="AN62" s="25">
        <v>0.0</v>
      </c>
      <c r="AO62" s="25">
        <v>0.0</v>
      </c>
      <c r="AP62" s="25">
        <v>0.0</v>
      </c>
      <c r="AQ62" s="25">
        <v>0.0</v>
      </c>
      <c r="AR62" s="25">
        <v>0.0</v>
      </c>
      <c r="AS62" s="25">
        <v>0.0</v>
      </c>
      <c r="AT62" s="25">
        <v>0.0</v>
      </c>
      <c r="AU62" s="25">
        <v>0.0</v>
      </c>
      <c r="AV62" s="25">
        <v>0.0</v>
      </c>
      <c r="AW62" s="25">
        <v>0.0</v>
      </c>
      <c r="AX62" s="25">
        <v>0.0</v>
      </c>
      <c r="AY62" s="25">
        <v>0.0</v>
      </c>
      <c r="AZ62" s="25">
        <v>0.0</v>
      </c>
      <c r="BA62" s="25">
        <v>0.0</v>
      </c>
      <c r="BB62" s="25">
        <v>0.0</v>
      </c>
      <c r="BC62" s="25">
        <v>0.0</v>
      </c>
      <c r="BD62" s="25">
        <v>0.0</v>
      </c>
      <c r="BE62" s="25">
        <v>0.5</v>
      </c>
      <c r="BF62" s="25">
        <v>1.0</v>
      </c>
      <c r="BG62" s="25">
        <v>1.0</v>
      </c>
      <c r="BH62" s="25">
        <v>1.0</v>
      </c>
      <c r="BI62" s="25">
        <v>28.0</v>
      </c>
    </row>
    <row r="63">
      <c r="A63" s="7">
        <v>8577287.0</v>
      </c>
      <c r="B63" s="3" t="s">
        <v>72</v>
      </c>
      <c r="C63" s="7" t="s">
        <v>94</v>
      </c>
      <c r="D63" s="25">
        <v>1.0</v>
      </c>
      <c r="E63" s="25">
        <v>1.0</v>
      </c>
      <c r="F63" s="25">
        <v>1.0</v>
      </c>
      <c r="G63" s="25">
        <v>1.0</v>
      </c>
      <c r="H63" s="25">
        <v>1.0</v>
      </c>
      <c r="I63" s="25">
        <v>1.0</v>
      </c>
      <c r="J63" s="25">
        <v>1.0</v>
      </c>
      <c r="K63" s="25">
        <v>1.0</v>
      </c>
      <c r="L63" s="25">
        <v>1.0</v>
      </c>
      <c r="M63" s="25">
        <v>1.0</v>
      </c>
      <c r="N63" s="25">
        <v>1.0</v>
      </c>
      <c r="O63" s="25">
        <v>1.0</v>
      </c>
      <c r="P63" s="25">
        <v>1.0</v>
      </c>
      <c r="Q63" s="25">
        <v>1.0</v>
      </c>
      <c r="R63" s="25">
        <v>1.0</v>
      </c>
      <c r="S63" s="25">
        <v>1.0</v>
      </c>
      <c r="T63" s="25">
        <v>1.0</v>
      </c>
      <c r="U63" s="25">
        <v>1.0</v>
      </c>
      <c r="V63" s="25">
        <v>1.0</v>
      </c>
      <c r="W63" s="25">
        <v>1.0</v>
      </c>
      <c r="X63" s="25">
        <v>1.0</v>
      </c>
      <c r="Y63" s="25">
        <v>1.0</v>
      </c>
      <c r="Z63" s="25">
        <v>1.0</v>
      </c>
      <c r="AA63" s="25">
        <v>1.0</v>
      </c>
      <c r="AB63" s="25">
        <v>0.5</v>
      </c>
      <c r="AC63" s="25">
        <v>0.0</v>
      </c>
      <c r="AD63" s="25">
        <v>0.0</v>
      </c>
      <c r="AE63" s="25">
        <v>0.0</v>
      </c>
      <c r="AF63" s="25">
        <v>0.0</v>
      </c>
      <c r="AG63" s="25">
        <v>0.5</v>
      </c>
      <c r="AH63" s="25">
        <v>1.0</v>
      </c>
      <c r="AI63" s="25">
        <v>1.0</v>
      </c>
      <c r="AJ63" s="25">
        <v>1.0</v>
      </c>
      <c r="AK63" s="25">
        <v>1.0</v>
      </c>
      <c r="AL63" s="25">
        <v>1.0</v>
      </c>
      <c r="AM63" s="25">
        <v>1.0</v>
      </c>
      <c r="AN63" s="25">
        <v>1.0</v>
      </c>
      <c r="AO63" s="25">
        <v>1.0</v>
      </c>
      <c r="AP63" s="25">
        <v>1.0</v>
      </c>
      <c r="AQ63" s="25">
        <v>1.0</v>
      </c>
      <c r="AR63" s="25">
        <v>1.0</v>
      </c>
      <c r="AS63" s="25">
        <v>1.0</v>
      </c>
      <c r="AT63" s="25">
        <v>1.0</v>
      </c>
      <c r="AU63" s="25">
        <v>1.0</v>
      </c>
      <c r="AV63" s="25">
        <v>1.0</v>
      </c>
      <c r="AW63" s="25">
        <v>1.0</v>
      </c>
      <c r="AX63" s="25">
        <v>1.0</v>
      </c>
      <c r="AY63" s="25">
        <v>1.0</v>
      </c>
      <c r="AZ63" s="25">
        <v>1.0</v>
      </c>
      <c r="BA63" s="25">
        <v>1.0</v>
      </c>
      <c r="BB63" s="25">
        <v>1.0</v>
      </c>
      <c r="BC63" s="25">
        <v>1.0</v>
      </c>
      <c r="BD63" s="25">
        <v>1.0</v>
      </c>
      <c r="BE63" s="25">
        <v>1.0</v>
      </c>
      <c r="BF63" s="25">
        <v>1.0</v>
      </c>
      <c r="BG63" s="25">
        <v>1.0</v>
      </c>
      <c r="BH63" s="25">
        <v>1.0</v>
      </c>
      <c r="BI63" s="25">
        <v>52.0</v>
      </c>
    </row>
    <row r="64">
      <c r="A64" s="7">
        <v>5222292.0</v>
      </c>
      <c r="B64" s="3" t="s">
        <v>67</v>
      </c>
      <c r="C64" s="7" t="s">
        <v>94</v>
      </c>
      <c r="D64" s="25">
        <v>1.0</v>
      </c>
      <c r="E64" s="25">
        <v>1.0</v>
      </c>
      <c r="F64" s="25">
        <v>1.0</v>
      </c>
      <c r="G64" s="25">
        <v>1.0</v>
      </c>
      <c r="H64" s="25">
        <v>1.0</v>
      </c>
      <c r="I64" s="25">
        <v>1.0</v>
      </c>
      <c r="J64" s="25">
        <v>1.0</v>
      </c>
      <c r="K64" s="25">
        <v>1.0</v>
      </c>
      <c r="L64" s="25">
        <v>1.0</v>
      </c>
      <c r="M64" s="25">
        <v>1.0</v>
      </c>
      <c r="N64" s="25">
        <v>1.0</v>
      </c>
      <c r="O64" s="25">
        <v>1.0</v>
      </c>
      <c r="P64" s="25">
        <v>1.0</v>
      </c>
      <c r="Q64" s="25">
        <v>1.0</v>
      </c>
      <c r="R64" s="25">
        <v>1.0</v>
      </c>
      <c r="S64" s="25">
        <v>1.0</v>
      </c>
      <c r="T64" s="25">
        <v>1.0</v>
      </c>
      <c r="U64" s="25">
        <v>1.0</v>
      </c>
      <c r="V64" s="25">
        <v>1.0</v>
      </c>
      <c r="W64" s="25">
        <v>1.0</v>
      </c>
      <c r="X64" s="25">
        <v>1.0</v>
      </c>
      <c r="Y64" s="25">
        <v>1.0</v>
      </c>
      <c r="Z64" s="25">
        <v>0.5</v>
      </c>
      <c r="AA64" s="25">
        <v>0.0</v>
      </c>
      <c r="AB64" s="25">
        <v>0.0</v>
      </c>
      <c r="AC64" s="25">
        <v>0.0</v>
      </c>
      <c r="AD64" s="25">
        <v>0.0</v>
      </c>
      <c r="AE64" s="25">
        <v>0.0</v>
      </c>
      <c r="AF64" s="25">
        <v>0.0</v>
      </c>
      <c r="AG64" s="25">
        <v>0.0</v>
      </c>
      <c r="AH64" s="25">
        <v>0.0</v>
      </c>
      <c r="AI64" s="25">
        <v>0.0</v>
      </c>
      <c r="AJ64" s="25">
        <v>0.0</v>
      </c>
      <c r="AK64" s="25">
        <v>0.0</v>
      </c>
      <c r="AL64" s="25">
        <v>0.0</v>
      </c>
      <c r="AM64" s="25">
        <v>0.0</v>
      </c>
      <c r="AN64" s="25">
        <v>0.0</v>
      </c>
      <c r="AO64" s="25">
        <v>0.0</v>
      </c>
      <c r="AP64" s="25">
        <v>0.0</v>
      </c>
      <c r="AQ64" s="25">
        <v>0.0</v>
      </c>
      <c r="AR64" s="25">
        <v>0.0</v>
      </c>
      <c r="AS64" s="25">
        <v>0.0</v>
      </c>
      <c r="AT64" s="25">
        <v>0.0</v>
      </c>
      <c r="AU64" s="25">
        <v>0.0</v>
      </c>
      <c r="AV64" s="25">
        <v>0.0</v>
      </c>
      <c r="AW64" s="25">
        <v>0.5</v>
      </c>
      <c r="AX64" s="25">
        <v>1.0</v>
      </c>
      <c r="AY64" s="25">
        <v>1.0</v>
      </c>
      <c r="AZ64" s="25">
        <v>1.0</v>
      </c>
      <c r="BA64" s="25">
        <v>1.0</v>
      </c>
      <c r="BB64" s="25">
        <v>1.0</v>
      </c>
      <c r="BC64" s="25">
        <v>1.0</v>
      </c>
      <c r="BD64" s="25">
        <v>1.0</v>
      </c>
      <c r="BE64" s="25">
        <v>1.0</v>
      </c>
      <c r="BF64" s="25">
        <v>1.0</v>
      </c>
      <c r="BG64" s="25">
        <v>1.0</v>
      </c>
      <c r="BH64" s="25">
        <v>1.0</v>
      </c>
      <c r="BI64" s="25">
        <v>34.0</v>
      </c>
    </row>
    <row r="65">
      <c r="A65" s="7">
        <v>7593462.0</v>
      </c>
      <c r="B65" s="3" t="s">
        <v>332</v>
      </c>
      <c r="C65" s="7" t="s">
        <v>94</v>
      </c>
      <c r="D65" s="25">
        <v>1.0</v>
      </c>
      <c r="E65" s="25">
        <v>1.0</v>
      </c>
      <c r="F65" s="25">
        <v>1.0</v>
      </c>
      <c r="G65" s="25">
        <v>1.0</v>
      </c>
      <c r="H65" s="25">
        <v>1.0</v>
      </c>
      <c r="I65" s="25">
        <v>1.0</v>
      </c>
      <c r="J65" s="25">
        <v>1.0</v>
      </c>
      <c r="K65" s="25">
        <v>1.0</v>
      </c>
      <c r="L65" s="25">
        <v>1.0</v>
      </c>
      <c r="M65" s="25">
        <v>1.0</v>
      </c>
      <c r="N65" s="25">
        <v>1.0</v>
      </c>
      <c r="O65" s="25">
        <v>1.0</v>
      </c>
      <c r="P65" s="25">
        <v>1.0</v>
      </c>
      <c r="Q65" s="25">
        <v>1.0</v>
      </c>
      <c r="R65" s="25">
        <v>1.0</v>
      </c>
      <c r="S65" s="25">
        <v>1.0</v>
      </c>
      <c r="T65" s="25">
        <v>1.0</v>
      </c>
      <c r="U65" s="25">
        <v>1.0</v>
      </c>
      <c r="V65" s="25">
        <v>1.0</v>
      </c>
      <c r="W65" s="25">
        <v>1.0</v>
      </c>
      <c r="X65" s="25">
        <v>1.0</v>
      </c>
      <c r="Y65" s="25">
        <v>1.0</v>
      </c>
      <c r="Z65" s="25">
        <v>1.0</v>
      </c>
      <c r="AA65" s="25">
        <v>1.0</v>
      </c>
      <c r="AB65" s="25">
        <v>1.0</v>
      </c>
      <c r="AC65" s="25">
        <v>1.0</v>
      </c>
      <c r="AD65" s="25">
        <v>1.0</v>
      </c>
      <c r="AE65" s="25">
        <v>1.0</v>
      </c>
      <c r="AF65" s="25">
        <v>1.0</v>
      </c>
      <c r="AG65" s="25">
        <v>1.0</v>
      </c>
      <c r="AH65" s="25">
        <v>1.0</v>
      </c>
      <c r="AI65" s="25">
        <v>1.0</v>
      </c>
      <c r="AJ65" s="25">
        <v>1.0</v>
      </c>
      <c r="AK65" s="25">
        <v>1.0</v>
      </c>
      <c r="AL65" s="25">
        <v>1.0</v>
      </c>
      <c r="AM65" s="25">
        <v>1.0</v>
      </c>
      <c r="AN65" s="25">
        <v>1.0</v>
      </c>
      <c r="AO65" s="25">
        <v>1.0</v>
      </c>
      <c r="AP65" s="25">
        <v>1.0</v>
      </c>
      <c r="AQ65" s="25">
        <v>1.0</v>
      </c>
      <c r="AR65" s="25">
        <v>1.0</v>
      </c>
      <c r="AS65" s="25">
        <v>1.0</v>
      </c>
      <c r="AT65" s="25">
        <v>1.0</v>
      </c>
      <c r="AU65" s="25">
        <v>1.0</v>
      </c>
      <c r="AV65" s="25">
        <v>1.0</v>
      </c>
      <c r="AW65" s="25">
        <v>1.0</v>
      </c>
      <c r="AX65" s="25">
        <v>1.0</v>
      </c>
      <c r="AY65" s="25">
        <v>1.0</v>
      </c>
      <c r="AZ65" s="25">
        <v>1.0</v>
      </c>
      <c r="BA65" s="25">
        <v>1.0</v>
      </c>
      <c r="BB65" s="25">
        <v>1.0</v>
      </c>
      <c r="BC65" s="25">
        <v>1.0</v>
      </c>
      <c r="BD65" s="25">
        <v>1.0</v>
      </c>
      <c r="BE65" s="25">
        <v>1.0</v>
      </c>
      <c r="BF65" s="25">
        <v>1.0</v>
      </c>
      <c r="BG65" s="25">
        <v>1.0</v>
      </c>
      <c r="BH65" s="25">
        <v>1.0</v>
      </c>
      <c r="BI65" s="25">
        <v>57.0</v>
      </c>
    </row>
    <row r="66">
      <c r="A66" s="7">
        <v>5759919.0</v>
      </c>
      <c r="B66" s="3" t="s">
        <v>175</v>
      </c>
      <c r="C66" s="7" t="s">
        <v>94</v>
      </c>
      <c r="D66" s="25">
        <v>0.0</v>
      </c>
      <c r="E66" s="25">
        <v>0.0</v>
      </c>
      <c r="F66" s="25">
        <v>0.0</v>
      </c>
      <c r="G66" s="25">
        <v>0.0</v>
      </c>
      <c r="H66" s="25">
        <v>0.0</v>
      </c>
      <c r="I66" s="25">
        <v>0.0</v>
      </c>
      <c r="J66" s="25">
        <v>0.0</v>
      </c>
      <c r="K66" s="25">
        <v>0.0</v>
      </c>
      <c r="L66" s="25">
        <v>0.5</v>
      </c>
      <c r="M66" s="25">
        <v>1.0</v>
      </c>
      <c r="N66" s="25">
        <v>1.0</v>
      </c>
      <c r="O66" s="25">
        <v>1.0</v>
      </c>
      <c r="P66" s="25">
        <v>1.0</v>
      </c>
      <c r="Q66" s="25">
        <v>1.0</v>
      </c>
      <c r="R66" s="25">
        <v>1.0</v>
      </c>
      <c r="S66" s="25">
        <v>1.0</v>
      </c>
      <c r="T66" s="25">
        <v>1.0</v>
      </c>
      <c r="U66" s="25">
        <v>1.0</v>
      </c>
      <c r="V66" s="25">
        <v>1.0</v>
      </c>
      <c r="W66" s="25">
        <v>1.0</v>
      </c>
      <c r="X66" s="25">
        <v>1.0</v>
      </c>
      <c r="Y66" s="25">
        <v>1.0</v>
      </c>
      <c r="Z66" s="25">
        <v>1.0</v>
      </c>
      <c r="AA66" s="25">
        <v>0.5</v>
      </c>
      <c r="AB66" s="25">
        <v>0.0</v>
      </c>
      <c r="AC66" s="25">
        <v>0.0</v>
      </c>
      <c r="AD66" s="25">
        <v>0.0</v>
      </c>
      <c r="AE66" s="25">
        <v>0.0</v>
      </c>
      <c r="AF66" s="25">
        <v>0.0</v>
      </c>
      <c r="AG66" s="25">
        <v>0.5</v>
      </c>
      <c r="AH66" s="25">
        <v>1.0</v>
      </c>
      <c r="AI66" s="25">
        <v>1.0</v>
      </c>
      <c r="AJ66" s="25">
        <v>1.0</v>
      </c>
      <c r="AK66" s="25">
        <v>1.0</v>
      </c>
      <c r="AL66" s="25">
        <v>1.0</v>
      </c>
      <c r="AM66" s="25">
        <v>1.0</v>
      </c>
      <c r="AN66" s="25">
        <v>1.0</v>
      </c>
      <c r="AO66" s="25">
        <v>1.0</v>
      </c>
      <c r="AP66" s="25">
        <v>1.0</v>
      </c>
      <c r="AQ66" s="25">
        <v>1.0</v>
      </c>
      <c r="AR66" s="25">
        <v>1.0</v>
      </c>
      <c r="AS66" s="25">
        <v>1.0</v>
      </c>
      <c r="AT66" s="25">
        <v>1.0</v>
      </c>
      <c r="AU66" s="25">
        <v>1.0</v>
      </c>
      <c r="AV66" s="25">
        <v>1.0</v>
      </c>
      <c r="AW66" s="25">
        <v>1.0</v>
      </c>
      <c r="AX66" s="25">
        <v>1.0</v>
      </c>
      <c r="AY66" s="25">
        <v>1.0</v>
      </c>
      <c r="AZ66" s="25">
        <v>1.0</v>
      </c>
      <c r="BA66" s="25">
        <v>1.0</v>
      </c>
      <c r="BB66" s="25">
        <v>1.0</v>
      </c>
      <c r="BC66" s="25">
        <v>1.0</v>
      </c>
      <c r="BD66" s="25">
        <v>1.0</v>
      </c>
      <c r="BE66" s="25">
        <v>1.0</v>
      </c>
      <c r="BF66" s="25">
        <v>1.0</v>
      </c>
      <c r="BG66" s="25">
        <v>1.0</v>
      </c>
      <c r="BH66" s="25">
        <v>1.0</v>
      </c>
      <c r="BI66" s="25">
        <v>42.5</v>
      </c>
    </row>
    <row r="67">
      <c r="A67" s="7">
        <v>8621107.0</v>
      </c>
      <c r="B67" s="3" t="s">
        <v>56</v>
      </c>
      <c r="C67" s="7" t="s">
        <v>116</v>
      </c>
      <c r="D67" s="25">
        <v>1.0</v>
      </c>
      <c r="E67" s="25">
        <v>1.0</v>
      </c>
      <c r="F67" s="25">
        <v>1.0</v>
      </c>
      <c r="G67" s="25">
        <v>1.0</v>
      </c>
      <c r="H67" s="25">
        <v>1.0</v>
      </c>
      <c r="I67" s="25">
        <v>1.0</v>
      </c>
      <c r="J67" s="25">
        <v>1.0</v>
      </c>
      <c r="K67" s="25">
        <v>1.0</v>
      </c>
      <c r="L67" s="25">
        <v>1.0</v>
      </c>
      <c r="M67" s="25">
        <v>1.0</v>
      </c>
      <c r="N67" s="25">
        <v>1.0</v>
      </c>
      <c r="O67" s="25">
        <v>1.0</v>
      </c>
      <c r="P67" s="25">
        <v>1.0</v>
      </c>
      <c r="Q67" s="25">
        <v>0.5</v>
      </c>
      <c r="R67" s="25">
        <v>0.0</v>
      </c>
      <c r="S67" s="25">
        <v>0.5</v>
      </c>
      <c r="T67" s="25">
        <v>1.0</v>
      </c>
      <c r="U67" s="25">
        <v>1.0</v>
      </c>
      <c r="V67" s="25">
        <v>1.0</v>
      </c>
      <c r="W67" s="25">
        <v>1.0</v>
      </c>
      <c r="X67" s="25">
        <v>1.0</v>
      </c>
      <c r="Y67" s="25">
        <v>1.0</v>
      </c>
      <c r="Z67" s="25">
        <v>1.0</v>
      </c>
      <c r="AA67" s="25">
        <v>1.0</v>
      </c>
      <c r="AB67" s="25">
        <v>1.0</v>
      </c>
      <c r="AC67" s="25">
        <v>1.0</v>
      </c>
      <c r="AD67" s="25">
        <v>1.0</v>
      </c>
      <c r="AE67" s="25">
        <v>1.0</v>
      </c>
      <c r="AF67" s="25">
        <v>0.5</v>
      </c>
      <c r="AG67" s="25">
        <v>0.0</v>
      </c>
      <c r="AH67" s="25">
        <v>0.0</v>
      </c>
      <c r="AI67" s="25">
        <v>0.0</v>
      </c>
      <c r="AJ67" s="25">
        <v>0.0</v>
      </c>
      <c r="AK67" s="25">
        <v>0.5</v>
      </c>
      <c r="AL67" s="25">
        <v>1.0</v>
      </c>
      <c r="AM67" s="25">
        <v>1.0</v>
      </c>
      <c r="AN67" s="25">
        <v>1.0</v>
      </c>
      <c r="AO67" s="25">
        <v>1.0</v>
      </c>
      <c r="AP67" s="25">
        <v>1.0</v>
      </c>
      <c r="AQ67" s="25">
        <v>1.0</v>
      </c>
      <c r="AR67" s="25">
        <v>1.0</v>
      </c>
      <c r="AS67" s="25">
        <v>1.0</v>
      </c>
      <c r="AT67" s="25">
        <v>1.0</v>
      </c>
      <c r="AU67" s="25">
        <v>1.0</v>
      </c>
      <c r="AV67" s="25">
        <v>1.0</v>
      </c>
      <c r="AW67" s="25">
        <v>1.0</v>
      </c>
      <c r="AX67" s="25">
        <v>1.0</v>
      </c>
      <c r="AY67" s="25">
        <v>1.0</v>
      </c>
      <c r="AZ67" s="25">
        <v>1.0</v>
      </c>
      <c r="BA67" s="25">
        <v>1.0</v>
      </c>
      <c r="BB67" s="25">
        <v>1.0</v>
      </c>
      <c r="BC67" s="25">
        <v>1.0</v>
      </c>
      <c r="BD67" s="25">
        <v>1.0</v>
      </c>
      <c r="BE67" s="25">
        <v>1.0</v>
      </c>
      <c r="BF67" s="25">
        <v>1.0</v>
      </c>
      <c r="BG67" s="25">
        <v>1.0</v>
      </c>
      <c r="BH67" s="25">
        <v>1.0</v>
      </c>
      <c r="BI67" s="25">
        <v>50.0</v>
      </c>
    </row>
    <row r="68">
      <c r="A68" s="7">
        <v>3779457.0</v>
      </c>
      <c r="B68" s="3" t="s">
        <v>333</v>
      </c>
      <c r="C68" s="7" t="s">
        <v>188</v>
      </c>
      <c r="D68" s="25">
        <v>1.0</v>
      </c>
      <c r="E68" s="25">
        <v>1.0</v>
      </c>
      <c r="F68" s="25">
        <v>1.0</v>
      </c>
      <c r="G68" s="25">
        <v>1.0</v>
      </c>
      <c r="H68" s="25">
        <v>1.0</v>
      </c>
      <c r="I68" s="25">
        <v>1.0</v>
      </c>
      <c r="J68" s="25">
        <v>1.0</v>
      </c>
      <c r="K68" s="25">
        <v>1.0</v>
      </c>
      <c r="L68" s="25">
        <v>1.0</v>
      </c>
      <c r="M68" s="25">
        <v>1.0</v>
      </c>
      <c r="N68" s="25">
        <v>1.0</v>
      </c>
      <c r="O68" s="25">
        <v>1.0</v>
      </c>
      <c r="P68" s="25">
        <v>1.0</v>
      </c>
      <c r="Q68" s="25">
        <v>1.0</v>
      </c>
      <c r="R68" s="25">
        <v>1.0</v>
      </c>
      <c r="S68" s="25">
        <v>1.0</v>
      </c>
      <c r="T68" s="25">
        <v>1.0</v>
      </c>
      <c r="U68" s="25">
        <v>1.0</v>
      </c>
      <c r="V68" s="25">
        <v>1.0</v>
      </c>
      <c r="W68" s="25">
        <v>1.0</v>
      </c>
      <c r="X68" s="25">
        <v>1.0</v>
      </c>
      <c r="Y68" s="25">
        <v>1.0</v>
      </c>
      <c r="Z68" s="25">
        <v>1.0</v>
      </c>
      <c r="AA68" s="25">
        <v>1.0</v>
      </c>
      <c r="AB68" s="25">
        <v>1.0</v>
      </c>
      <c r="AC68" s="25">
        <v>1.0</v>
      </c>
      <c r="AD68" s="25">
        <v>1.0</v>
      </c>
      <c r="AE68" s="25">
        <v>1.0</v>
      </c>
      <c r="AF68" s="25">
        <v>1.0</v>
      </c>
      <c r="AG68" s="25">
        <v>1.0</v>
      </c>
      <c r="AH68" s="25">
        <v>1.0</v>
      </c>
      <c r="AI68" s="25">
        <v>1.0</v>
      </c>
      <c r="AJ68" s="25">
        <v>1.0</v>
      </c>
      <c r="AK68" s="25">
        <v>1.0</v>
      </c>
      <c r="AL68" s="25">
        <v>1.0</v>
      </c>
      <c r="AM68" s="25">
        <v>1.0</v>
      </c>
      <c r="AN68" s="25">
        <v>1.0</v>
      </c>
      <c r="AO68" s="25">
        <v>1.0</v>
      </c>
      <c r="AP68" s="25">
        <v>1.0</v>
      </c>
      <c r="AQ68" s="25">
        <v>1.0</v>
      </c>
      <c r="AR68" s="25">
        <v>1.0</v>
      </c>
      <c r="AS68" s="25">
        <v>1.0</v>
      </c>
      <c r="AT68" s="25">
        <v>1.0</v>
      </c>
      <c r="AU68" s="25">
        <v>1.0</v>
      </c>
      <c r="AV68" s="25">
        <v>1.0</v>
      </c>
      <c r="AW68" s="25">
        <v>1.0</v>
      </c>
      <c r="AX68" s="25">
        <v>1.0</v>
      </c>
      <c r="AY68" s="25">
        <v>1.0</v>
      </c>
      <c r="AZ68" s="25">
        <v>1.0</v>
      </c>
      <c r="BA68" s="25">
        <v>1.0</v>
      </c>
      <c r="BB68" s="25">
        <v>1.0</v>
      </c>
      <c r="BC68" s="25">
        <v>1.0</v>
      </c>
      <c r="BD68" s="25">
        <v>1.0</v>
      </c>
      <c r="BE68" s="25">
        <v>1.0</v>
      </c>
      <c r="BF68" s="25">
        <v>1.0</v>
      </c>
      <c r="BG68" s="25">
        <v>1.0</v>
      </c>
      <c r="BH68" s="25">
        <v>1.0</v>
      </c>
      <c r="BI68" s="25">
        <v>57.0</v>
      </c>
    </row>
    <row r="69">
      <c r="A69" s="7">
        <v>5075673.0</v>
      </c>
      <c r="B69" s="3" t="s">
        <v>84</v>
      </c>
      <c r="C69" s="7" t="s">
        <v>94</v>
      </c>
      <c r="D69" s="25">
        <v>1.0</v>
      </c>
      <c r="E69" s="25">
        <v>1.0</v>
      </c>
      <c r="F69" s="25">
        <v>1.0</v>
      </c>
      <c r="G69" s="25">
        <v>1.0</v>
      </c>
      <c r="H69" s="25">
        <v>1.0</v>
      </c>
      <c r="I69" s="25">
        <v>1.0</v>
      </c>
      <c r="J69" s="25">
        <v>1.0</v>
      </c>
      <c r="K69" s="25">
        <v>1.0</v>
      </c>
      <c r="L69" s="25">
        <v>1.0</v>
      </c>
      <c r="M69" s="25">
        <v>1.0</v>
      </c>
      <c r="N69" s="25">
        <v>1.0</v>
      </c>
      <c r="O69" s="25">
        <v>1.0</v>
      </c>
      <c r="P69" s="25">
        <v>1.0</v>
      </c>
      <c r="Q69" s="25">
        <v>1.0</v>
      </c>
      <c r="R69" s="25">
        <v>1.0</v>
      </c>
      <c r="S69" s="25">
        <v>1.0</v>
      </c>
      <c r="T69" s="25">
        <v>1.0</v>
      </c>
      <c r="U69" s="25">
        <v>1.0</v>
      </c>
      <c r="V69" s="25">
        <v>1.0</v>
      </c>
      <c r="W69" s="25">
        <v>1.0</v>
      </c>
      <c r="X69" s="25">
        <v>1.0</v>
      </c>
      <c r="Y69" s="25">
        <v>1.0</v>
      </c>
      <c r="Z69" s="25">
        <v>1.0</v>
      </c>
      <c r="AA69" s="25">
        <v>1.0</v>
      </c>
      <c r="AB69" s="25">
        <v>1.0</v>
      </c>
      <c r="AC69" s="25">
        <v>1.0</v>
      </c>
      <c r="AD69" s="25">
        <v>1.0</v>
      </c>
      <c r="AE69" s="25">
        <v>1.0</v>
      </c>
      <c r="AF69" s="25">
        <v>1.0</v>
      </c>
      <c r="AG69" s="25">
        <v>1.0</v>
      </c>
      <c r="AH69" s="25">
        <v>1.0</v>
      </c>
      <c r="AI69" s="25">
        <v>1.0</v>
      </c>
      <c r="AJ69" s="25">
        <v>1.0</v>
      </c>
      <c r="AK69" s="25">
        <v>1.0</v>
      </c>
      <c r="AL69" s="25">
        <v>1.0</v>
      </c>
      <c r="AM69" s="25">
        <v>1.0</v>
      </c>
      <c r="AN69" s="25">
        <v>1.0</v>
      </c>
      <c r="AO69" s="25">
        <v>1.0</v>
      </c>
      <c r="AP69" s="25">
        <v>1.0</v>
      </c>
      <c r="AQ69" s="25">
        <v>1.0</v>
      </c>
      <c r="AR69" s="25">
        <v>1.0</v>
      </c>
      <c r="AS69" s="25">
        <v>1.0</v>
      </c>
      <c r="AT69" s="25">
        <v>1.0</v>
      </c>
      <c r="AU69" s="25">
        <v>1.0</v>
      </c>
      <c r="AV69" s="25">
        <v>1.0</v>
      </c>
      <c r="AW69" s="25">
        <v>1.0</v>
      </c>
      <c r="AX69" s="25">
        <v>1.0</v>
      </c>
      <c r="AY69" s="25">
        <v>1.0</v>
      </c>
      <c r="AZ69" s="25">
        <v>1.0</v>
      </c>
      <c r="BA69" s="25">
        <v>1.0</v>
      </c>
      <c r="BB69" s="25">
        <v>1.0</v>
      </c>
      <c r="BC69" s="25">
        <v>1.0</v>
      </c>
      <c r="BD69" s="25">
        <v>1.0</v>
      </c>
      <c r="BE69" s="25">
        <v>1.0</v>
      </c>
      <c r="BF69" s="25">
        <v>1.0</v>
      </c>
      <c r="BG69" s="25">
        <v>1.0</v>
      </c>
      <c r="BH69" s="25">
        <v>1.0</v>
      </c>
      <c r="BI69" s="25">
        <v>57.0</v>
      </c>
    </row>
    <row r="70">
      <c r="A70" s="7">
        <v>8622878.0</v>
      </c>
      <c r="B70" s="3" t="s">
        <v>334</v>
      </c>
      <c r="C70" s="7" t="s">
        <v>94</v>
      </c>
      <c r="D70" s="25">
        <v>1.0</v>
      </c>
      <c r="E70" s="25">
        <v>1.0</v>
      </c>
      <c r="F70" s="25">
        <v>1.0</v>
      </c>
      <c r="G70" s="25">
        <v>1.0</v>
      </c>
      <c r="H70" s="25">
        <v>1.0</v>
      </c>
      <c r="I70" s="25">
        <v>1.0</v>
      </c>
      <c r="J70" s="25">
        <v>1.0</v>
      </c>
      <c r="K70" s="25">
        <v>1.0</v>
      </c>
      <c r="L70" s="25">
        <v>1.0</v>
      </c>
      <c r="M70" s="25">
        <v>1.0</v>
      </c>
      <c r="N70" s="25">
        <v>1.0</v>
      </c>
      <c r="O70" s="25">
        <v>1.0</v>
      </c>
      <c r="P70" s="25">
        <v>1.0</v>
      </c>
      <c r="Q70" s="25">
        <v>1.0</v>
      </c>
      <c r="R70" s="25">
        <v>1.0</v>
      </c>
      <c r="S70" s="25">
        <v>1.0</v>
      </c>
      <c r="T70" s="25">
        <v>1.0</v>
      </c>
      <c r="U70" s="25">
        <v>1.0</v>
      </c>
      <c r="V70" s="25">
        <v>1.0</v>
      </c>
      <c r="W70" s="25">
        <v>1.0</v>
      </c>
      <c r="X70" s="25">
        <v>1.0</v>
      </c>
      <c r="Y70" s="25">
        <v>1.0</v>
      </c>
      <c r="Z70" s="25">
        <v>1.0</v>
      </c>
      <c r="AA70" s="25">
        <v>1.0</v>
      </c>
      <c r="AB70" s="25">
        <v>1.0</v>
      </c>
      <c r="AC70" s="25">
        <v>1.0</v>
      </c>
      <c r="AD70" s="25">
        <v>1.0</v>
      </c>
      <c r="AE70" s="25">
        <v>1.0</v>
      </c>
      <c r="AF70" s="25">
        <v>1.0</v>
      </c>
      <c r="AG70" s="25">
        <v>1.0</v>
      </c>
      <c r="AH70" s="25">
        <v>1.0</v>
      </c>
      <c r="AI70" s="25">
        <v>1.0</v>
      </c>
      <c r="AJ70" s="25">
        <v>1.0</v>
      </c>
      <c r="AK70" s="25">
        <v>1.0</v>
      </c>
      <c r="AL70" s="25">
        <v>1.0</v>
      </c>
      <c r="AM70" s="25">
        <v>1.0</v>
      </c>
      <c r="AN70" s="25">
        <v>1.0</v>
      </c>
      <c r="AO70" s="25">
        <v>1.0</v>
      </c>
      <c r="AP70" s="25">
        <v>1.0</v>
      </c>
      <c r="AQ70" s="25">
        <v>1.0</v>
      </c>
      <c r="AR70" s="25">
        <v>1.0</v>
      </c>
      <c r="AS70" s="25">
        <v>1.0</v>
      </c>
      <c r="AT70" s="25">
        <v>1.0</v>
      </c>
      <c r="AU70" s="25">
        <v>1.0</v>
      </c>
      <c r="AV70" s="25">
        <v>1.0</v>
      </c>
      <c r="AW70" s="25">
        <v>1.0</v>
      </c>
      <c r="AX70" s="25">
        <v>1.0</v>
      </c>
      <c r="AY70" s="25">
        <v>1.0</v>
      </c>
      <c r="AZ70" s="25">
        <v>1.0</v>
      </c>
      <c r="BA70" s="25">
        <v>1.0</v>
      </c>
      <c r="BB70" s="25">
        <v>1.0</v>
      </c>
      <c r="BC70" s="25">
        <v>1.0</v>
      </c>
      <c r="BD70" s="25">
        <v>1.0</v>
      </c>
      <c r="BE70" s="25">
        <v>1.0</v>
      </c>
      <c r="BF70" s="25">
        <v>1.0</v>
      </c>
      <c r="BG70" s="25">
        <v>1.0</v>
      </c>
      <c r="BH70" s="25">
        <v>1.0</v>
      </c>
      <c r="BI70" s="25">
        <v>57.0</v>
      </c>
    </row>
    <row r="71">
      <c r="A71" s="7">
        <v>6357677.0</v>
      </c>
      <c r="B71" s="3" t="s">
        <v>336</v>
      </c>
      <c r="C71" s="7" t="s">
        <v>87</v>
      </c>
      <c r="D71" s="25">
        <v>1.0</v>
      </c>
      <c r="E71" s="25">
        <v>1.0</v>
      </c>
      <c r="F71" s="25">
        <v>1.0</v>
      </c>
      <c r="G71" s="25">
        <v>1.0</v>
      </c>
      <c r="H71" s="25">
        <v>1.0</v>
      </c>
      <c r="I71" s="25">
        <v>1.0</v>
      </c>
      <c r="J71" s="25">
        <v>1.0</v>
      </c>
      <c r="K71" s="25">
        <v>1.0</v>
      </c>
      <c r="L71" s="25">
        <v>1.0</v>
      </c>
      <c r="M71" s="25">
        <v>1.0</v>
      </c>
      <c r="N71" s="25">
        <v>1.0</v>
      </c>
      <c r="O71" s="25">
        <v>1.0</v>
      </c>
      <c r="P71" s="25">
        <v>1.0</v>
      </c>
      <c r="Q71" s="25">
        <v>1.0</v>
      </c>
      <c r="R71" s="25">
        <v>1.0</v>
      </c>
      <c r="S71" s="25">
        <v>1.0</v>
      </c>
      <c r="T71" s="25">
        <v>1.0</v>
      </c>
      <c r="U71" s="25">
        <v>1.0</v>
      </c>
      <c r="V71" s="25">
        <v>1.0</v>
      </c>
      <c r="W71" s="25">
        <v>1.0</v>
      </c>
      <c r="X71" s="25">
        <v>1.0</v>
      </c>
      <c r="Y71" s="25">
        <v>1.0</v>
      </c>
      <c r="Z71" s="25">
        <v>1.0</v>
      </c>
      <c r="AA71" s="25">
        <v>1.0</v>
      </c>
      <c r="AB71" s="25">
        <v>1.0</v>
      </c>
      <c r="AC71" s="25">
        <v>1.0</v>
      </c>
      <c r="AD71" s="25">
        <v>1.0</v>
      </c>
      <c r="AE71" s="25">
        <v>1.0</v>
      </c>
      <c r="AF71" s="25">
        <v>1.0</v>
      </c>
      <c r="AG71" s="25">
        <v>1.0</v>
      </c>
      <c r="AH71" s="25">
        <v>1.0</v>
      </c>
      <c r="AI71" s="25">
        <v>1.0</v>
      </c>
      <c r="AJ71" s="25">
        <v>1.0</v>
      </c>
      <c r="AK71" s="25">
        <v>1.0</v>
      </c>
      <c r="AL71" s="25">
        <v>1.0</v>
      </c>
      <c r="AM71" s="25">
        <v>1.0</v>
      </c>
      <c r="AN71" s="25">
        <v>1.0</v>
      </c>
      <c r="AO71" s="25">
        <v>1.0</v>
      </c>
      <c r="AP71" s="25">
        <v>1.0</v>
      </c>
      <c r="AQ71" s="25">
        <v>1.0</v>
      </c>
      <c r="AR71" s="25">
        <v>1.0</v>
      </c>
      <c r="AS71" s="25">
        <v>1.0</v>
      </c>
      <c r="AT71" s="25">
        <v>1.0</v>
      </c>
      <c r="AU71" s="25">
        <v>1.0</v>
      </c>
      <c r="AV71" s="25">
        <v>1.0</v>
      </c>
      <c r="AW71" s="25">
        <v>1.0</v>
      </c>
      <c r="AX71" s="25">
        <v>1.0</v>
      </c>
      <c r="AY71" s="25">
        <v>1.0</v>
      </c>
      <c r="AZ71" s="25">
        <v>1.0</v>
      </c>
      <c r="BA71" s="25">
        <v>1.0</v>
      </c>
      <c r="BB71" s="25">
        <v>1.0</v>
      </c>
      <c r="BC71" s="25">
        <v>1.0</v>
      </c>
      <c r="BD71" s="25">
        <v>1.0</v>
      </c>
      <c r="BE71" s="25">
        <v>1.0</v>
      </c>
      <c r="BF71" s="25">
        <v>1.0</v>
      </c>
      <c r="BG71" s="25">
        <v>1.0</v>
      </c>
      <c r="BH71" s="25">
        <v>1.0</v>
      </c>
      <c r="BI71" s="25">
        <v>57.0</v>
      </c>
    </row>
    <row r="72">
      <c r="A72" s="7">
        <v>5085966.0</v>
      </c>
      <c r="B72" s="3" t="s">
        <v>232</v>
      </c>
      <c r="C72" s="7" t="s">
        <v>87</v>
      </c>
      <c r="D72" s="25">
        <v>0.0</v>
      </c>
      <c r="E72" s="25">
        <v>0.0</v>
      </c>
      <c r="F72" s="25">
        <v>0.5</v>
      </c>
      <c r="G72" s="25">
        <v>1.0</v>
      </c>
      <c r="H72" s="25">
        <v>0.5</v>
      </c>
      <c r="I72" s="25">
        <v>0.0</v>
      </c>
      <c r="J72" s="25">
        <v>0.5</v>
      </c>
      <c r="K72" s="25">
        <v>0.0</v>
      </c>
      <c r="L72" s="25">
        <v>0.5</v>
      </c>
      <c r="M72" s="25">
        <v>1.0</v>
      </c>
      <c r="N72" s="25">
        <v>1.0</v>
      </c>
      <c r="O72" s="25">
        <v>1.0</v>
      </c>
      <c r="P72" s="25">
        <v>1.0</v>
      </c>
      <c r="Q72" s="25">
        <v>1.0</v>
      </c>
      <c r="R72" s="25">
        <v>1.0</v>
      </c>
      <c r="S72" s="25">
        <v>1.0</v>
      </c>
      <c r="T72" s="25">
        <v>1.0</v>
      </c>
      <c r="U72" s="25">
        <v>1.0</v>
      </c>
      <c r="V72" s="25">
        <v>1.0</v>
      </c>
      <c r="W72" s="25">
        <v>1.0</v>
      </c>
      <c r="X72" s="25">
        <v>1.0</v>
      </c>
      <c r="Y72" s="25">
        <v>1.0</v>
      </c>
      <c r="Z72" s="25">
        <v>1.0</v>
      </c>
      <c r="AA72" s="25">
        <v>1.0</v>
      </c>
      <c r="AB72" s="25">
        <v>1.0</v>
      </c>
      <c r="AC72" s="25">
        <v>1.0</v>
      </c>
      <c r="AD72" s="25">
        <v>1.0</v>
      </c>
      <c r="AE72" s="25">
        <v>1.0</v>
      </c>
      <c r="AF72" s="25">
        <v>1.0</v>
      </c>
      <c r="AG72" s="25">
        <v>1.0</v>
      </c>
      <c r="AH72" s="25">
        <v>1.0</v>
      </c>
      <c r="AI72" s="25">
        <v>1.0</v>
      </c>
      <c r="AJ72" s="25">
        <v>1.0</v>
      </c>
      <c r="AK72" s="25">
        <v>1.0</v>
      </c>
      <c r="AL72" s="25">
        <v>1.0</v>
      </c>
      <c r="AM72" s="25">
        <v>1.0</v>
      </c>
      <c r="AN72" s="25">
        <v>1.0</v>
      </c>
      <c r="AO72" s="25">
        <v>1.0</v>
      </c>
      <c r="AP72" s="25">
        <v>1.0</v>
      </c>
      <c r="AQ72" s="25">
        <v>1.0</v>
      </c>
      <c r="AR72" s="25">
        <v>1.0</v>
      </c>
      <c r="AS72" s="25">
        <v>1.0</v>
      </c>
      <c r="AT72" s="25">
        <v>1.0</v>
      </c>
      <c r="AU72" s="25">
        <v>1.0</v>
      </c>
      <c r="AV72" s="25">
        <v>1.0</v>
      </c>
      <c r="AW72" s="25">
        <v>1.0</v>
      </c>
      <c r="AX72" s="25">
        <v>1.0</v>
      </c>
      <c r="AY72" s="25">
        <v>1.0</v>
      </c>
      <c r="AZ72" s="25">
        <v>1.0</v>
      </c>
      <c r="BA72" s="25">
        <v>1.0</v>
      </c>
      <c r="BB72" s="25">
        <v>1.0</v>
      </c>
      <c r="BC72" s="25">
        <v>1.0</v>
      </c>
      <c r="BD72" s="25">
        <v>1.0</v>
      </c>
      <c r="BE72" s="25">
        <v>1.0</v>
      </c>
      <c r="BF72" s="25">
        <v>1.0</v>
      </c>
      <c r="BG72" s="25">
        <v>1.0</v>
      </c>
      <c r="BH72" s="25">
        <v>1.0</v>
      </c>
      <c r="BI72" s="25">
        <v>51.0</v>
      </c>
    </row>
    <row r="73">
      <c r="A73" s="7">
        <v>4276047.0</v>
      </c>
      <c r="B73" s="3" t="s">
        <v>170</v>
      </c>
      <c r="C73" s="7" t="s">
        <v>94</v>
      </c>
      <c r="D73" s="25">
        <v>1.0</v>
      </c>
      <c r="E73" s="25">
        <v>1.0</v>
      </c>
      <c r="F73" s="25">
        <v>0.5</v>
      </c>
      <c r="G73" s="25">
        <v>0.0</v>
      </c>
      <c r="H73" s="25">
        <v>0.0</v>
      </c>
      <c r="I73" s="25">
        <v>0.0</v>
      </c>
      <c r="J73" s="25">
        <v>0.0</v>
      </c>
      <c r="K73" s="25">
        <v>0.0</v>
      </c>
      <c r="L73" s="25">
        <v>0.0</v>
      </c>
      <c r="M73" s="25">
        <v>0.0</v>
      </c>
      <c r="N73" s="25">
        <v>0.0</v>
      </c>
      <c r="O73" s="25">
        <v>0.0</v>
      </c>
      <c r="P73" s="25">
        <v>0.0</v>
      </c>
      <c r="Q73" s="25">
        <v>0.0</v>
      </c>
      <c r="R73" s="25">
        <v>0.0</v>
      </c>
      <c r="S73" s="25">
        <v>0.0</v>
      </c>
      <c r="T73" s="25">
        <v>0.0</v>
      </c>
      <c r="U73" s="25">
        <v>0.0</v>
      </c>
      <c r="V73" s="25">
        <v>0.0</v>
      </c>
      <c r="W73" s="25">
        <v>0.0</v>
      </c>
      <c r="X73" s="25">
        <v>0.0</v>
      </c>
      <c r="Y73" s="25">
        <v>0.0</v>
      </c>
      <c r="Z73" s="25">
        <v>0.0</v>
      </c>
      <c r="AA73" s="25">
        <v>0.0</v>
      </c>
      <c r="AB73" s="25">
        <v>0.0</v>
      </c>
      <c r="AC73" s="25">
        <v>0.0</v>
      </c>
      <c r="AD73" s="25">
        <v>0.0</v>
      </c>
      <c r="AE73" s="25">
        <v>0.0</v>
      </c>
      <c r="AF73" s="25">
        <v>0.0</v>
      </c>
      <c r="AG73" s="25">
        <v>0.5</v>
      </c>
      <c r="AH73" s="25">
        <v>1.0</v>
      </c>
      <c r="AI73" s="25">
        <v>1.0</v>
      </c>
      <c r="AJ73" s="25">
        <v>1.0</v>
      </c>
      <c r="AK73" s="25">
        <v>1.0</v>
      </c>
      <c r="AL73" s="25">
        <v>1.0</v>
      </c>
      <c r="AM73" s="25">
        <v>1.0</v>
      </c>
      <c r="AN73" s="25">
        <v>1.0</v>
      </c>
      <c r="AO73" s="25">
        <v>1.0</v>
      </c>
      <c r="AP73" s="25">
        <v>1.0</v>
      </c>
      <c r="AQ73" s="25">
        <v>1.0</v>
      </c>
      <c r="AR73" s="25">
        <v>1.0</v>
      </c>
      <c r="AS73" s="25">
        <v>1.0</v>
      </c>
      <c r="AT73" s="25">
        <v>1.0</v>
      </c>
      <c r="AU73" s="25">
        <v>1.0</v>
      </c>
      <c r="AV73" s="25">
        <v>1.0</v>
      </c>
      <c r="AW73" s="25">
        <v>1.0</v>
      </c>
      <c r="AX73" s="25">
        <v>1.0</v>
      </c>
      <c r="AY73" s="25">
        <v>1.0</v>
      </c>
      <c r="AZ73" s="25">
        <v>1.0</v>
      </c>
      <c r="BA73" s="25">
        <v>1.0</v>
      </c>
      <c r="BB73" s="25">
        <v>1.0</v>
      </c>
      <c r="BC73" s="25">
        <v>1.0</v>
      </c>
      <c r="BD73" s="25">
        <v>1.0</v>
      </c>
      <c r="BE73" s="25">
        <v>1.0</v>
      </c>
      <c r="BF73" s="25">
        <v>1.0</v>
      </c>
      <c r="BG73" s="25">
        <v>1.0</v>
      </c>
      <c r="BH73" s="25">
        <v>1.0</v>
      </c>
      <c r="BI73" s="25">
        <v>30.0</v>
      </c>
    </row>
    <row r="74">
      <c r="A74" s="7">
        <v>7563119.0</v>
      </c>
      <c r="B74" s="3" t="s">
        <v>337</v>
      </c>
      <c r="C74" s="7" t="s">
        <v>94</v>
      </c>
      <c r="D74" s="25">
        <v>1.0</v>
      </c>
      <c r="E74" s="25">
        <v>1.0</v>
      </c>
      <c r="F74" s="25">
        <v>1.0</v>
      </c>
      <c r="G74" s="25">
        <v>1.0</v>
      </c>
      <c r="H74" s="25">
        <v>1.0</v>
      </c>
      <c r="I74" s="25">
        <v>1.0</v>
      </c>
      <c r="J74" s="25">
        <v>1.0</v>
      </c>
      <c r="K74" s="25">
        <v>1.0</v>
      </c>
      <c r="L74" s="25">
        <v>1.0</v>
      </c>
      <c r="M74" s="25">
        <v>1.0</v>
      </c>
      <c r="N74" s="25">
        <v>1.0</v>
      </c>
      <c r="O74" s="25">
        <v>1.0</v>
      </c>
      <c r="P74" s="25">
        <v>1.0</v>
      </c>
      <c r="Q74" s="25">
        <v>1.0</v>
      </c>
      <c r="R74" s="25">
        <v>1.0</v>
      </c>
      <c r="S74" s="25">
        <v>1.0</v>
      </c>
      <c r="T74" s="25">
        <v>1.0</v>
      </c>
      <c r="U74" s="25">
        <v>1.0</v>
      </c>
      <c r="V74" s="25">
        <v>1.0</v>
      </c>
      <c r="W74" s="25">
        <v>1.0</v>
      </c>
      <c r="X74" s="25">
        <v>1.0</v>
      </c>
      <c r="Y74" s="25">
        <v>1.0</v>
      </c>
      <c r="Z74" s="25">
        <v>1.0</v>
      </c>
      <c r="AA74" s="25">
        <v>1.0</v>
      </c>
      <c r="AB74" s="25">
        <v>1.0</v>
      </c>
      <c r="AC74" s="25">
        <v>1.0</v>
      </c>
      <c r="AD74" s="25">
        <v>1.0</v>
      </c>
      <c r="AE74" s="25">
        <v>1.0</v>
      </c>
      <c r="AF74" s="25">
        <v>1.0</v>
      </c>
      <c r="AG74" s="25">
        <v>1.0</v>
      </c>
      <c r="AH74" s="25">
        <v>1.0</v>
      </c>
      <c r="AI74" s="25">
        <v>1.0</v>
      </c>
      <c r="AJ74" s="25">
        <v>1.0</v>
      </c>
      <c r="AK74" s="25">
        <v>1.0</v>
      </c>
      <c r="AL74" s="25">
        <v>1.0</v>
      </c>
      <c r="AM74" s="25">
        <v>1.0</v>
      </c>
      <c r="AN74" s="25">
        <v>1.0</v>
      </c>
      <c r="AO74" s="25">
        <v>1.0</v>
      </c>
      <c r="AP74" s="25">
        <v>1.0</v>
      </c>
      <c r="AQ74" s="25">
        <v>1.0</v>
      </c>
      <c r="AR74" s="25">
        <v>1.0</v>
      </c>
      <c r="AS74" s="25">
        <v>1.0</v>
      </c>
      <c r="AT74" s="25">
        <v>1.0</v>
      </c>
      <c r="AU74" s="25">
        <v>1.0</v>
      </c>
      <c r="AV74" s="25">
        <v>1.0</v>
      </c>
      <c r="AW74" s="25">
        <v>1.0</v>
      </c>
      <c r="AX74" s="25">
        <v>1.0</v>
      </c>
      <c r="AY74" s="25">
        <v>1.0</v>
      </c>
      <c r="AZ74" s="25">
        <v>1.0</v>
      </c>
      <c r="BA74" s="25">
        <v>1.0</v>
      </c>
      <c r="BB74" s="25">
        <v>1.0</v>
      </c>
      <c r="BC74" s="25">
        <v>1.0</v>
      </c>
      <c r="BD74" s="25">
        <v>1.0</v>
      </c>
      <c r="BE74" s="25">
        <v>1.0</v>
      </c>
      <c r="BF74" s="25">
        <v>1.0</v>
      </c>
      <c r="BG74" s="25">
        <v>1.0</v>
      </c>
      <c r="BH74" s="25">
        <v>1.0</v>
      </c>
      <c r="BI74" s="25">
        <v>57.0</v>
      </c>
    </row>
    <row r="75">
      <c r="A75" s="7">
        <v>7256596.0</v>
      </c>
      <c r="B75" s="3" t="s">
        <v>66</v>
      </c>
      <c r="C75" s="7" t="s">
        <v>94</v>
      </c>
      <c r="D75" s="25">
        <v>0.0</v>
      </c>
      <c r="E75" s="25">
        <v>0.0</v>
      </c>
      <c r="F75" s="25">
        <v>0.0</v>
      </c>
      <c r="G75" s="25">
        <v>0.5</v>
      </c>
      <c r="H75" s="25">
        <v>1.0</v>
      </c>
      <c r="I75" s="25">
        <v>1.0</v>
      </c>
      <c r="J75" s="25">
        <v>1.0</v>
      </c>
      <c r="K75" s="25">
        <v>1.0</v>
      </c>
      <c r="L75" s="25">
        <v>1.0</v>
      </c>
      <c r="M75" s="25">
        <v>1.0</v>
      </c>
      <c r="N75" s="25">
        <v>1.0</v>
      </c>
      <c r="O75" s="25">
        <v>1.0</v>
      </c>
      <c r="P75" s="25">
        <v>1.0</v>
      </c>
      <c r="Q75" s="25">
        <v>1.0</v>
      </c>
      <c r="R75" s="25">
        <v>1.0</v>
      </c>
      <c r="S75" s="25">
        <v>1.0</v>
      </c>
      <c r="T75" s="25">
        <v>1.0</v>
      </c>
      <c r="U75" s="25">
        <v>1.0</v>
      </c>
      <c r="V75" s="25">
        <v>1.0</v>
      </c>
      <c r="W75" s="25">
        <v>1.0</v>
      </c>
      <c r="X75" s="25">
        <v>1.0</v>
      </c>
      <c r="Y75" s="25">
        <v>1.0</v>
      </c>
      <c r="Z75" s="25">
        <v>1.0</v>
      </c>
      <c r="AA75" s="25">
        <v>1.0</v>
      </c>
      <c r="AB75" s="25">
        <v>1.0</v>
      </c>
      <c r="AC75" s="25">
        <v>1.0</v>
      </c>
      <c r="AD75" s="25">
        <v>1.0</v>
      </c>
      <c r="AE75" s="25">
        <v>1.0</v>
      </c>
      <c r="AF75" s="25">
        <v>1.0</v>
      </c>
      <c r="AG75" s="25">
        <v>1.0</v>
      </c>
      <c r="AH75" s="25">
        <v>1.0</v>
      </c>
      <c r="AI75" s="25">
        <v>1.0</v>
      </c>
      <c r="AJ75" s="25">
        <v>1.0</v>
      </c>
      <c r="AK75" s="25">
        <v>1.0</v>
      </c>
      <c r="AL75" s="25">
        <v>1.0</v>
      </c>
      <c r="AM75" s="25">
        <v>1.0</v>
      </c>
      <c r="AN75" s="25">
        <v>1.0</v>
      </c>
      <c r="AO75" s="25">
        <v>1.0</v>
      </c>
      <c r="AP75" s="25">
        <v>1.0</v>
      </c>
      <c r="AQ75" s="25">
        <v>1.0</v>
      </c>
      <c r="AR75" s="25">
        <v>1.0</v>
      </c>
      <c r="AS75" s="25">
        <v>1.0</v>
      </c>
      <c r="AT75" s="25">
        <v>1.0</v>
      </c>
      <c r="AU75" s="25">
        <v>1.0</v>
      </c>
      <c r="AV75" s="25">
        <v>1.0</v>
      </c>
      <c r="AW75" s="25">
        <v>1.0</v>
      </c>
      <c r="AX75" s="25">
        <v>1.0</v>
      </c>
      <c r="AY75" s="25">
        <v>1.0</v>
      </c>
      <c r="AZ75" s="25">
        <v>1.0</v>
      </c>
      <c r="BA75" s="25">
        <v>1.0</v>
      </c>
      <c r="BB75" s="25">
        <v>1.0</v>
      </c>
      <c r="BC75" s="25">
        <v>1.0</v>
      </c>
      <c r="BD75" s="25">
        <v>1.0</v>
      </c>
      <c r="BE75" s="25">
        <v>1.0</v>
      </c>
      <c r="BF75" s="25">
        <v>1.0</v>
      </c>
      <c r="BG75" s="25">
        <v>1.0</v>
      </c>
      <c r="BH75" s="25">
        <v>1.0</v>
      </c>
      <c r="BI75" s="25">
        <v>53.5</v>
      </c>
    </row>
    <row r="76">
      <c r="A76" s="7">
        <v>5000933.0</v>
      </c>
      <c r="B76" s="3" t="s">
        <v>338</v>
      </c>
      <c r="C76" s="7" t="s">
        <v>185</v>
      </c>
      <c r="D76" s="25">
        <v>1.0</v>
      </c>
      <c r="E76" s="25">
        <v>1.0</v>
      </c>
      <c r="F76" s="25">
        <v>1.0</v>
      </c>
      <c r="G76" s="25">
        <v>1.0</v>
      </c>
      <c r="H76" s="25">
        <v>1.0</v>
      </c>
      <c r="I76" s="25">
        <v>1.0</v>
      </c>
      <c r="J76" s="25">
        <v>1.0</v>
      </c>
      <c r="K76" s="25">
        <v>1.0</v>
      </c>
      <c r="L76" s="25">
        <v>1.0</v>
      </c>
      <c r="M76" s="25">
        <v>1.0</v>
      </c>
      <c r="N76" s="25">
        <v>1.0</v>
      </c>
      <c r="O76" s="25">
        <v>1.0</v>
      </c>
      <c r="P76" s="25">
        <v>1.0</v>
      </c>
      <c r="Q76" s="25">
        <v>1.0</v>
      </c>
      <c r="R76" s="25">
        <v>1.0</v>
      </c>
      <c r="S76" s="25">
        <v>1.0</v>
      </c>
      <c r="T76" s="25">
        <v>1.0</v>
      </c>
      <c r="U76" s="25">
        <v>1.0</v>
      </c>
      <c r="V76" s="25">
        <v>1.0</v>
      </c>
      <c r="W76" s="25">
        <v>1.0</v>
      </c>
      <c r="X76" s="25">
        <v>1.0</v>
      </c>
      <c r="Y76" s="25">
        <v>1.0</v>
      </c>
      <c r="Z76" s="25">
        <v>1.0</v>
      </c>
      <c r="AA76" s="25">
        <v>1.0</v>
      </c>
      <c r="AB76" s="25">
        <v>1.0</v>
      </c>
      <c r="AC76" s="25">
        <v>1.0</v>
      </c>
      <c r="AD76" s="25">
        <v>1.0</v>
      </c>
      <c r="AE76" s="25">
        <v>1.0</v>
      </c>
      <c r="AF76" s="25">
        <v>1.0</v>
      </c>
      <c r="AG76" s="25">
        <v>1.0</v>
      </c>
      <c r="AH76" s="25">
        <v>1.0</v>
      </c>
      <c r="AI76" s="25">
        <v>1.0</v>
      </c>
      <c r="AJ76" s="25">
        <v>1.0</v>
      </c>
      <c r="AK76" s="25">
        <v>1.0</v>
      </c>
      <c r="AL76" s="25">
        <v>1.0</v>
      </c>
      <c r="AM76" s="25">
        <v>1.0</v>
      </c>
      <c r="AN76" s="25">
        <v>1.0</v>
      </c>
      <c r="AO76" s="25">
        <v>1.0</v>
      </c>
      <c r="AP76" s="25">
        <v>1.0</v>
      </c>
      <c r="AQ76" s="25">
        <v>1.0</v>
      </c>
      <c r="AR76" s="25">
        <v>1.0</v>
      </c>
      <c r="AS76" s="25">
        <v>1.0</v>
      </c>
      <c r="AT76" s="25">
        <v>1.0</v>
      </c>
      <c r="AU76" s="25">
        <v>1.0</v>
      </c>
      <c r="AV76" s="25">
        <v>1.0</v>
      </c>
      <c r="AW76" s="25">
        <v>1.0</v>
      </c>
      <c r="AX76" s="25">
        <v>1.0</v>
      </c>
      <c r="AY76" s="25">
        <v>1.0</v>
      </c>
      <c r="AZ76" s="25">
        <v>1.0</v>
      </c>
      <c r="BA76" s="25">
        <v>1.0</v>
      </c>
      <c r="BB76" s="25">
        <v>1.0</v>
      </c>
      <c r="BC76" s="25">
        <v>1.0</v>
      </c>
      <c r="BD76" s="25">
        <v>1.0</v>
      </c>
      <c r="BE76" s="25">
        <v>1.0</v>
      </c>
      <c r="BF76" s="25">
        <v>1.0</v>
      </c>
      <c r="BG76" s="25">
        <v>1.0</v>
      </c>
      <c r="BH76" s="25">
        <v>1.0</v>
      </c>
      <c r="BI76" s="25">
        <v>57.0</v>
      </c>
    </row>
    <row r="77">
      <c r="A77" s="7">
        <v>7082818.0</v>
      </c>
      <c r="B77" s="3" t="s">
        <v>339</v>
      </c>
      <c r="C77" s="7" t="s">
        <v>87</v>
      </c>
      <c r="D77" s="25">
        <v>1.0</v>
      </c>
      <c r="E77" s="25">
        <v>1.0</v>
      </c>
      <c r="F77" s="25">
        <v>1.0</v>
      </c>
      <c r="G77" s="25">
        <v>1.0</v>
      </c>
      <c r="H77" s="25">
        <v>1.0</v>
      </c>
      <c r="I77" s="25">
        <v>1.0</v>
      </c>
      <c r="J77" s="25">
        <v>1.0</v>
      </c>
      <c r="K77" s="25">
        <v>1.0</v>
      </c>
      <c r="L77" s="25">
        <v>1.0</v>
      </c>
      <c r="M77" s="25">
        <v>1.0</v>
      </c>
      <c r="N77" s="25">
        <v>1.0</v>
      </c>
      <c r="O77" s="25">
        <v>1.0</v>
      </c>
      <c r="P77" s="25">
        <v>1.0</v>
      </c>
      <c r="Q77" s="25">
        <v>1.0</v>
      </c>
      <c r="R77" s="25">
        <v>1.0</v>
      </c>
      <c r="S77" s="25">
        <v>1.0</v>
      </c>
      <c r="T77" s="25">
        <v>1.0</v>
      </c>
      <c r="U77" s="25">
        <v>1.0</v>
      </c>
      <c r="V77" s="25">
        <v>1.0</v>
      </c>
      <c r="W77" s="25">
        <v>1.0</v>
      </c>
      <c r="X77" s="25">
        <v>1.0</v>
      </c>
      <c r="Y77" s="25">
        <v>1.0</v>
      </c>
      <c r="Z77" s="25">
        <v>1.0</v>
      </c>
      <c r="AA77" s="25">
        <v>1.0</v>
      </c>
      <c r="AB77" s="25">
        <v>1.0</v>
      </c>
      <c r="AC77" s="25">
        <v>1.0</v>
      </c>
      <c r="AD77" s="25">
        <v>1.0</v>
      </c>
      <c r="AE77" s="25">
        <v>1.0</v>
      </c>
      <c r="AF77" s="25">
        <v>1.0</v>
      </c>
      <c r="AG77" s="25">
        <v>1.0</v>
      </c>
      <c r="AH77" s="25">
        <v>1.0</v>
      </c>
      <c r="AI77" s="25">
        <v>1.0</v>
      </c>
      <c r="AJ77" s="25">
        <v>1.0</v>
      </c>
      <c r="AK77" s="25">
        <v>1.0</v>
      </c>
      <c r="AL77" s="25">
        <v>1.0</v>
      </c>
      <c r="AM77" s="25">
        <v>1.0</v>
      </c>
      <c r="AN77" s="25">
        <v>1.0</v>
      </c>
      <c r="AO77" s="25">
        <v>1.0</v>
      </c>
      <c r="AP77" s="25">
        <v>1.0</v>
      </c>
      <c r="AQ77" s="25">
        <v>1.0</v>
      </c>
      <c r="AR77" s="25">
        <v>1.0</v>
      </c>
      <c r="AS77" s="25">
        <v>1.0</v>
      </c>
      <c r="AT77" s="25">
        <v>1.0</v>
      </c>
      <c r="AU77" s="25">
        <v>1.0</v>
      </c>
      <c r="AV77" s="25">
        <v>1.0</v>
      </c>
      <c r="AW77" s="25">
        <v>1.0</v>
      </c>
      <c r="AX77" s="25">
        <v>1.0</v>
      </c>
      <c r="AY77" s="25">
        <v>1.0</v>
      </c>
      <c r="AZ77" s="25">
        <v>1.0</v>
      </c>
      <c r="BA77" s="25">
        <v>1.0</v>
      </c>
      <c r="BB77" s="25">
        <v>1.0</v>
      </c>
      <c r="BC77" s="25">
        <v>1.0</v>
      </c>
      <c r="BD77" s="25">
        <v>1.0</v>
      </c>
      <c r="BE77" s="25">
        <v>1.0</v>
      </c>
      <c r="BF77" s="25">
        <v>1.0</v>
      </c>
      <c r="BG77" s="25">
        <v>1.0</v>
      </c>
      <c r="BH77" s="25">
        <v>1.0</v>
      </c>
      <c r="BI77" s="25">
        <v>57.0</v>
      </c>
    </row>
    <row r="78">
      <c r="A78" s="7">
        <v>8276502.0</v>
      </c>
      <c r="B78" s="3" t="s">
        <v>341</v>
      </c>
      <c r="C78" s="7" t="s">
        <v>94</v>
      </c>
      <c r="D78" s="25">
        <v>1.0</v>
      </c>
      <c r="E78" s="25">
        <v>1.0</v>
      </c>
      <c r="F78" s="25">
        <v>1.0</v>
      </c>
      <c r="G78" s="25">
        <v>1.0</v>
      </c>
      <c r="H78" s="25">
        <v>1.0</v>
      </c>
      <c r="I78" s="25">
        <v>1.0</v>
      </c>
      <c r="J78" s="25">
        <v>1.0</v>
      </c>
      <c r="K78" s="25">
        <v>1.0</v>
      </c>
      <c r="L78" s="25">
        <v>1.0</v>
      </c>
      <c r="M78" s="25">
        <v>1.0</v>
      </c>
      <c r="N78" s="25">
        <v>1.0</v>
      </c>
      <c r="O78" s="25">
        <v>1.0</v>
      </c>
      <c r="P78" s="25">
        <v>1.0</v>
      </c>
      <c r="Q78" s="25">
        <v>1.0</v>
      </c>
      <c r="R78" s="25">
        <v>1.0</v>
      </c>
      <c r="S78" s="25">
        <v>1.0</v>
      </c>
      <c r="T78" s="25">
        <v>1.0</v>
      </c>
      <c r="U78" s="25">
        <v>1.0</v>
      </c>
      <c r="V78" s="25">
        <v>1.0</v>
      </c>
      <c r="W78" s="25">
        <v>1.0</v>
      </c>
      <c r="X78" s="25">
        <v>1.0</v>
      </c>
      <c r="Y78" s="25">
        <v>1.0</v>
      </c>
      <c r="Z78" s="25">
        <v>1.0</v>
      </c>
      <c r="AA78" s="25">
        <v>1.0</v>
      </c>
      <c r="AB78" s="25">
        <v>1.0</v>
      </c>
      <c r="AC78" s="25">
        <v>1.0</v>
      </c>
      <c r="AD78" s="25">
        <v>1.0</v>
      </c>
      <c r="AE78" s="25">
        <v>1.0</v>
      </c>
      <c r="AF78" s="25">
        <v>1.0</v>
      </c>
      <c r="AG78" s="25">
        <v>1.0</v>
      </c>
      <c r="AH78" s="25">
        <v>1.0</v>
      </c>
      <c r="AI78" s="25">
        <v>1.0</v>
      </c>
      <c r="AJ78" s="25">
        <v>1.0</v>
      </c>
      <c r="AK78" s="25">
        <v>1.0</v>
      </c>
      <c r="AL78" s="25">
        <v>1.0</v>
      </c>
      <c r="AM78" s="25">
        <v>1.0</v>
      </c>
      <c r="AN78" s="25">
        <v>1.0</v>
      </c>
      <c r="AO78" s="25">
        <v>1.0</v>
      </c>
      <c r="AP78" s="25">
        <v>1.0</v>
      </c>
      <c r="AQ78" s="25">
        <v>1.0</v>
      </c>
      <c r="AR78" s="25">
        <v>1.0</v>
      </c>
      <c r="AS78" s="25">
        <v>1.0</v>
      </c>
      <c r="AT78" s="25">
        <v>1.0</v>
      </c>
      <c r="AU78" s="25">
        <v>1.0</v>
      </c>
      <c r="AV78" s="25">
        <v>1.0</v>
      </c>
      <c r="AW78" s="25">
        <v>1.0</v>
      </c>
      <c r="AX78" s="25">
        <v>1.0</v>
      </c>
      <c r="AY78" s="25">
        <v>1.0</v>
      </c>
      <c r="AZ78" s="25">
        <v>1.0</v>
      </c>
      <c r="BA78" s="25">
        <v>1.0</v>
      </c>
      <c r="BB78" s="25">
        <v>1.0</v>
      </c>
      <c r="BC78" s="25">
        <v>1.0</v>
      </c>
      <c r="BD78" s="25">
        <v>1.0</v>
      </c>
      <c r="BE78" s="25">
        <v>1.0</v>
      </c>
      <c r="BF78" s="25">
        <v>1.0</v>
      </c>
      <c r="BG78" s="25">
        <v>1.0</v>
      </c>
      <c r="BH78" s="25">
        <v>1.0</v>
      </c>
      <c r="BI78" s="25">
        <v>57.0</v>
      </c>
    </row>
    <row r="79">
      <c r="A79" s="7">
        <v>6349422.0</v>
      </c>
      <c r="B79" s="3" t="s">
        <v>340</v>
      </c>
      <c r="C79" s="7" t="s">
        <v>94</v>
      </c>
      <c r="D79" s="25">
        <v>0.0</v>
      </c>
      <c r="E79" s="25">
        <v>0.0</v>
      </c>
      <c r="F79" s="25">
        <v>0.0</v>
      </c>
      <c r="G79" s="25">
        <v>0.0</v>
      </c>
      <c r="H79" s="25">
        <v>0.0</v>
      </c>
      <c r="I79" s="25">
        <v>0.0</v>
      </c>
      <c r="J79" s="25">
        <v>0.0</v>
      </c>
      <c r="K79" s="25">
        <v>0.0</v>
      </c>
      <c r="L79" s="25">
        <v>0.0</v>
      </c>
      <c r="M79" s="25">
        <v>0.0</v>
      </c>
      <c r="N79" s="25">
        <v>0.0</v>
      </c>
      <c r="O79" s="25">
        <v>0.0</v>
      </c>
      <c r="P79" s="25">
        <v>0.0</v>
      </c>
      <c r="Q79" s="25">
        <v>0.0</v>
      </c>
      <c r="R79" s="25">
        <v>0.0</v>
      </c>
      <c r="S79" s="25">
        <v>0.0</v>
      </c>
      <c r="T79" s="25">
        <v>0.0</v>
      </c>
      <c r="U79" s="25">
        <v>0.0</v>
      </c>
      <c r="V79" s="25">
        <v>0.0</v>
      </c>
      <c r="W79" s="25">
        <v>0.0</v>
      </c>
      <c r="X79" s="25">
        <v>0.0</v>
      </c>
      <c r="Y79" s="25">
        <v>0.0</v>
      </c>
      <c r="Z79" s="25">
        <v>0.0</v>
      </c>
      <c r="AA79" s="25">
        <v>0.0</v>
      </c>
      <c r="AB79" s="25">
        <v>0.0</v>
      </c>
      <c r="AC79" s="25">
        <v>0.0</v>
      </c>
      <c r="AD79" s="25">
        <v>0.0</v>
      </c>
      <c r="AE79" s="25">
        <v>0.0</v>
      </c>
      <c r="AF79" s="25">
        <v>0.0</v>
      </c>
      <c r="AG79" s="25">
        <v>0.0</v>
      </c>
      <c r="AH79" s="25">
        <v>0.0</v>
      </c>
      <c r="AI79" s="25">
        <v>0.0</v>
      </c>
      <c r="AJ79" s="25">
        <v>0.0</v>
      </c>
      <c r="AK79" s="25">
        <v>0.0</v>
      </c>
      <c r="AL79" s="25">
        <v>0.0</v>
      </c>
      <c r="AM79" s="25">
        <v>0.0</v>
      </c>
      <c r="AN79" s="25">
        <v>0.0</v>
      </c>
      <c r="AO79" s="25">
        <v>0.0</v>
      </c>
      <c r="AP79" s="25">
        <v>0.0</v>
      </c>
      <c r="AQ79" s="25">
        <v>0.0</v>
      </c>
      <c r="AR79" s="25">
        <v>0.0</v>
      </c>
      <c r="AS79" s="25">
        <v>0.0</v>
      </c>
      <c r="AT79" s="25">
        <v>0.0</v>
      </c>
      <c r="AU79" s="25">
        <v>0.0</v>
      </c>
      <c r="AV79" s="25">
        <v>0.0</v>
      </c>
      <c r="AW79" s="25">
        <v>0.0</v>
      </c>
      <c r="AX79" s="25">
        <v>0.0</v>
      </c>
      <c r="AY79" s="25">
        <v>0.0</v>
      </c>
      <c r="AZ79" s="25">
        <v>0.0</v>
      </c>
      <c r="BA79" s="25">
        <v>0.0</v>
      </c>
      <c r="BB79" s="25">
        <v>0.0</v>
      </c>
      <c r="BC79" s="25">
        <v>0.0</v>
      </c>
      <c r="BD79" s="25">
        <v>0.0</v>
      </c>
      <c r="BE79" s="25">
        <v>0.0</v>
      </c>
      <c r="BF79" s="25">
        <v>0.0</v>
      </c>
      <c r="BG79" s="25">
        <v>0.0</v>
      </c>
      <c r="BH79" s="25">
        <v>0.0</v>
      </c>
      <c r="BI79" s="25">
        <v>0.0</v>
      </c>
    </row>
    <row r="80">
      <c r="A80" s="7">
        <v>5071665.0</v>
      </c>
      <c r="B80" s="3" t="s">
        <v>85</v>
      </c>
      <c r="C80" s="7" t="s">
        <v>94</v>
      </c>
      <c r="D80" s="25">
        <v>1.0</v>
      </c>
      <c r="E80" s="25">
        <v>1.0</v>
      </c>
      <c r="F80" s="25">
        <v>1.0</v>
      </c>
      <c r="G80" s="25">
        <v>1.0</v>
      </c>
      <c r="H80" s="25">
        <v>1.0</v>
      </c>
      <c r="I80" s="25">
        <v>1.0</v>
      </c>
      <c r="J80" s="25">
        <v>1.0</v>
      </c>
      <c r="K80" s="25">
        <v>1.0</v>
      </c>
      <c r="L80" s="25">
        <v>1.0</v>
      </c>
      <c r="M80" s="25">
        <v>1.0</v>
      </c>
      <c r="N80" s="25">
        <v>1.0</v>
      </c>
      <c r="O80" s="25">
        <v>1.0</v>
      </c>
      <c r="P80" s="25">
        <v>1.0</v>
      </c>
      <c r="Q80" s="25">
        <v>1.0</v>
      </c>
      <c r="R80" s="25">
        <v>1.0</v>
      </c>
      <c r="S80" s="25">
        <v>1.0</v>
      </c>
      <c r="T80" s="25">
        <v>1.0</v>
      </c>
      <c r="U80" s="25">
        <v>1.0</v>
      </c>
      <c r="V80" s="25">
        <v>1.0</v>
      </c>
      <c r="W80" s="25">
        <v>1.0</v>
      </c>
      <c r="X80" s="25">
        <v>1.0</v>
      </c>
      <c r="Y80" s="25">
        <v>1.0</v>
      </c>
      <c r="Z80" s="25">
        <v>1.0</v>
      </c>
      <c r="AA80" s="25">
        <v>1.0</v>
      </c>
      <c r="AB80" s="25">
        <v>1.0</v>
      </c>
      <c r="AC80" s="25">
        <v>1.0</v>
      </c>
      <c r="AD80" s="25">
        <v>1.0</v>
      </c>
      <c r="AE80" s="25">
        <v>1.0</v>
      </c>
      <c r="AF80" s="25">
        <v>1.0</v>
      </c>
      <c r="AG80" s="25">
        <v>1.0</v>
      </c>
      <c r="AH80" s="25">
        <v>1.0</v>
      </c>
      <c r="AI80" s="25">
        <v>1.0</v>
      </c>
      <c r="AJ80" s="25">
        <v>1.0</v>
      </c>
      <c r="AK80" s="25">
        <v>1.0</v>
      </c>
      <c r="AL80" s="25">
        <v>1.0</v>
      </c>
      <c r="AM80" s="25">
        <v>1.0</v>
      </c>
      <c r="AN80" s="25">
        <v>1.0</v>
      </c>
      <c r="AO80" s="25">
        <v>1.0</v>
      </c>
      <c r="AP80" s="25">
        <v>1.0</v>
      </c>
      <c r="AQ80" s="25">
        <v>1.0</v>
      </c>
      <c r="AR80" s="25">
        <v>1.0</v>
      </c>
      <c r="AS80" s="25">
        <v>1.0</v>
      </c>
      <c r="AT80" s="25">
        <v>1.0</v>
      </c>
      <c r="AU80" s="25">
        <v>1.0</v>
      </c>
      <c r="AV80" s="25">
        <v>1.0</v>
      </c>
      <c r="AW80" s="25">
        <v>1.0</v>
      </c>
      <c r="AX80" s="25">
        <v>1.0</v>
      </c>
      <c r="AY80" s="25">
        <v>1.0</v>
      </c>
      <c r="AZ80" s="25">
        <v>1.0</v>
      </c>
      <c r="BA80" s="25">
        <v>1.0</v>
      </c>
      <c r="BB80" s="25">
        <v>1.0</v>
      </c>
      <c r="BC80" s="25">
        <v>1.0</v>
      </c>
      <c r="BD80" s="25">
        <v>1.0</v>
      </c>
      <c r="BE80" s="25">
        <v>1.0</v>
      </c>
      <c r="BF80" s="25">
        <v>1.0</v>
      </c>
      <c r="BG80" s="25">
        <v>1.0</v>
      </c>
      <c r="BH80" s="25">
        <v>1.0</v>
      </c>
      <c r="BI80" s="25">
        <v>57.0</v>
      </c>
    </row>
    <row r="81">
      <c r="A81" s="7">
        <v>4382868.0</v>
      </c>
      <c r="B81" s="3" t="s">
        <v>463</v>
      </c>
      <c r="C81" s="7" t="s">
        <v>94</v>
      </c>
      <c r="D81" s="25">
        <v>1.0</v>
      </c>
      <c r="E81" s="25">
        <v>1.0</v>
      </c>
      <c r="F81" s="25">
        <v>1.0</v>
      </c>
      <c r="G81" s="25">
        <v>1.0</v>
      </c>
      <c r="H81" s="25">
        <v>1.0</v>
      </c>
      <c r="I81" s="25">
        <v>1.0</v>
      </c>
      <c r="J81" s="25">
        <v>1.0</v>
      </c>
      <c r="K81" s="25">
        <v>1.0</v>
      </c>
      <c r="L81" s="25">
        <v>1.0</v>
      </c>
      <c r="M81" s="25">
        <v>1.0</v>
      </c>
      <c r="N81" s="25">
        <v>1.0</v>
      </c>
      <c r="O81" s="25">
        <v>1.0</v>
      </c>
      <c r="P81" s="25">
        <v>1.0</v>
      </c>
      <c r="Q81" s="25">
        <v>0.5</v>
      </c>
      <c r="R81" s="25">
        <v>0.0</v>
      </c>
      <c r="S81" s="25">
        <v>0.0</v>
      </c>
      <c r="T81" s="25">
        <v>0.0</v>
      </c>
      <c r="U81" s="25">
        <v>0.0</v>
      </c>
      <c r="V81" s="25">
        <v>0.0</v>
      </c>
      <c r="W81" s="25">
        <v>0.0</v>
      </c>
      <c r="X81" s="25">
        <v>0.0</v>
      </c>
      <c r="Y81" s="25">
        <v>0.0</v>
      </c>
      <c r="Z81" s="25">
        <v>0.5</v>
      </c>
      <c r="AA81" s="25">
        <v>1.0</v>
      </c>
      <c r="AB81" s="25">
        <v>1.0</v>
      </c>
      <c r="AC81" s="25">
        <v>1.0</v>
      </c>
      <c r="AD81" s="25">
        <v>1.0</v>
      </c>
      <c r="AE81" s="25">
        <v>0.5</v>
      </c>
      <c r="AF81" s="25">
        <v>0.0</v>
      </c>
      <c r="AG81" s="25">
        <v>0.0</v>
      </c>
      <c r="AH81" s="25">
        <v>0.0</v>
      </c>
      <c r="AI81" s="25">
        <v>0.0</v>
      </c>
      <c r="AJ81" s="25">
        <v>0.0</v>
      </c>
      <c r="AK81" s="25">
        <v>0.0</v>
      </c>
      <c r="AL81" s="25">
        <v>0.0</v>
      </c>
      <c r="AM81" s="25">
        <v>0.0</v>
      </c>
      <c r="AN81" s="25">
        <v>0.5</v>
      </c>
      <c r="AO81" s="25">
        <v>1.0</v>
      </c>
      <c r="AP81" s="25">
        <v>1.0</v>
      </c>
      <c r="AQ81" s="25">
        <v>1.0</v>
      </c>
      <c r="AR81" s="25">
        <v>1.0</v>
      </c>
      <c r="AS81" s="25">
        <v>1.0</v>
      </c>
      <c r="AT81" s="25">
        <v>1.0</v>
      </c>
      <c r="AU81" s="25">
        <v>1.0</v>
      </c>
      <c r="AV81" s="25">
        <v>1.0</v>
      </c>
      <c r="AW81" s="25">
        <v>1.0</v>
      </c>
      <c r="AX81" s="25">
        <v>1.0</v>
      </c>
      <c r="AY81" s="25">
        <v>1.0</v>
      </c>
      <c r="AZ81" s="25">
        <v>1.0</v>
      </c>
      <c r="BA81" s="25">
        <v>1.0</v>
      </c>
      <c r="BB81" s="25">
        <v>1.0</v>
      </c>
      <c r="BC81" s="25">
        <v>1.0</v>
      </c>
      <c r="BD81" s="25">
        <v>1.0</v>
      </c>
      <c r="BE81" s="25">
        <v>1.0</v>
      </c>
      <c r="BF81" s="25">
        <v>1.0</v>
      </c>
      <c r="BG81" s="25">
        <v>1.0</v>
      </c>
      <c r="BH81" s="25">
        <v>1.0</v>
      </c>
      <c r="BI81" s="25">
        <v>39.0</v>
      </c>
    </row>
    <row r="82">
      <c r="A82" s="7">
        <v>5151252.0</v>
      </c>
      <c r="B82" s="3" t="s">
        <v>86</v>
      </c>
      <c r="C82" s="7" t="s">
        <v>94</v>
      </c>
      <c r="D82" s="25">
        <v>1.0</v>
      </c>
      <c r="E82" s="25">
        <v>1.0</v>
      </c>
      <c r="F82" s="25">
        <v>1.0</v>
      </c>
      <c r="G82" s="25">
        <v>1.0</v>
      </c>
      <c r="H82" s="25">
        <v>1.0</v>
      </c>
      <c r="I82" s="25">
        <v>1.0</v>
      </c>
      <c r="J82" s="25">
        <v>1.0</v>
      </c>
      <c r="K82" s="25">
        <v>1.0</v>
      </c>
      <c r="L82" s="25">
        <v>1.0</v>
      </c>
      <c r="M82" s="25">
        <v>1.0</v>
      </c>
      <c r="N82" s="25">
        <v>1.0</v>
      </c>
      <c r="O82" s="25">
        <v>1.0</v>
      </c>
      <c r="P82" s="25">
        <v>1.0</v>
      </c>
      <c r="Q82" s="25">
        <v>1.0</v>
      </c>
      <c r="R82" s="25">
        <v>1.0</v>
      </c>
      <c r="S82" s="25">
        <v>1.0</v>
      </c>
      <c r="T82" s="25">
        <v>1.0</v>
      </c>
      <c r="U82" s="25">
        <v>1.0</v>
      </c>
      <c r="V82" s="25">
        <v>0.5</v>
      </c>
      <c r="W82" s="25">
        <v>0.0</v>
      </c>
      <c r="X82" s="25">
        <v>0.0</v>
      </c>
      <c r="Y82" s="25">
        <v>0.5</v>
      </c>
      <c r="Z82" s="25">
        <v>1.0</v>
      </c>
      <c r="AA82" s="25">
        <v>1.0</v>
      </c>
      <c r="AB82" s="25">
        <v>1.0</v>
      </c>
      <c r="AC82" s="25">
        <v>1.0</v>
      </c>
      <c r="AD82" s="25">
        <v>1.0</v>
      </c>
      <c r="AE82" s="25">
        <v>1.0</v>
      </c>
      <c r="AF82" s="25">
        <v>1.0</v>
      </c>
      <c r="AG82" s="25">
        <v>1.0</v>
      </c>
      <c r="AH82" s="25">
        <v>1.0</v>
      </c>
      <c r="AI82" s="25">
        <v>1.0</v>
      </c>
      <c r="AJ82" s="25">
        <v>1.0</v>
      </c>
      <c r="AK82" s="25">
        <v>1.0</v>
      </c>
      <c r="AL82" s="25">
        <v>1.0</v>
      </c>
      <c r="AM82" s="25">
        <v>1.0</v>
      </c>
      <c r="AN82" s="25">
        <v>1.0</v>
      </c>
      <c r="AO82" s="25">
        <v>1.0</v>
      </c>
      <c r="AP82" s="25">
        <v>1.0</v>
      </c>
      <c r="AQ82" s="25">
        <v>1.0</v>
      </c>
      <c r="AR82" s="25">
        <v>1.0</v>
      </c>
      <c r="AS82" s="25">
        <v>1.0</v>
      </c>
      <c r="AT82" s="25">
        <v>1.0</v>
      </c>
      <c r="AU82" s="25">
        <v>1.0</v>
      </c>
      <c r="AV82" s="25">
        <v>1.0</v>
      </c>
      <c r="AW82" s="25">
        <v>1.0</v>
      </c>
      <c r="AX82" s="25">
        <v>1.0</v>
      </c>
      <c r="AY82" s="25">
        <v>1.0</v>
      </c>
      <c r="AZ82" s="25">
        <v>1.0</v>
      </c>
      <c r="BA82" s="25">
        <v>1.0</v>
      </c>
      <c r="BB82" s="25">
        <v>1.0</v>
      </c>
      <c r="BC82" s="25">
        <v>1.0</v>
      </c>
      <c r="BD82" s="25">
        <v>1.0</v>
      </c>
      <c r="BE82" s="25">
        <v>1.0</v>
      </c>
      <c r="BF82" s="25">
        <v>1.0</v>
      </c>
      <c r="BG82" s="25">
        <v>1.0</v>
      </c>
      <c r="BH82" s="25">
        <v>1.0</v>
      </c>
      <c r="BI82" s="25">
        <v>54.0</v>
      </c>
    </row>
    <row r="83">
      <c r="A83" s="7">
        <v>8789129.0</v>
      </c>
      <c r="B83" s="3" t="s">
        <v>281</v>
      </c>
      <c r="C83" s="7" t="s">
        <v>94</v>
      </c>
      <c r="D83" s="25">
        <v>1.0</v>
      </c>
      <c r="E83" s="25">
        <v>1.0</v>
      </c>
      <c r="F83" s="25">
        <v>1.0</v>
      </c>
      <c r="G83" s="25">
        <v>1.0</v>
      </c>
      <c r="H83" s="25">
        <v>1.0</v>
      </c>
      <c r="I83" s="25">
        <v>1.0</v>
      </c>
      <c r="J83" s="25">
        <v>1.0</v>
      </c>
      <c r="K83" s="25">
        <v>1.0</v>
      </c>
      <c r="L83" s="25">
        <v>1.0</v>
      </c>
      <c r="M83" s="25">
        <v>1.0</v>
      </c>
      <c r="N83" s="25">
        <v>1.0</v>
      </c>
      <c r="O83" s="25">
        <v>1.0</v>
      </c>
      <c r="P83" s="25">
        <v>1.0</v>
      </c>
      <c r="Q83" s="25">
        <v>1.0</v>
      </c>
      <c r="R83" s="25">
        <v>0.5</v>
      </c>
      <c r="S83" s="25">
        <v>0.0</v>
      </c>
      <c r="T83" s="25">
        <v>0.5</v>
      </c>
      <c r="U83" s="25">
        <v>0.0</v>
      </c>
      <c r="V83" s="25">
        <v>0.0</v>
      </c>
      <c r="W83" s="25">
        <v>0.0</v>
      </c>
      <c r="X83" s="25">
        <v>0.0</v>
      </c>
      <c r="Y83" s="25">
        <v>0.0</v>
      </c>
      <c r="Z83" s="25">
        <v>0.0</v>
      </c>
      <c r="AA83" s="25">
        <v>0.5</v>
      </c>
      <c r="AB83" s="25">
        <v>1.0</v>
      </c>
      <c r="AC83" s="25">
        <v>1.0</v>
      </c>
      <c r="AD83" s="25">
        <v>1.0</v>
      </c>
      <c r="AE83" s="25">
        <v>1.0</v>
      </c>
      <c r="AF83" s="25">
        <v>1.0</v>
      </c>
      <c r="AG83" s="25">
        <v>1.0</v>
      </c>
      <c r="AH83" s="25">
        <v>1.0</v>
      </c>
      <c r="AI83" s="25">
        <v>1.0</v>
      </c>
      <c r="AJ83" s="25">
        <v>1.0</v>
      </c>
      <c r="AK83" s="25">
        <v>1.0</v>
      </c>
      <c r="AL83" s="25">
        <v>1.0</v>
      </c>
      <c r="AM83" s="25">
        <v>1.0</v>
      </c>
      <c r="AN83" s="25">
        <v>1.0</v>
      </c>
      <c r="AO83" s="25">
        <v>1.0</v>
      </c>
      <c r="AP83" s="25">
        <v>1.0</v>
      </c>
      <c r="AQ83" s="25">
        <v>1.0</v>
      </c>
      <c r="AR83" s="25">
        <v>1.0</v>
      </c>
      <c r="AS83" s="25">
        <v>1.0</v>
      </c>
      <c r="AT83" s="25">
        <v>1.0</v>
      </c>
      <c r="AU83" s="25">
        <v>1.0</v>
      </c>
      <c r="AV83" s="25">
        <v>1.0</v>
      </c>
      <c r="AW83" s="25">
        <v>1.0</v>
      </c>
      <c r="AX83" s="25">
        <v>1.0</v>
      </c>
      <c r="AY83" s="25">
        <v>1.0</v>
      </c>
      <c r="AZ83" s="25">
        <v>1.0</v>
      </c>
      <c r="BA83" s="25">
        <v>1.0</v>
      </c>
      <c r="BB83" s="25">
        <v>1.0</v>
      </c>
      <c r="BC83" s="25">
        <v>1.0</v>
      </c>
      <c r="BD83" s="25">
        <v>1.0</v>
      </c>
      <c r="BE83" s="25">
        <v>1.0</v>
      </c>
      <c r="BF83" s="25">
        <v>1.0</v>
      </c>
      <c r="BG83" s="25">
        <v>1.0</v>
      </c>
      <c r="BH83" s="25">
        <v>1.0</v>
      </c>
      <c r="BI83" s="25">
        <v>48.5</v>
      </c>
    </row>
    <row r="84">
      <c r="A84" s="7">
        <v>4357123.0</v>
      </c>
      <c r="B84" s="3" t="s">
        <v>342</v>
      </c>
      <c r="C84" s="7" t="s">
        <v>112</v>
      </c>
      <c r="D84" s="25">
        <v>1.0</v>
      </c>
      <c r="E84" s="25">
        <v>1.0</v>
      </c>
      <c r="F84" s="25">
        <v>1.0</v>
      </c>
      <c r="G84" s="25">
        <v>1.0</v>
      </c>
      <c r="H84" s="25">
        <v>1.0</v>
      </c>
      <c r="I84" s="25">
        <v>1.0</v>
      </c>
      <c r="J84" s="25">
        <v>1.0</v>
      </c>
      <c r="K84" s="25">
        <v>1.0</v>
      </c>
      <c r="L84" s="25">
        <v>1.0</v>
      </c>
      <c r="M84" s="25">
        <v>1.0</v>
      </c>
      <c r="N84" s="25">
        <v>1.0</v>
      </c>
      <c r="O84" s="25">
        <v>1.0</v>
      </c>
      <c r="P84" s="25">
        <v>1.0</v>
      </c>
      <c r="Q84" s="25">
        <v>1.0</v>
      </c>
      <c r="R84" s="25">
        <v>1.0</v>
      </c>
      <c r="S84" s="25">
        <v>1.0</v>
      </c>
      <c r="T84" s="25">
        <v>1.0</v>
      </c>
      <c r="U84" s="25">
        <v>1.0</v>
      </c>
      <c r="V84" s="25">
        <v>1.0</v>
      </c>
      <c r="W84" s="25">
        <v>1.0</v>
      </c>
      <c r="X84" s="25">
        <v>1.0</v>
      </c>
      <c r="Y84" s="25">
        <v>1.0</v>
      </c>
      <c r="Z84" s="25">
        <v>1.0</v>
      </c>
      <c r="AA84" s="25">
        <v>1.0</v>
      </c>
      <c r="AB84" s="25">
        <v>1.0</v>
      </c>
      <c r="AC84" s="25">
        <v>1.0</v>
      </c>
      <c r="AD84" s="25">
        <v>1.0</v>
      </c>
      <c r="AE84" s="25">
        <v>1.0</v>
      </c>
      <c r="AF84" s="25">
        <v>1.0</v>
      </c>
      <c r="AG84" s="25">
        <v>1.0</v>
      </c>
      <c r="AH84" s="25">
        <v>1.0</v>
      </c>
      <c r="AI84" s="25">
        <v>1.0</v>
      </c>
      <c r="AJ84" s="25">
        <v>1.0</v>
      </c>
      <c r="AK84" s="25">
        <v>1.0</v>
      </c>
      <c r="AL84" s="25">
        <v>1.0</v>
      </c>
      <c r="AM84" s="25">
        <v>1.0</v>
      </c>
      <c r="AN84" s="25">
        <v>1.0</v>
      </c>
      <c r="AO84" s="25">
        <v>1.0</v>
      </c>
      <c r="AP84" s="25">
        <v>1.0</v>
      </c>
      <c r="AQ84" s="25">
        <v>1.0</v>
      </c>
      <c r="AR84" s="25">
        <v>1.0</v>
      </c>
      <c r="AS84" s="25">
        <v>1.0</v>
      </c>
      <c r="AT84" s="25">
        <v>1.0</v>
      </c>
      <c r="AU84" s="25">
        <v>1.0</v>
      </c>
      <c r="AV84" s="25">
        <v>1.0</v>
      </c>
      <c r="AW84" s="25">
        <v>1.0</v>
      </c>
      <c r="AX84" s="25">
        <v>1.0</v>
      </c>
      <c r="AY84" s="25">
        <v>1.0</v>
      </c>
      <c r="AZ84" s="25">
        <v>1.0</v>
      </c>
      <c r="BA84" s="25">
        <v>1.0</v>
      </c>
      <c r="BB84" s="25">
        <v>1.0</v>
      </c>
      <c r="BC84" s="25">
        <v>1.0</v>
      </c>
      <c r="BD84" s="25">
        <v>1.0</v>
      </c>
      <c r="BE84" s="25">
        <v>1.0</v>
      </c>
      <c r="BF84" s="25">
        <v>1.0</v>
      </c>
      <c r="BG84" s="25">
        <v>1.0</v>
      </c>
      <c r="BH84" s="25">
        <v>1.0</v>
      </c>
      <c r="BI84" s="25">
        <v>57.0</v>
      </c>
    </row>
    <row r="85">
      <c r="A85" s="7">
        <v>5645367.0</v>
      </c>
      <c r="B85" s="3" t="s">
        <v>254</v>
      </c>
      <c r="C85" s="7" t="s">
        <v>94</v>
      </c>
      <c r="D85" s="25">
        <v>1.0</v>
      </c>
      <c r="E85" s="25">
        <v>1.0</v>
      </c>
      <c r="F85" s="25">
        <v>1.0</v>
      </c>
      <c r="G85" s="25">
        <v>1.0</v>
      </c>
      <c r="H85" s="25">
        <v>1.0</v>
      </c>
      <c r="I85" s="25">
        <v>1.0</v>
      </c>
      <c r="J85" s="25">
        <v>1.0</v>
      </c>
      <c r="K85" s="25">
        <v>1.0</v>
      </c>
      <c r="L85" s="25">
        <v>1.0</v>
      </c>
      <c r="M85" s="25">
        <v>1.0</v>
      </c>
      <c r="N85" s="25">
        <v>1.0</v>
      </c>
      <c r="O85" s="25">
        <v>0.5</v>
      </c>
      <c r="P85" s="25">
        <v>0.0</v>
      </c>
      <c r="Q85" s="25">
        <v>0.0</v>
      </c>
      <c r="R85" s="25">
        <v>0.5</v>
      </c>
      <c r="S85" s="25">
        <v>1.0</v>
      </c>
      <c r="T85" s="25">
        <v>1.0</v>
      </c>
      <c r="U85" s="25">
        <v>1.0</v>
      </c>
      <c r="V85" s="25">
        <v>0.5</v>
      </c>
      <c r="W85" s="25">
        <v>0.0</v>
      </c>
      <c r="X85" s="25">
        <v>0.0</v>
      </c>
      <c r="Y85" s="25">
        <v>0.5</v>
      </c>
      <c r="Z85" s="25">
        <v>1.0</v>
      </c>
      <c r="AA85" s="25">
        <v>1.0</v>
      </c>
      <c r="AB85" s="25">
        <v>1.0</v>
      </c>
      <c r="AC85" s="25">
        <v>1.0</v>
      </c>
      <c r="AD85" s="25">
        <v>1.0</v>
      </c>
      <c r="AE85" s="25">
        <v>0.5</v>
      </c>
      <c r="AF85" s="25">
        <v>0.0</v>
      </c>
      <c r="AG85" s="25">
        <v>0.5</v>
      </c>
      <c r="AH85" s="25">
        <v>1.0</v>
      </c>
      <c r="AI85" s="25">
        <v>1.0</v>
      </c>
      <c r="AJ85" s="25">
        <v>1.0</v>
      </c>
      <c r="AK85" s="25">
        <v>1.0</v>
      </c>
      <c r="AL85" s="25">
        <v>1.0</v>
      </c>
      <c r="AM85" s="25">
        <v>1.0</v>
      </c>
      <c r="AN85" s="25">
        <v>1.0</v>
      </c>
      <c r="AO85" s="25">
        <v>1.0</v>
      </c>
      <c r="AP85" s="25">
        <v>1.0</v>
      </c>
      <c r="AQ85" s="25">
        <v>1.0</v>
      </c>
      <c r="AR85" s="25">
        <v>1.0</v>
      </c>
      <c r="AS85" s="25">
        <v>1.0</v>
      </c>
      <c r="AT85" s="25">
        <v>1.0</v>
      </c>
      <c r="AU85" s="25">
        <v>1.0</v>
      </c>
      <c r="AV85" s="25">
        <v>1.0</v>
      </c>
      <c r="AW85" s="25">
        <v>1.0</v>
      </c>
      <c r="AX85" s="25">
        <v>1.0</v>
      </c>
      <c r="AY85" s="25">
        <v>1.0</v>
      </c>
      <c r="AZ85" s="25">
        <v>1.0</v>
      </c>
      <c r="BA85" s="25">
        <v>1.0</v>
      </c>
      <c r="BB85" s="25">
        <v>1.0</v>
      </c>
      <c r="BC85" s="25">
        <v>1.0</v>
      </c>
      <c r="BD85" s="25">
        <v>1.0</v>
      </c>
      <c r="BE85" s="25">
        <v>1.0</v>
      </c>
      <c r="BF85" s="25">
        <v>1.0</v>
      </c>
      <c r="BG85" s="25">
        <v>1.0</v>
      </c>
      <c r="BH85" s="25">
        <v>1.0</v>
      </c>
      <c r="BI85" s="25">
        <v>49.0</v>
      </c>
    </row>
    <row r="86">
      <c r="A86" s="7">
        <v>5811600.0</v>
      </c>
      <c r="B86" s="3" t="s">
        <v>343</v>
      </c>
      <c r="C86" s="7" t="s">
        <v>94</v>
      </c>
      <c r="D86" s="25">
        <v>1.0</v>
      </c>
      <c r="E86" s="25">
        <v>1.0</v>
      </c>
      <c r="F86" s="25">
        <v>1.0</v>
      </c>
      <c r="G86" s="25">
        <v>1.0</v>
      </c>
      <c r="H86" s="25">
        <v>1.0</v>
      </c>
      <c r="I86" s="25">
        <v>1.0</v>
      </c>
      <c r="J86" s="25">
        <v>1.0</v>
      </c>
      <c r="K86" s="25">
        <v>1.0</v>
      </c>
      <c r="L86" s="25">
        <v>1.0</v>
      </c>
      <c r="M86" s="25">
        <v>1.0</v>
      </c>
      <c r="N86" s="25">
        <v>1.0</v>
      </c>
      <c r="O86" s="25">
        <v>1.0</v>
      </c>
      <c r="P86" s="25">
        <v>1.0</v>
      </c>
      <c r="Q86" s="25">
        <v>1.0</v>
      </c>
      <c r="R86" s="25">
        <v>1.0</v>
      </c>
      <c r="S86" s="25">
        <v>1.0</v>
      </c>
      <c r="T86" s="25">
        <v>1.0</v>
      </c>
      <c r="U86" s="25">
        <v>1.0</v>
      </c>
      <c r="V86" s="25">
        <v>1.0</v>
      </c>
      <c r="W86" s="25">
        <v>1.0</v>
      </c>
      <c r="X86" s="25">
        <v>1.0</v>
      </c>
      <c r="Y86" s="25">
        <v>1.0</v>
      </c>
      <c r="Z86" s="25">
        <v>1.0</v>
      </c>
      <c r="AA86" s="25">
        <v>1.0</v>
      </c>
      <c r="AB86" s="25">
        <v>1.0</v>
      </c>
      <c r="AC86" s="25">
        <v>1.0</v>
      </c>
      <c r="AD86" s="25">
        <v>1.0</v>
      </c>
      <c r="AE86" s="25">
        <v>1.0</v>
      </c>
      <c r="AF86" s="25">
        <v>1.0</v>
      </c>
      <c r="AG86" s="25">
        <v>1.0</v>
      </c>
      <c r="AH86" s="25">
        <v>1.0</v>
      </c>
      <c r="AI86" s="25">
        <v>1.0</v>
      </c>
      <c r="AJ86" s="25">
        <v>1.0</v>
      </c>
      <c r="AK86" s="25">
        <v>1.0</v>
      </c>
      <c r="AL86" s="25">
        <v>1.0</v>
      </c>
      <c r="AM86" s="25">
        <v>1.0</v>
      </c>
      <c r="AN86" s="25">
        <v>1.0</v>
      </c>
      <c r="AO86" s="25">
        <v>1.0</v>
      </c>
      <c r="AP86" s="25">
        <v>1.0</v>
      </c>
      <c r="AQ86" s="25">
        <v>1.0</v>
      </c>
      <c r="AR86" s="25">
        <v>1.0</v>
      </c>
      <c r="AS86" s="25">
        <v>1.0</v>
      </c>
      <c r="AT86" s="25">
        <v>1.0</v>
      </c>
      <c r="AU86" s="25">
        <v>1.0</v>
      </c>
      <c r="AV86" s="25">
        <v>1.0</v>
      </c>
      <c r="AW86" s="25">
        <v>1.0</v>
      </c>
      <c r="AX86" s="25">
        <v>1.0</v>
      </c>
      <c r="AY86" s="25">
        <v>1.0</v>
      </c>
      <c r="AZ86" s="25">
        <v>1.0</v>
      </c>
      <c r="BA86" s="25">
        <v>1.0</v>
      </c>
      <c r="BB86" s="25">
        <v>1.0</v>
      </c>
      <c r="BC86" s="25">
        <v>1.0</v>
      </c>
      <c r="BD86" s="25">
        <v>1.0</v>
      </c>
      <c r="BE86" s="25">
        <v>1.0</v>
      </c>
      <c r="BF86" s="25">
        <v>1.0</v>
      </c>
      <c r="BG86" s="25">
        <v>1.0</v>
      </c>
      <c r="BH86" s="25">
        <v>1.0</v>
      </c>
      <c r="BI86" s="25">
        <v>57.0</v>
      </c>
    </row>
    <row r="87">
      <c r="A87" s="7">
        <v>6370712.0</v>
      </c>
      <c r="B87" s="3" t="s">
        <v>320</v>
      </c>
      <c r="C87" s="7" t="s">
        <v>87</v>
      </c>
      <c r="D87" s="25">
        <v>1.0</v>
      </c>
      <c r="E87" s="25">
        <v>1.0</v>
      </c>
      <c r="F87" s="25">
        <v>1.0</v>
      </c>
      <c r="G87" s="25">
        <v>1.0</v>
      </c>
      <c r="H87" s="25">
        <v>1.0</v>
      </c>
      <c r="I87" s="25">
        <v>1.0</v>
      </c>
      <c r="J87" s="25">
        <v>1.0</v>
      </c>
      <c r="K87" s="25">
        <v>1.0</v>
      </c>
      <c r="L87" s="25">
        <v>1.0</v>
      </c>
      <c r="M87" s="25">
        <v>1.0</v>
      </c>
      <c r="N87" s="25">
        <v>1.0</v>
      </c>
      <c r="O87" s="25">
        <v>1.0</v>
      </c>
      <c r="P87" s="25">
        <v>1.0</v>
      </c>
      <c r="Q87" s="25">
        <v>1.0</v>
      </c>
      <c r="R87" s="25">
        <v>1.0</v>
      </c>
      <c r="S87" s="25">
        <v>1.0</v>
      </c>
      <c r="T87" s="25">
        <v>1.0</v>
      </c>
      <c r="U87" s="25">
        <v>1.0</v>
      </c>
      <c r="V87" s="25">
        <v>1.0</v>
      </c>
      <c r="W87" s="25">
        <v>1.0</v>
      </c>
      <c r="X87" s="25">
        <v>1.0</v>
      </c>
      <c r="Y87" s="25">
        <v>1.0</v>
      </c>
      <c r="Z87" s="25">
        <v>1.0</v>
      </c>
      <c r="AA87" s="25">
        <v>1.0</v>
      </c>
      <c r="AB87" s="25">
        <v>1.0</v>
      </c>
      <c r="AC87" s="25">
        <v>1.0</v>
      </c>
      <c r="AD87" s="25">
        <v>1.0</v>
      </c>
      <c r="AE87" s="25">
        <v>1.0</v>
      </c>
      <c r="AF87" s="25">
        <v>1.0</v>
      </c>
      <c r="AG87" s="25">
        <v>1.0</v>
      </c>
      <c r="AH87" s="25">
        <v>1.0</v>
      </c>
      <c r="AI87" s="25">
        <v>1.0</v>
      </c>
      <c r="AJ87" s="25">
        <v>1.0</v>
      </c>
      <c r="AK87" s="25">
        <v>1.0</v>
      </c>
      <c r="AL87" s="25">
        <v>1.0</v>
      </c>
      <c r="AM87" s="25">
        <v>1.0</v>
      </c>
      <c r="AN87" s="25">
        <v>1.0</v>
      </c>
      <c r="AO87" s="25">
        <v>1.0</v>
      </c>
      <c r="AP87" s="25">
        <v>1.0</v>
      </c>
      <c r="AQ87" s="25">
        <v>1.0</v>
      </c>
      <c r="AR87" s="25">
        <v>1.0</v>
      </c>
      <c r="AS87" s="25">
        <v>1.0</v>
      </c>
      <c r="AT87" s="25">
        <v>1.0</v>
      </c>
      <c r="AU87" s="25">
        <v>1.0</v>
      </c>
      <c r="AV87" s="25">
        <v>1.0</v>
      </c>
      <c r="AW87" s="25">
        <v>1.0</v>
      </c>
      <c r="AX87" s="25">
        <v>1.0</v>
      </c>
      <c r="AY87" s="25">
        <v>1.0</v>
      </c>
      <c r="AZ87" s="25">
        <v>1.0</v>
      </c>
      <c r="BA87" s="25">
        <v>1.0</v>
      </c>
      <c r="BB87" s="25">
        <v>1.0</v>
      </c>
      <c r="BC87" s="25">
        <v>1.0</v>
      </c>
      <c r="BD87" s="25">
        <v>1.0</v>
      </c>
      <c r="BE87" s="25">
        <v>1.0</v>
      </c>
      <c r="BF87" s="25">
        <v>1.0</v>
      </c>
      <c r="BG87" s="25">
        <v>1.0</v>
      </c>
      <c r="BH87" s="25">
        <v>1.0</v>
      </c>
      <c r="BI87" s="25">
        <v>57.0</v>
      </c>
    </row>
    <row r="88">
      <c r="A88" s="3" t="s">
        <v>510</v>
      </c>
      <c r="B88" s="125"/>
      <c r="C88" s="125"/>
      <c r="D88" s="29">
        <f t="shared" ref="D88:BI88" si="1">SUM(D2:D87)</f>
        <v>73.5</v>
      </c>
      <c r="E88" s="29">
        <f t="shared" si="1"/>
        <v>73.5</v>
      </c>
      <c r="F88" s="29">
        <f t="shared" si="1"/>
        <v>74.5</v>
      </c>
      <c r="G88" s="29">
        <f t="shared" si="1"/>
        <v>74</v>
      </c>
      <c r="H88" s="29">
        <f t="shared" si="1"/>
        <v>72</v>
      </c>
      <c r="I88" s="29">
        <f t="shared" si="1"/>
        <v>70.5</v>
      </c>
      <c r="J88" s="29">
        <f t="shared" si="1"/>
        <v>70</v>
      </c>
      <c r="K88" s="29">
        <f t="shared" si="1"/>
        <v>69.5</v>
      </c>
      <c r="L88" s="29">
        <f t="shared" si="1"/>
        <v>71.5</v>
      </c>
      <c r="M88" s="29">
        <f t="shared" si="1"/>
        <v>71</v>
      </c>
      <c r="N88" s="29">
        <f t="shared" si="1"/>
        <v>69.5</v>
      </c>
      <c r="O88" s="29">
        <f t="shared" si="1"/>
        <v>69.5</v>
      </c>
      <c r="P88" s="29">
        <f t="shared" si="1"/>
        <v>68.5</v>
      </c>
      <c r="Q88" s="29">
        <f t="shared" si="1"/>
        <v>66</v>
      </c>
      <c r="R88" s="29">
        <f t="shared" si="1"/>
        <v>66</v>
      </c>
      <c r="S88" s="29">
        <f t="shared" si="1"/>
        <v>68</v>
      </c>
      <c r="T88" s="29">
        <f t="shared" si="1"/>
        <v>70</v>
      </c>
      <c r="U88" s="29">
        <f t="shared" si="1"/>
        <v>70.5</v>
      </c>
      <c r="V88" s="29">
        <f t="shared" si="1"/>
        <v>70.5</v>
      </c>
      <c r="W88" s="29">
        <f t="shared" si="1"/>
        <v>70.5</v>
      </c>
      <c r="X88" s="29">
        <f t="shared" si="1"/>
        <v>69</v>
      </c>
      <c r="Y88" s="29">
        <f t="shared" si="1"/>
        <v>68.5</v>
      </c>
      <c r="Z88" s="29">
        <f t="shared" si="1"/>
        <v>71</v>
      </c>
      <c r="AA88" s="29">
        <f t="shared" si="1"/>
        <v>70</v>
      </c>
      <c r="AB88" s="29">
        <f t="shared" si="1"/>
        <v>67</v>
      </c>
      <c r="AC88" s="29">
        <f t="shared" si="1"/>
        <v>65.5</v>
      </c>
      <c r="AD88" s="29">
        <f t="shared" si="1"/>
        <v>65</v>
      </c>
      <c r="AE88" s="29">
        <f t="shared" si="1"/>
        <v>63</v>
      </c>
      <c r="AF88" s="29">
        <f t="shared" si="1"/>
        <v>62</v>
      </c>
      <c r="AG88" s="29">
        <f t="shared" si="1"/>
        <v>62.5</v>
      </c>
      <c r="AH88" s="29">
        <f t="shared" si="1"/>
        <v>64.5</v>
      </c>
      <c r="AI88" s="29">
        <f t="shared" si="1"/>
        <v>67</v>
      </c>
      <c r="AJ88" s="29">
        <f t="shared" si="1"/>
        <v>68</v>
      </c>
      <c r="AK88" s="29">
        <f t="shared" si="1"/>
        <v>70.5</v>
      </c>
      <c r="AL88" s="29">
        <f t="shared" si="1"/>
        <v>71</v>
      </c>
      <c r="AM88" s="29">
        <f t="shared" si="1"/>
        <v>70</v>
      </c>
      <c r="AN88" s="29">
        <f t="shared" si="1"/>
        <v>71</v>
      </c>
      <c r="AO88" s="29">
        <f t="shared" si="1"/>
        <v>71</v>
      </c>
      <c r="AP88" s="29">
        <f t="shared" si="1"/>
        <v>70.5</v>
      </c>
      <c r="AQ88" s="29">
        <f t="shared" si="1"/>
        <v>71.5</v>
      </c>
      <c r="AR88" s="29">
        <f t="shared" si="1"/>
        <v>75.5</v>
      </c>
      <c r="AS88" s="29">
        <f t="shared" si="1"/>
        <v>79</v>
      </c>
      <c r="AT88" s="29">
        <f t="shared" si="1"/>
        <v>80</v>
      </c>
      <c r="AU88" s="29">
        <f t="shared" si="1"/>
        <v>81</v>
      </c>
      <c r="AV88" s="29">
        <f t="shared" si="1"/>
        <v>81</v>
      </c>
      <c r="AW88" s="29">
        <f t="shared" si="1"/>
        <v>81</v>
      </c>
      <c r="AX88" s="29">
        <f t="shared" si="1"/>
        <v>81</v>
      </c>
      <c r="AY88" s="29">
        <f t="shared" si="1"/>
        <v>81.5</v>
      </c>
      <c r="AZ88" s="29">
        <f t="shared" si="1"/>
        <v>82</v>
      </c>
      <c r="BA88" s="29">
        <f t="shared" si="1"/>
        <v>82</v>
      </c>
      <c r="BB88" s="29">
        <f t="shared" si="1"/>
        <v>82</v>
      </c>
      <c r="BC88" s="29">
        <f t="shared" si="1"/>
        <v>82.5</v>
      </c>
      <c r="BD88" s="29">
        <f t="shared" si="1"/>
        <v>83</v>
      </c>
      <c r="BE88" s="29">
        <f t="shared" si="1"/>
        <v>83</v>
      </c>
      <c r="BF88" s="29">
        <f t="shared" si="1"/>
        <v>83</v>
      </c>
      <c r="BG88" s="29">
        <f t="shared" si="1"/>
        <v>83</v>
      </c>
      <c r="BH88" s="29">
        <f t="shared" si="1"/>
        <v>83.5</v>
      </c>
      <c r="BI88" s="29">
        <f t="shared" si="1"/>
        <v>4151.5</v>
      </c>
    </row>
    <row r="89">
      <c r="A89" s="3"/>
      <c r="C89" s="7"/>
      <c r="D89" s="29"/>
      <c r="E89" s="29"/>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c r="AV89" s="29"/>
      <c r="AW89" s="29"/>
      <c r="AX89" s="29"/>
      <c r="AY89" s="29"/>
      <c r="AZ89" s="29"/>
      <c r="BA89" s="29"/>
      <c r="BB89" s="29"/>
      <c r="BC89" s="29"/>
      <c r="BD89" s="29"/>
      <c r="BE89" s="29"/>
      <c r="BF89" s="29"/>
      <c r="BG89" s="29"/>
      <c r="BH89" s="29"/>
      <c r="BI89" s="29"/>
    </row>
    <row r="90">
      <c r="A90" s="3" t="s">
        <v>108</v>
      </c>
      <c r="C90" s="7" t="s">
        <v>87</v>
      </c>
      <c r="D90" s="29">
        <f t="shared" ref="D90:BI90" si="2">SUMIF($C$2:$C$87,"Com1",D2:D87)</f>
        <v>8</v>
      </c>
      <c r="E90" s="29">
        <f t="shared" si="2"/>
        <v>8</v>
      </c>
      <c r="F90" s="29">
        <f t="shared" si="2"/>
        <v>8.5</v>
      </c>
      <c r="G90" s="29">
        <f t="shared" si="2"/>
        <v>9</v>
      </c>
      <c r="H90" s="29">
        <f t="shared" si="2"/>
        <v>8.5</v>
      </c>
      <c r="I90" s="29">
        <f t="shared" si="2"/>
        <v>8</v>
      </c>
      <c r="J90" s="29">
        <f t="shared" si="2"/>
        <v>8.5</v>
      </c>
      <c r="K90" s="29">
        <f t="shared" si="2"/>
        <v>8</v>
      </c>
      <c r="L90" s="29">
        <f t="shared" si="2"/>
        <v>8.5</v>
      </c>
      <c r="M90" s="29">
        <f t="shared" si="2"/>
        <v>9</v>
      </c>
      <c r="N90" s="29">
        <f t="shared" si="2"/>
        <v>9</v>
      </c>
      <c r="O90" s="29">
        <f t="shared" si="2"/>
        <v>9</v>
      </c>
      <c r="P90" s="29">
        <f t="shared" si="2"/>
        <v>9</v>
      </c>
      <c r="Q90" s="29">
        <f t="shared" si="2"/>
        <v>9</v>
      </c>
      <c r="R90" s="29">
        <f t="shared" si="2"/>
        <v>9</v>
      </c>
      <c r="S90" s="29">
        <f t="shared" si="2"/>
        <v>9</v>
      </c>
      <c r="T90" s="29">
        <f t="shared" si="2"/>
        <v>9</v>
      </c>
      <c r="U90" s="29">
        <f t="shared" si="2"/>
        <v>9</v>
      </c>
      <c r="V90" s="29">
        <f t="shared" si="2"/>
        <v>9</v>
      </c>
      <c r="W90" s="29">
        <f t="shared" si="2"/>
        <v>9</v>
      </c>
      <c r="X90" s="29">
        <f t="shared" si="2"/>
        <v>9</v>
      </c>
      <c r="Y90" s="29">
        <f t="shared" si="2"/>
        <v>9</v>
      </c>
      <c r="Z90" s="29">
        <f t="shared" si="2"/>
        <v>9</v>
      </c>
      <c r="AA90" s="29">
        <f t="shared" si="2"/>
        <v>9</v>
      </c>
      <c r="AB90" s="29">
        <f t="shared" si="2"/>
        <v>9</v>
      </c>
      <c r="AC90" s="29">
        <f t="shared" si="2"/>
        <v>9</v>
      </c>
      <c r="AD90" s="29">
        <f t="shared" si="2"/>
        <v>9</v>
      </c>
      <c r="AE90" s="29">
        <f t="shared" si="2"/>
        <v>9</v>
      </c>
      <c r="AF90" s="29">
        <f t="shared" si="2"/>
        <v>9</v>
      </c>
      <c r="AG90" s="29">
        <f t="shared" si="2"/>
        <v>8.5</v>
      </c>
      <c r="AH90" s="29">
        <f t="shared" si="2"/>
        <v>8</v>
      </c>
      <c r="AI90" s="29">
        <f t="shared" si="2"/>
        <v>8</v>
      </c>
      <c r="AJ90" s="29">
        <f t="shared" si="2"/>
        <v>8.5</v>
      </c>
      <c r="AK90" s="29">
        <f t="shared" si="2"/>
        <v>9</v>
      </c>
      <c r="AL90" s="29">
        <f t="shared" si="2"/>
        <v>9</v>
      </c>
      <c r="AM90" s="29">
        <f t="shared" si="2"/>
        <v>9</v>
      </c>
      <c r="AN90" s="29">
        <f t="shared" si="2"/>
        <v>9</v>
      </c>
      <c r="AO90" s="29">
        <f t="shared" si="2"/>
        <v>9</v>
      </c>
      <c r="AP90" s="29">
        <f t="shared" si="2"/>
        <v>9</v>
      </c>
      <c r="AQ90" s="29">
        <f t="shared" si="2"/>
        <v>9</v>
      </c>
      <c r="AR90" s="29">
        <f t="shared" si="2"/>
        <v>9</v>
      </c>
      <c r="AS90" s="29">
        <f t="shared" si="2"/>
        <v>9</v>
      </c>
      <c r="AT90" s="29">
        <f t="shared" si="2"/>
        <v>9</v>
      </c>
      <c r="AU90" s="29">
        <f t="shared" si="2"/>
        <v>9</v>
      </c>
      <c r="AV90" s="29">
        <f t="shared" si="2"/>
        <v>9</v>
      </c>
      <c r="AW90" s="29">
        <f t="shared" si="2"/>
        <v>9</v>
      </c>
      <c r="AX90" s="29">
        <f t="shared" si="2"/>
        <v>9</v>
      </c>
      <c r="AY90" s="29">
        <f t="shared" si="2"/>
        <v>9</v>
      </c>
      <c r="AZ90" s="29">
        <f t="shared" si="2"/>
        <v>9</v>
      </c>
      <c r="BA90" s="29">
        <f t="shared" si="2"/>
        <v>9</v>
      </c>
      <c r="BB90" s="29">
        <f t="shared" si="2"/>
        <v>9</v>
      </c>
      <c r="BC90" s="29">
        <f t="shared" si="2"/>
        <v>9</v>
      </c>
      <c r="BD90" s="29">
        <f t="shared" si="2"/>
        <v>9</v>
      </c>
      <c r="BE90" s="29">
        <f t="shared" si="2"/>
        <v>9</v>
      </c>
      <c r="BF90" s="29">
        <f t="shared" si="2"/>
        <v>9</v>
      </c>
      <c r="BG90" s="29">
        <f t="shared" si="2"/>
        <v>9</v>
      </c>
      <c r="BH90" s="29">
        <f t="shared" si="2"/>
        <v>9</v>
      </c>
      <c r="BI90" s="29">
        <f t="shared" si="2"/>
        <v>504</v>
      </c>
    </row>
    <row r="91">
      <c r="A91" s="3" t="s">
        <v>109</v>
      </c>
      <c r="C91" s="7" t="s">
        <v>214</v>
      </c>
      <c r="D91" s="29">
        <f t="shared" ref="D91:BI91" si="3">SUMIF($C$2:$C$87,"Com2",D2:D87)</f>
        <v>3</v>
      </c>
      <c r="E91" s="29">
        <f t="shared" si="3"/>
        <v>3</v>
      </c>
      <c r="F91" s="29">
        <f t="shared" si="3"/>
        <v>3</v>
      </c>
      <c r="G91" s="29">
        <f t="shared" si="3"/>
        <v>3</v>
      </c>
      <c r="H91" s="29">
        <f t="shared" si="3"/>
        <v>3</v>
      </c>
      <c r="I91" s="29">
        <f t="shared" si="3"/>
        <v>3</v>
      </c>
      <c r="J91" s="29">
        <f t="shared" si="3"/>
        <v>3</v>
      </c>
      <c r="K91" s="29">
        <f t="shared" si="3"/>
        <v>2.5</v>
      </c>
      <c r="L91" s="29">
        <f t="shared" si="3"/>
        <v>2</v>
      </c>
      <c r="M91" s="29">
        <f t="shared" si="3"/>
        <v>2</v>
      </c>
      <c r="N91" s="29">
        <f t="shared" si="3"/>
        <v>2</v>
      </c>
      <c r="O91" s="29">
        <f t="shared" si="3"/>
        <v>2</v>
      </c>
      <c r="P91" s="29">
        <f t="shared" si="3"/>
        <v>2</v>
      </c>
      <c r="Q91" s="29">
        <f t="shared" si="3"/>
        <v>2</v>
      </c>
      <c r="R91" s="29">
        <f t="shared" si="3"/>
        <v>2</v>
      </c>
      <c r="S91" s="29">
        <f t="shared" si="3"/>
        <v>1.5</v>
      </c>
      <c r="T91" s="29">
        <f t="shared" si="3"/>
        <v>1</v>
      </c>
      <c r="U91" s="29">
        <f t="shared" si="3"/>
        <v>1.5</v>
      </c>
      <c r="V91" s="29">
        <f t="shared" si="3"/>
        <v>2</v>
      </c>
      <c r="W91" s="29">
        <f t="shared" si="3"/>
        <v>2</v>
      </c>
      <c r="X91" s="29">
        <f t="shared" si="3"/>
        <v>2</v>
      </c>
      <c r="Y91" s="29">
        <f t="shared" si="3"/>
        <v>2</v>
      </c>
      <c r="Z91" s="29">
        <f t="shared" si="3"/>
        <v>2</v>
      </c>
      <c r="AA91" s="29">
        <f t="shared" si="3"/>
        <v>2</v>
      </c>
      <c r="AB91" s="29">
        <f t="shared" si="3"/>
        <v>2</v>
      </c>
      <c r="AC91" s="29">
        <f t="shared" si="3"/>
        <v>2</v>
      </c>
      <c r="AD91" s="29">
        <f t="shared" si="3"/>
        <v>2</v>
      </c>
      <c r="AE91" s="29">
        <f t="shared" si="3"/>
        <v>2</v>
      </c>
      <c r="AF91" s="29">
        <f t="shared" si="3"/>
        <v>2</v>
      </c>
      <c r="AG91" s="29">
        <f t="shared" si="3"/>
        <v>2</v>
      </c>
      <c r="AH91" s="29">
        <f t="shared" si="3"/>
        <v>2</v>
      </c>
      <c r="AI91" s="29">
        <f t="shared" si="3"/>
        <v>2</v>
      </c>
      <c r="AJ91" s="29">
        <f t="shared" si="3"/>
        <v>2</v>
      </c>
      <c r="AK91" s="29">
        <f t="shared" si="3"/>
        <v>2</v>
      </c>
      <c r="AL91" s="29">
        <f t="shared" si="3"/>
        <v>2</v>
      </c>
      <c r="AM91" s="29">
        <f t="shared" si="3"/>
        <v>2</v>
      </c>
      <c r="AN91" s="29">
        <f t="shared" si="3"/>
        <v>2</v>
      </c>
      <c r="AO91" s="29">
        <f t="shared" si="3"/>
        <v>2</v>
      </c>
      <c r="AP91" s="29">
        <f t="shared" si="3"/>
        <v>2</v>
      </c>
      <c r="AQ91" s="29">
        <f t="shared" si="3"/>
        <v>2</v>
      </c>
      <c r="AR91" s="29">
        <f t="shared" si="3"/>
        <v>2</v>
      </c>
      <c r="AS91" s="29">
        <f t="shared" si="3"/>
        <v>2</v>
      </c>
      <c r="AT91" s="29">
        <f t="shared" si="3"/>
        <v>2.5</v>
      </c>
      <c r="AU91" s="29">
        <f t="shared" si="3"/>
        <v>3</v>
      </c>
      <c r="AV91" s="29">
        <f t="shared" si="3"/>
        <v>3</v>
      </c>
      <c r="AW91" s="29">
        <f t="shared" si="3"/>
        <v>3</v>
      </c>
      <c r="AX91" s="29">
        <f t="shared" si="3"/>
        <v>3</v>
      </c>
      <c r="AY91" s="29">
        <f t="shared" si="3"/>
        <v>3</v>
      </c>
      <c r="AZ91" s="29">
        <f t="shared" si="3"/>
        <v>3</v>
      </c>
      <c r="BA91" s="29">
        <f t="shared" si="3"/>
        <v>3</v>
      </c>
      <c r="BB91" s="29">
        <f t="shared" si="3"/>
        <v>3</v>
      </c>
      <c r="BC91" s="29">
        <f t="shared" si="3"/>
        <v>3</v>
      </c>
      <c r="BD91" s="29">
        <f t="shared" si="3"/>
        <v>3</v>
      </c>
      <c r="BE91" s="29">
        <f t="shared" si="3"/>
        <v>3</v>
      </c>
      <c r="BF91" s="29">
        <f t="shared" si="3"/>
        <v>3</v>
      </c>
      <c r="BG91" s="29">
        <f t="shared" si="3"/>
        <v>3</v>
      </c>
      <c r="BH91" s="29">
        <f t="shared" si="3"/>
        <v>3</v>
      </c>
      <c r="BI91" s="29">
        <f t="shared" si="3"/>
        <v>134</v>
      </c>
    </row>
    <row r="92">
      <c r="A92" s="3" t="s">
        <v>98</v>
      </c>
      <c r="C92" s="7" t="s">
        <v>146</v>
      </c>
      <c r="D92" s="29">
        <f t="shared" ref="D92:BI92" si="4">SUMIF($C$2:$C$87,"HM",D2:D87)</f>
        <v>2</v>
      </c>
      <c r="E92" s="29">
        <f t="shared" si="4"/>
        <v>2</v>
      </c>
      <c r="F92" s="29">
        <f t="shared" si="4"/>
        <v>2</v>
      </c>
      <c r="G92" s="29">
        <f t="shared" si="4"/>
        <v>2</v>
      </c>
      <c r="H92" s="29">
        <f t="shared" si="4"/>
        <v>2</v>
      </c>
      <c r="I92" s="29">
        <f t="shared" si="4"/>
        <v>1.5</v>
      </c>
      <c r="J92" s="29">
        <f t="shared" si="4"/>
        <v>1</v>
      </c>
      <c r="K92" s="29">
        <f t="shared" si="4"/>
        <v>1</v>
      </c>
      <c r="L92" s="29">
        <f t="shared" si="4"/>
        <v>1</v>
      </c>
      <c r="M92" s="29">
        <f t="shared" si="4"/>
        <v>1.5</v>
      </c>
      <c r="N92" s="29">
        <f t="shared" si="4"/>
        <v>2</v>
      </c>
      <c r="O92" s="29">
        <f t="shared" si="4"/>
        <v>2</v>
      </c>
      <c r="P92" s="29">
        <f t="shared" si="4"/>
        <v>2</v>
      </c>
      <c r="Q92" s="29">
        <f t="shared" si="4"/>
        <v>2</v>
      </c>
      <c r="R92" s="29">
        <f t="shared" si="4"/>
        <v>2.5</v>
      </c>
      <c r="S92" s="29">
        <f t="shared" si="4"/>
        <v>2.5</v>
      </c>
      <c r="T92" s="29">
        <f t="shared" si="4"/>
        <v>2.5</v>
      </c>
      <c r="U92" s="29">
        <f t="shared" si="4"/>
        <v>3</v>
      </c>
      <c r="V92" s="29">
        <f t="shared" si="4"/>
        <v>3</v>
      </c>
      <c r="W92" s="29">
        <f t="shared" si="4"/>
        <v>3.5</v>
      </c>
      <c r="X92" s="29">
        <f t="shared" si="4"/>
        <v>4</v>
      </c>
      <c r="Y92" s="29">
        <f t="shared" si="4"/>
        <v>4</v>
      </c>
      <c r="Z92" s="29">
        <f t="shared" si="4"/>
        <v>4</v>
      </c>
      <c r="AA92" s="29">
        <f t="shared" si="4"/>
        <v>4</v>
      </c>
      <c r="AB92" s="29">
        <f t="shared" si="4"/>
        <v>4</v>
      </c>
      <c r="AC92" s="29">
        <f t="shared" si="4"/>
        <v>3.5</v>
      </c>
      <c r="AD92" s="29">
        <f t="shared" si="4"/>
        <v>3</v>
      </c>
      <c r="AE92" s="29">
        <f t="shared" si="4"/>
        <v>3</v>
      </c>
      <c r="AF92" s="29">
        <f t="shared" si="4"/>
        <v>3.5</v>
      </c>
      <c r="AG92" s="29">
        <f t="shared" si="4"/>
        <v>3.5</v>
      </c>
      <c r="AH92" s="29">
        <f t="shared" si="4"/>
        <v>3</v>
      </c>
      <c r="AI92" s="29">
        <f t="shared" si="4"/>
        <v>3</v>
      </c>
      <c r="AJ92" s="29">
        <f t="shared" si="4"/>
        <v>3</v>
      </c>
      <c r="AK92" s="29">
        <f t="shared" si="4"/>
        <v>3.5</v>
      </c>
      <c r="AL92" s="29">
        <f t="shared" si="4"/>
        <v>4</v>
      </c>
      <c r="AM92" s="29">
        <f t="shared" si="4"/>
        <v>4</v>
      </c>
      <c r="AN92" s="29">
        <f t="shared" si="4"/>
        <v>4</v>
      </c>
      <c r="AO92" s="29">
        <f t="shared" si="4"/>
        <v>4</v>
      </c>
      <c r="AP92" s="29">
        <f t="shared" si="4"/>
        <v>4</v>
      </c>
      <c r="AQ92" s="29">
        <f t="shared" si="4"/>
        <v>3.5</v>
      </c>
      <c r="AR92" s="29">
        <f t="shared" si="4"/>
        <v>3</v>
      </c>
      <c r="AS92" s="29">
        <f t="shared" si="4"/>
        <v>3</v>
      </c>
      <c r="AT92" s="29">
        <f t="shared" si="4"/>
        <v>3.5</v>
      </c>
      <c r="AU92" s="29">
        <f t="shared" si="4"/>
        <v>3.5</v>
      </c>
      <c r="AV92" s="29">
        <f t="shared" si="4"/>
        <v>3</v>
      </c>
      <c r="AW92" s="29">
        <f t="shared" si="4"/>
        <v>3</v>
      </c>
      <c r="AX92" s="29">
        <f t="shared" si="4"/>
        <v>3</v>
      </c>
      <c r="AY92" s="29">
        <f t="shared" si="4"/>
        <v>3.5</v>
      </c>
      <c r="AZ92" s="29">
        <f t="shared" si="4"/>
        <v>4</v>
      </c>
      <c r="BA92" s="29">
        <f t="shared" si="4"/>
        <v>4</v>
      </c>
      <c r="BB92" s="29">
        <f t="shared" si="4"/>
        <v>4</v>
      </c>
      <c r="BC92" s="29">
        <f t="shared" si="4"/>
        <v>4</v>
      </c>
      <c r="BD92" s="29">
        <f t="shared" si="4"/>
        <v>4</v>
      </c>
      <c r="BE92" s="29">
        <f t="shared" si="4"/>
        <v>3.5</v>
      </c>
      <c r="BF92" s="29">
        <f t="shared" si="4"/>
        <v>3</v>
      </c>
      <c r="BG92" s="29">
        <f t="shared" si="4"/>
        <v>3</v>
      </c>
      <c r="BH92" s="29">
        <f t="shared" si="4"/>
        <v>3.5</v>
      </c>
      <c r="BI92" s="29">
        <f t="shared" si="4"/>
        <v>172</v>
      </c>
    </row>
    <row r="93">
      <c r="A93" s="3" t="s">
        <v>99</v>
      </c>
      <c r="C93" s="7" t="s">
        <v>112</v>
      </c>
      <c r="D93" s="29">
        <f t="shared" ref="D93:BI93" si="5">SUMIF($C$2:$C$87,"HPK",D2:D87)</f>
        <v>2</v>
      </c>
      <c r="E93" s="29">
        <f t="shared" si="5"/>
        <v>2</v>
      </c>
      <c r="F93" s="29">
        <f t="shared" si="5"/>
        <v>2</v>
      </c>
      <c r="G93" s="29">
        <f t="shared" si="5"/>
        <v>2</v>
      </c>
      <c r="H93" s="29">
        <f t="shared" si="5"/>
        <v>2</v>
      </c>
      <c r="I93" s="29">
        <f t="shared" si="5"/>
        <v>2</v>
      </c>
      <c r="J93" s="29">
        <f t="shared" si="5"/>
        <v>2</v>
      </c>
      <c r="K93" s="29">
        <f t="shared" si="5"/>
        <v>2</v>
      </c>
      <c r="L93" s="29">
        <f t="shared" si="5"/>
        <v>2</v>
      </c>
      <c r="M93" s="29">
        <f t="shared" si="5"/>
        <v>2</v>
      </c>
      <c r="N93" s="29">
        <f t="shared" si="5"/>
        <v>2</v>
      </c>
      <c r="O93" s="29">
        <f t="shared" si="5"/>
        <v>2</v>
      </c>
      <c r="P93" s="29">
        <f t="shared" si="5"/>
        <v>2</v>
      </c>
      <c r="Q93" s="29">
        <f t="shared" si="5"/>
        <v>2</v>
      </c>
      <c r="R93" s="29">
        <f t="shared" si="5"/>
        <v>2</v>
      </c>
      <c r="S93" s="29">
        <f t="shared" si="5"/>
        <v>2</v>
      </c>
      <c r="T93" s="29">
        <f t="shared" si="5"/>
        <v>2</v>
      </c>
      <c r="U93" s="29">
        <f t="shared" si="5"/>
        <v>2</v>
      </c>
      <c r="V93" s="29">
        <f t="shared" si="5"/>
        <v>2</v>
      </c>
      <c r="W93" s="29">
        <f t="shared" si="5"/>
        <v>2</v>
      </c>
      <c r="X93" s="29">
        <f t="shared" si="5"/>
        <v>2</v>
      </c>
      <c r="Y93" s="29">
        <f t="shared" si="5"/>
        <v>2</v>
      </c>
      <c r="Z93" s="29">
        <f t="shared" si="5"/>
        <v>2</v>
      </c>
      <c r="AA93" s="29">
        <f t="shared" si="5"/>
        <v>2</v>
      </c>
      <c r="AB93" s="29">
        <f t="shared" si="5"/>
        <v>2</v>
      </c>
      <c r="AC93" s="29">
        <f t="shared" si="5"/>
        <v>2</v>
      </c>
      <c r="AD93" s="29">
        <f t="shared" si="5"/>
        <v>2</v>
      </c>
      <c r="AE93" s="29">
        <f t="shared" si="5"/>
        <v>2</v>
      </c>
      <c r="AF93" s="29">
        <f t="shared" si="5"/>
        <v>2</v>
      </c>
      <c r="AG93" s="29">
        <f t="shared" si="5"/>
        <v>2</v>
      </c>
      <c r="AH93" s="29">
        <f t="shared" si="5"/>
        <v>2</v>
      </c>
      <c r="AI93" s="29">
        <f t="shared" si="5"/>
        <v>2</v>
      </c>
      <c r="AJ93" s="29">
        <f t="shared" si="5"/>
        <v>2</v>
      </c>
      <c r="AK93" s="29">
        <f t="shared" si="5"/>
        <v>2</v>
      </c>
      <c r="AL93" s="29">
        <f t="shared" si="5"/>
        <v>1.5</v>
      </c>
      <c r="AM93" s="29">
        <f t="shared" si="5"/>
        <v>1</v>
      </c>
      <c r="AN93" s="29">
        <f t="shared" si="5"/>
        <v>1</v>
      </c>
      <c r="AO93" s="29">
        <f t="shared" si="5"/>
        <v>1</v>
      </c>
      <c r="AP93" s="29">
        <f t="shared" si="5"/>
        <v>1</v>
      </c>
      <c r="AQ93" s="29">
        <f t="shared" si="5"/>
        <v>1</v>
      </c>
      <c r="AR93" s="29">
        <f t="shared" si="5"/>
        <v>1.5</v>
      </c>
      <c r="AS93" s="29">
        <f t="shared" si="5"/>
        <v>2</v>
      </c>
      <c r="AT93" s="29">
        <f t="shared" si="5"/>
        <v>2</v>
      </c>
      <c r="AU93" s="29">
        <f t="shared" si="5"/>
        <v>2</v>
      </c>
      <c r="AV93" s="29">
        <f t="shared" si="5"/>
        <v>2</v>
      </c>
      <c r="AW93" s="29">
        <f t="shared" si="5"/>
        <v>1.5</v>
      </c>
      <c r="AX93" s="29">
        <f t="shared" si="5"/>
        <v>1</v>
      </c>
      <c r="AY93" s="29">
        <f t="shared" si="5"/>
        <v>1</v>
      </c>
      <c r="AZ93" s="29">
        <f t="shared" si="5"/>
        <v>1</v>
      </c>
      <c r="BA93" s="29">
        <f t="shared" si="5"/>
        <v>1</v>
      </c>
      <c r="BB93" s="29">
        <f t="shared" si="5"/>
        <v>1</v>
      </c>
      <c r="BC93" s="29">
        <f t="shared" si="5"/>
        <v>1.5</v>
      </c>
      <c r="BD93" s="29">
        <f t="shared" si="5"/>
        <v>2</v>
      </c>
      <c r="BE93" s="29">
        <f t="shared" si="5"/>
        <v>2</v>
      </c>
      <c r="BF93" s="29">
        <f t="shared" si="5"/>
        <v>2</v>
      </c>
      <c r="BG93" s="29">
        <f t="shared" si="5"/>
        <v>2</v>
      </c>
      <c r="BH93" s="29">
        <f t="shared" si="5"/>
        <v>2</v>
      </c>
      <c r="BI93" s="29">
        <f t="shared" si="5"/>
        <v>102</v>
      </c>
    </row>
    <row r="94">
      <c r="A94" s="3" t="s">
        <v>101</v>
      </c>
      <c r="C94" s="7" t="s">
        <v>116</v>
      </c>
      <c r="D94" s="29">
        <f t="shared" ref="D94:BI94" si="6">SUMIF($C$2:$C$87,"Off1",D2:D87)</f>
        <v>3</v>
      </c>
      <c r="E94" s="29">
        <f t="shared" si="6"/>
        <v>3</v>
      </c>
      <c r="F94" s="29">
        <f t="shared" si="6"/>
        <v>3</v>
      </c>
      <c r="G94" s="29">
        <f t="shared" si="6"/>
        <v>3</v>
      </c>
      <c r="H94" s="29">
        <f t="shared" si="6"/>
        <v>3</v>
      </c>
      <c r="I94" s="29">
        <f t="shared" si="6"/>
        <v>3</v>
      </c>
      <c r="J94" s="29">
        <f t="shared" si="6"/>
        <v>3</v>
      </c>
      <c r="K94" s="29">
        <f t="shared" si="6"/>
        <v>3</v>
      </c>
      <c r="L94" s="29">
        <f t="shared" si="6"/>
        <v>3</v>
      </c>
      <c r="M94" s="29">
        <f t="shared" si="6"/>
        <v>3</v>
      </c>
      <c r="N94" s="29">
        <f t="shared" si="6"/>
        <v>3</v>
      </c>
      <c r="O94" s="29">
        <f t="shared" si="6"/>
        <v>3</v>
      </c>
      <c r="P94" s="29">
        <f t="shared" si="6"/>
        <v>2.5</v>
      </c>
      <c r="Q94" s="29">
        <f t="shared" si="6"/>
        <v>1</v>
      </c>
      <c r="R94" s="29">
        <f t="shared" si="6"/>
        <v>0</v>
      </c>
      <c r="S94" s="29">
        <f t="shared" si="6"/>
        <v>0.5</v>
      </c>
      <c r="T94" s="29">
        <f t="shared" si="6"/>
        <v>1</v>
      </c>
      <c r="U94" s="29">
        <f t="shared" si="6"/>
        <v>1</v>
      </c>
      <c r="V94" s="29">
        <f t="shared" si="6"/>
        <v>1</v>
      </c>
      <c r="W94" s="29">
        <f t="shared" si="6"/>
        <v>1.5</v>
      </c>
      <c r="X94" s="29">
        <f t="shared" si="6"/>
        <v>2</v>
      </c>
      <c r="Y94" s="29">
        <f t="shared" si="6"/>
        <v>2</v>
      </c>
      <c r="Z94" s="29">
        <f t="shared" si="6"/>
        <v>2</v>
      </c>
      <c r="AA94" s="29">
        <f t="shared" si="6"/>
        <v>2</v>
      </c>
      <c r="AB94" s="29">
        <f t="shared" si="6"/>
        <v>2</v>
      </c>
      <c r="AC94" s="29">
        <f t="shared" si="6"/>
        <v>2</v>
      </c>
      <c r="AD94" s="29">
        <f t="shared" si="6"/>
        <v>2</v>
      </c>
      <c r="AE94" s="29">
        <f t="shared" si="6"/>
        <v>2</v>
      </c>
      <c r="AF94" s="29">
        <f t="shared" si="6"/>
        <v>1.5</v>
      </c>
      <c r="AG94" s="29">
        <f t="shared" si="6"/>
        <v>1</v>
      </c>
      <c r="AH94" s="29">
        <f t="shared" si="6"/>
        <v>1.5</v>
      </c>
      <c r="AI94" s="29">
        <f t="shared" si="6"/>
        <v>2</v>
      </c>
      <c r="AJ94" s="29">
        <f t="shared" si="6"/>
        <v>2</v>
      </c>
      <c r="AK94" s="29">
        <f t="shared" si="6"/>
        <v>2.5</v>
      </c>
      <c r="AL94" s="29">
        <f t="shared" si="6"/>
        <v>3</v>
      </c>
      <c r="AM94" s="29">
        <f t="shared" si="6"/>
        <v>3</v>
      </c>
      <c r="AN94" s="29">
        <f t="shared" si="6"/>
        <v>3</v>
      </c>
      <c r="AO94" s="29">
        <f t="shared" si="6"/>
        <v>3</v>
      </c>
      <c r="AP94" s="29">
        <f t="shared" si="6"/>
        <v>3</v>
      </c>
      <c r="AQ94" s="29">
        <f t="shared" si="6"/>
        <v>3</v>
      </c>
      <c r="AR94" s="29">
        <f t="shared" si="6"/>
        <v>3</v>
      </c>
      <c r="AS94" s="29">
        <f t="shared" si="6"/>
        <v>3</v>
      </c>
      <c r="AT94" s="29">
        <f t="shared" si="6"/>
        <v>3</v>
      </c>
      <c r="AU94" s="29">
        <f t="shared" si="6"/>
        <v>3</v>
      </c>
      <c r="AV94" s="29">
        <f t="shared" si="6"/>
        <v>3</v>
      </c>
      <c r="AW94" s="29">
        <f t="shared" si="6"/>
        <v>3</v>
      </c>
      <c r="AX94" s="29">
        <f t="shared" si="6"/>
        <v>3</v>
      </c>
      <c r="AY94" s="29">
        <f t="shared" si="6"/>
        <v>3</v>
      </c>
      <c r="AZ94" s="29">
        <f t="shared" si="6"/>
        <v>3</v>
      </c>
      <c r="BA94" s="29">
        <f t="shared" si="6"/>
        <v>3</v>
      </c>
      <c r="BB94" s="29">
        <f t="shared" si="6"/>
        <v>3</v>
      </c>
      <c r="BC94" s="29">
        <f t="shared" si="6"/>
        <v>3</v>
      </c>
      <c r="BD94" s="29">
        <f t="shared" si="6"/>
        <v>3</v>
      </c>
      <c r="BE94" s="29">
        <f t="shared" si="6"/>
        <v>3</v>
      </c>
      <c r="BF94" s="29">
        <f t="shared" si="6"/>
        <v>3</v>
      </c>
      <c r="BG94" s="29">
        <f t="shared" si="6"/>
        <v>3</v>
      </c>
      <c r="BH94" s="29">
        <f t="shared" si="6"/>
        <v>3</v>
      </c>
      <c r="BI94" s="29">
        <f t="shared" si="6"/>
        <v>140</v>
      </c>
    </row>
    <row r="95">
      <c r="A95" s="3" t="s">
        <v>103</v>
      </c>
      <c r="C95" s="7" t="s">
        <v>185</v>
      </c>
      <c r="D95" s="29">
        <f t="shared" ref="D95:BI95" si="7">SUMIF($C$2:$C$87,"Off2",D2:D87)</f>
        <v>1</v>
      </c>
      <c r="E95" s="29">
        <f t="shared" si="7"/>
        <v>1</v>
      </c>
      <c r="F95" s="29">
        <f t="shared" si="7"/>
        <v>1</v>
      </c>
      <c r="G95" s="29">
        <f t="shared" si="7"/>
        <v>1</v>
      </c>
      <c r="H95" s="29">
        <f t="shared" si="7"/>
        <v>1</v>
      </c>
      <c r="I95" s="29">
        <f t="shared" si="7"/>
        <v>1.5</v>
      </c>
      <c r="J95" s="29">
        <f t="shared" si="7"/>
        <v>2</v>
      </c>
      <c r="K95" s="29">
        <f t="shared" si="7"/>
        <v>2</v>
      </c>
      <c r="L95" s="29">
        <f t="shared" si="7"/>
        <v>2</v>
      </c>
      <c r="M95" s="29">
        <f t="shared" si="7"/>
        <v>2</v>
      </c>
      <c r="N95" s="29">
        <f t="shared" si="7"/>
        <v>2</v>
      </c>
      <c r="O95" s="29">
        <f t="shared" si="7"/>
        <v>2</v>
      </c>
      <c r="P95" s="29">
        <f t="shared" si="7"/>
        <v>2</v>
      </c>
      <c r="Q95" s="29">
        <f t="shared" si="7"/>
        <v>2</v>
      </c>
      <c r="R95" s="29">
        <f t="shared" si="7"/>
        <v>2</v>
      </c>
      <c r="S95" s="29">
        <f t="shared" si="7"/>
        <v>2</v>
      </c>
      <c r="T95" s="29">
        <f t="shared" si="7"/>
        <v>2</v>
      </c>
      <c r="U95" s="29">
        <f t="shared" si="7"/>
        <v>2</v>
      </c>
      <c r="V95" s="29">
        <f t="shared" si="7"/>
        <v>2</v>
      </c>
      <c r="W95" s="29">
        <f t="shared" si="7"/>
        <v>2</v>
      </c>
      <c r="X95" s="29">
        <f t="shared" si="7"/>
        <v>2</v>
      </c>
      <c r="Y95" s="29">
        <f t="shared" si="7"/>
        <v>2</v>
      </c>
      <c r="Z95" s="29">
        <f t="shared" si="7"/>
        <v>2</v>
      </c>
      <c r="AA95" s="29">
        <f t="shared" si="7"/>
        <v>2</v>
      </c>
      <c r="AB95" s="29">
        <f t="shared" si="7"/>
        <v>2</v>
      </c>
      <c r="AC95" s="29">
        <f t="shared" si="7"/>
        <v>2</v>
      </c>
      <c r="AD95" s="29">
        <f t="shared" si="7"/>
        <v>2</v>
      </c>
      <c r="AE95" s="29">
        <f t="shared" si="7"/>
        <v>2</v>
      </c>
      <c r="AF95" s="29">
        <f t="shared" si="7"/>
        <v>2</v>
      </c>
      <c r="AG95" s="29">
        <f t="shared" si="7"/>
        <v>2</v>
      </c>
      <c r="AH95" s="29">
        <f t="shared" si="7"/>
        <v>2</v>
      </c>
      <c r="AI95" s="29">
        <f t="shared" si="7"/>
        <v>2</v>
      </c>
      <c r="AJ95" s="29">
        <f t="shared" si="7"/>
        <v>2</v>
      </c>
      <c r="AK95" s="29">
        <f t="shared" si="7"/>
        <v>2</v>
      </c>
      <c r="AL95" s="29">
        <f t="shared" si="7"/>
        <v>2</v>
      </c>
      <c r="AM95" s="29">
        <f t="shared" si="7"/>
        <v>2</v>
      </c>
      <c r="AN95" s="29">
        <f t="shared" si="7"/>
        <v>2</v>
      </c>
      <c r="AO95" s="29">
        <f t="shared" si="7"/>
        <v>2</v>
      </c>
      <c r="AP95" s="29">
        <f t="shared" si="7"/>
        <v>2</v>
      </c>
      <c r="AQ95" s="29">
        <f t="shared" si="7"/>
        <v>2</v>
      </c>
      <c r="AR95" s="29">
        <f t="shared" si="7"/>
        <v>2</v>
      </c>
      <c r="AS95" s="29">
        <f t="shared" si="7"/>
        <v>2</v>
      </c>
      <c r="AT95" s="29">
        <f t="shared" si="7"/>
        <v>2</v>
      </c>
      <c r="AU95" s="29">
        <f t="shared" si="7"/>
        <v>2</v>
      </c>
      <c r="AV95" s="29">
        <f t="shared" si="7"/>
        <v>2</v>
      </c>
      <c r="AW95" s="29">
        <f t="shared" si="7"/>
        <v>2</v>
      </c>
      <c r="AX95" s="29">
        <f t="shared" si="7"/>
        <v>2</v>
      </c>
      <c r="AY95" s="29">
        <f t="shared" si="7"/>
        <v>2</v>
      </c>
      <c r="AZ95" s="29">
        <f t="shared" si="7"/>
        <v>2</v>
      </c>
      <c r="BA95" s="29">
        <f t="shared" si="7"/>
        <v>2</v>
      </c>
      <c r="BB95" s="29">
        <f t="shared" si="7"/>
        <v>2</v>
      </c>
      <c r="BC95" s="29">
        <f t="shared" si="7"/>
        <v>2</v>
      </c>
      <c r="BD95" s="29">
        <f t="shared" si="7"/>
        <v>2</v>
      </c>
      <c r="BE95" s="29">
        <f t="shared" si="7"/>
        <v>2</v>
      </c>
      <c r="BF95" s="29">
        <f t="shared" si="7"/>
        <v>2</v>
      </c>
      <c r="BG95" s="29">
        <f t="shared" si="7"/>
        <v>2</v>
      </c>
      <c r="BH95" s="29">
        <f t="shared" si="7"/>
        <v>2</v>
      </c>
      <c r="BI95" s="29">
        <f t="shared" si="7"/>
        <v>108.5</v>
      </c>
    </row>
    <row r="96">
      <c r="A96" s="3" t="s">
        <v>100</v>
      </c>
      <c r="C96" s="7" t="s">
        <v>188</v>
      </c>
      <c r="D96" s="29">
        <f t="shared" ref="D96:BI96" si="8">SUMIF($C$2:$C$87,"RSP",D2:D87)</f>
        <v>3</v>
      </c>
      <c r="E96" s="29">
        <f t="shared" si="8"/>
        <v>3</v>
      </c>
      <c r="F96" s="29">
        <f t="shared" si="8"/>
        <v>3</v>
      </c>
      <c r="G96" s="29">
        <f t="shared" si="8"/>
        <v>3</v>
      </c>
      <c r="H96" s="29">
        <f t="shared" si="8"/>
        <v>3</v>
      </c>
      <c r="I96" s="29">
        <f t="shared" si="8"/>
        <v>3</v>
      </c>
      <c r="J96" s="29">
        <f t="shared" si="8"/>
        <v>3</v>
      </c>
      <c r="K96" s="29">
        <f t="shared" si="8"/>
        <v>3</v>
      </c>
      <c r="L96" s="29">
        <f t="shared" si="8"/>
        <v>3</v>
      </c>
      <c r="M96" s="29">
        <f t="shared" si="8"/>
        <v>3</v>
      </c>
      <c r="N96" s="29">
        <f t="shared" si="8"/>
        <v>3</v>
      </c>
      <c r="O96" s="29">
        <f t="shared" si="8"/>
        <v>3</v>
      </c>
      <c r="P96" s="29">
        <f t="shared" si="8"/>
        <v>3</v>
      </c>
      <c r="Q96" s="29">
        <f t="shared" si="8"/>
        <v>3</v>
      </c>
      <c r="R96" s="29">
        <f t="shared" si="8"/>
        <v>3</v>
      </c>
      <c r="S96" s="29">
        <f t="shared" si="8"/>
        <v>3</v>
      </c>
      <c r="T96" s="29">
        <f t="shared" si="8"/>
        <v>3</v>
      </c>
      <c r="U96" s="29">
        <f t="shared" si="8"/>
        <v>3</v>
      </c>
      <c r="V96" s="29">
        <f t="shared" si="8"/>
        <v>3</v>
      </c>
      <c r="W96" s="29">
        <f t="shared" si="8"/>
        <v>3</v>
      </c>
      <c r="X96" s="29">
        <f t="shared" si="8"/>
        <v>3</v>
      </c>
      <c r="Y96" s="29">
        <f t="shared" si="8"/>
        <v>3</v>
      </c>
      <c r="Z96" s="29">
        <f t="shared" si="8"/>
        <v>3</v>
      </c>
      <c r="AA96" s="29">
        <f t="shared" si="8"/>
        <v>3</v>
      </c>
      <c r="AB96" s="29">
        <f t="shared" si="8"/>
        <v>3</v>
      </c>
      <c r="AC96" s="29">
        <f t="shared" si="8"/>
        <v>3</v>
      </c>
      <c r="AD96" s="29">
        <f t="shared" si="8"/>
        <v>3</v>
      </c>
      <c r="AE96" s="29">
        <f t="shared" si="8"/>
        <v>3</v>
      </c>
      <c r="AF96" s="29">
        <f t="shared" si="8"/>
        <v>3</v>
      </c>
      <c r="AG96" s="29">
        <f t="shared" si="8"/>
        <v>3</v>
      </c>
      <c r="AH96" s="29">
        <f t="shared" si="8"/>
        <v>3</v>
      </c>
      <c r="AI96" s="29">
        <f t="shared" si="8"/>
        <v>3</v>
      </c>
      <c r="AJ96" s="29">
        <f t="shared" si="8"/>
        <v>3</v>
      </c>
      <c r="AK96" s="29">
        <f t="shared" si="8"/>
        <v>3</v>
      </c>
      <c r="AL96" s="29">
        <f t="shared" si="8"/>
        <v>3</v>
      </c>
      <c r="AM96" s="29">
        <f t="shared" si="8"/>
        <v>3</v>
      </c>
      <c r="AN96" s="29">
        <f t="shared" si="8"/>
        <v>3</v>
      </c>
      <c r="AO96" s="29">
        <f t="shared" si="8"/>
        <v>3</v>
      </c>
      <c r="AP96" s="29">
        <f t="shared" si="8"/>
        <v>3</v>
      </c>
      <c r="AQ96" s="29">
        <f t="shared" si="8"/>
        <v>3</v>
      </c>
      <c r="AR96" s="29">
        <f t="shared" si="8"/>
        <v>3</v>
      </c>
      <c r="AS96" s="29">
        <f t="shared" si="8"/>
        <v>3</v>
      </c>
      <c r="AT96" s="29">
        <f t="shared" si="8"/>
        <v>3</v>
      </c>
      <c r="AU96" s="29">
        <f t="shared" si="8"/>
        <v>3</v>
      </c>
      <c r="AV96" s="29">
        <f t="shared" si="8"/>
        <v>3</v>
      </c>
      <c r="AW96" s="29">
        <f t="shared" si="8"/>
        <v>3</v>
      </c>
      <c r="AX96" s="29">
        <f t="shared" si="8"/>
        <v>3</v>
      </c>
      <c r="AY96" s="29">
        <f t="shared" si="8"/>
        <v>3</v>
      </c>
      <c r="AZ96" s="29">
        <f t="shared" si="8"/>
        <v>3</v>
      </c>
      <c r="BA96" s="29">
        <f t="shared" si="8"/>
        <v>3</v>
      </c>
      <c r="BB96" s="29">
        <f t="shared" si="8"/>
        <v>3</v>
      </c>
      <c r="BC96" s="29">
        <f t="shared" si="8"/>
        <v>3</v>
      </c>
      <c r="BD96" s="29">
        <f t="shared" si="8"/>
        <v>3</v>
      </c>
      <c r="BE96" s="29">
        <f t="shared" si="8"/>
        <v>3</v>
      </c>
      <c r="BF96" s="29">
        <f t="shared" si="8"/>
        <v>3</v>
      </c>
      <c r="BG96" s="29">
        <f t="shared" si="8"/>
        <v>3</v>
      </c>
      <c r="BH96" s="29">
        <f t="shared" si="8"/>
        <v>3</v>
      </c>
      <c r="BI96" s="29">
        <f t="shared" si="8"/>
        <v>171</v>
      </c>
    </row>
    <row r="97">
      <c r="A97" s="3" t="s">
        <v>107</v>
      </c>
      <c r="C97" s="7" t="s">
        <v>94</v>
      </c>
      <c r="D97" s="29">
        <f t="shared" ref="D97:BI97" si="9">SUMIF($C$2:$C$87,"Sol",D2:D87)</f>
        <v>51.5</v>
      </c>
      <c r="E97" s="29">
        <f t="shared" si="9"/>
        <v>51.5</v>
      </c>
      <c r="F97" s="29">
        <f t="shared" si="9"/>
        <v>52</v>
      </c>
      <c r="G97" s="29">
        <f t="shared" si="9"/>
        <v>51</v>
      </c>
      <c r="H97" s="29">
        <f t="shared" si="9"/>
        <v>49.5</v>
      </c>
      <c r="I97" s="29">
        <f t="shared" si="9"/>
        <v>48.5</v>
      </c>
      <c r="J97" s="29">
        <f t="shared" si="9"/>
        <v>47.5</v>
      </c>
      <c r="K97" s="29">
        <f t="shared" si="9"/>
        <v>48</v>
      </c>
      <c r="L97" s="29">
        <f t="shared" si="9"/>
        <v>50</v>
      </c>
      <c r="M97" s="29">
        <f t="shared" si="9"/>
        <v>48.5</v>
      </c>
      <c r="N97" s="29">
        <f t="shared" si="9"/>
        <v>46.5</v>
      </c>
      <c r="O97" s="29">
        <f t="shared" si="9"/>
        <v>46.5</v>
      </c>
      <c r="P97" s="29">
        <f t="shared" si="9"/>
        <v>46</v>
      </c>
      <c r="Q97" s="29">
        <f t="shared" si="9"/>
        <v>45</v>
      </c>
      <c r="R97" s="29">
        <f t="shared" si="9"/>
        <v>45.5</v>
      </c>
      <c r="S97" s="29">
        <f t="shared" si="9"/>
        <v>47.5</v>
      </c>
      <c r="T97" s="29">
        <f t="shared" si="9"/>
        <v>49.5</v>
      </c>
      <c r="U97" s="29">
        <f t="shared" si="9"/>
        <v>49</v>
      </c>
      <c r="V97" s="29">
        <f t="shared" si="9"/>
        <v>48.5</v>
      </c>
      <c r="W97" s="29">
        <f t="shared" si="9"/>
        <v>47.5</v>
      </c>
      <c r="X97" s="29">
        <f t="shared" si="9"/>
        <v>45</v>
      </c>
      <c r="Y97" s="29">
        <f t="shared" si="9"/>
        <v>44.5</v>
      </c>
      <c r="Z97" s="29">
        <f t="shared" si="9"/>
        <v>47</v>
      </c>
      <c r="AA97" s="29">
        <f t="shared" si="9"/>
        <v>46</v>
      </c>
      <c r="AB97" s="29">
        <f t="shared" si="9"/>
        <v>43</v>
      </c>
      <c r="AC97" s="29">
        <f t="shared" si="9"/>
        <v>42</v>
      </c>
      <c r="AD97" s="29">
        <f t="shared" si="9"/>
        <v>42</v>
      </c>
      <c r="AE97" s="29">
        <f t="shared" si="9"/>
        <v>40</v>
      </c>
      <c r="AF97" s="29">
        <f t="shared" si="9"/>
        <v>39</v>
      </c>
      <c r="AG97" s="29">
        <f t="shared" si="9"/>
        <v>40.5</v>
      </c>
      <c r="AH97" s="29">
        <f t="shared" si="9"/>
        <v>43</v>
      </c>
      <c r="AI97" s="29">
        <f t="shared" si="9"/>
        <v>45</v>
      </c>
      <c r="AJ97" s="29">
        <f t="shared" si="9"/>
        <v>45.5</v>
      </c>
      <c r="AK97" s="29">
        <f t="shared" si="9"/>
        <v>46.5</v>
      </c>
      <c r="AL97" s="29">
        <f t="shared" si="9"/>
        <v>46.5</v>
      </c>
      <c r="AM97" s="29">
        <f t="shared" si="9"/>
        <v>46</v>
      </c>
      <c r="AN97" s="29">
        <f t="shared" si="9"/>
        <v>47</v>
      </c>
      <c r="AO97" s="29">
        <f t="shared" si="9"/>
        <v>47</v>
      </c>
      <c r="AP97" s="29">
        <f t="shared" si="9"/>
        <v>46.5</v>
      </c>
      <c r="AQ97" s="29">
        <f t="shared" si="9"/>
        <v>48</v>
      </c>
      <c r="AR97" s="29">
        <f t="shared" si="9"/>
        <v>52</v>
      </c>
      <c r="AS97" s="29">
        <f t="shared" si="9"/>
        <v>55</v>
      </c>
      <c r="AT97" s="29">
        <f t="shared" si="9"/>
        <v>55</v>
      </c>
      <c r="AU97" s="29">
        <f t="shared" si="9"/>
        <v>55.5</v>
      </c>
      <c r="AV97" s="29">
        <f t="shared" si="9"/>
        <v>56</v>
      </c>
      <c r="AW97" s="29">
        <f t="shared" si="9"/>
        <v>56.5</v>
      </c>
      <c r="AX97" s="29">
        <f t="shared" si="9"/>
        <v>57</v>
      </c>
      <c r="AY97" s="29">
        <f t="shared" si="9"/>
        <v>57</v>
      </c>
      <c r="AZ97" s="29">
        <f t="shared" si="9"/>
        <v>57</v>
      </c>
      <c r="BA97" s="29">
        <f t="shared" si="9"/>
        <v>57</v>
      </c>
      <c r="BB97" s="29">
        <f t="shared" si="9"/>
        <v>57</v>
      </c>
      <c r="BC97" s="29">
        <f t="shared" si="9"/>
        <v>57</v>
      </c>
      <c r="BD97" s="29">
        <f t="shared" si="9"/>
        <v>57</v>
      </c>
      <c r="BE97" s="29">
        <f t="shared" si="9"/>
        <v>57.5</v>
      </c>
      <c r="BF97" s="29">
        <f t="shared" si="9"/>
        <v>58</v>
      </c>
      <c r="BG97" s="29">
        <f t="shared" si="9"/>
        <v>58</v>
      </c>
      <c r="BH97" s="29">
        <f t="shared" si="9"/>
        <v>58</v>
      </c>
      <c r="BI97" s="29">
        <f t="shared" si="9"/>
        <v>2820</v>
      </c>
    </row>
    <row r="98">
      <c r="A98" s="125"/>
      <c r="C98" s="125"/>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c r="BB98" s="29"/>
      <c r="BC98" s="29"/>
      <c r="BD98" s="29"/>
      <c r="BE98" s="29"/>
      <c r="BF98" s="29"/>
      <c r="BG98" s="29"/>
      <c r="BH98" s="29"/>
      <c r="BI98" s="29"/>
    </row>
    <row r="99">
      <c r="A99" s="125"/>
      <c r="C99" s="125"/>
      <c r="D99" s="29"/>
      <c r="E99" s="29"/>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29"/>
      <c r="AS99" s="29"/>
      <c r="AT99" s="29"/>
      <c r="AU99" s="29"/>
      <c r="AV99" s="29"/>
      <c r="AW99" s="29"/>
      <c r="AX99" s="29"/>
      <c r="AY99" s="29"/>
      <c r="AZ99" s="29"/>
      <c r="BA99" s="29"/>
      <c r="BB99" s="29"/>
      <c r="BC99" s="29"/>
      <c r="BD99" s="29"/>
      <c r="BE99" s="29"/>
      <c r="BF99" s="29"/>
      <c r="BG99" s="29"/>
      <c r="BH99" s="29"/>
      <c r="BI99" s="29"/>
    </row>
    <row r="100">
      <c r="A100" s="125"/>
      <c r="C100" s="125"/>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c r="AV100" s="29"/>
      <c r="AW100" s="29"/>
      <c r="AX100" s="29"/>
      <c r="AY100" s="29"/>
      <c r="AZ100" s="29"/>
      <c r="BA100" s="29"/>
      <c r="BB100" s="29"/>
      <c r="BC100" s="29"/>
      <c r="BD100" s="29"/>
      <c r="BE100" s="29"/>
      <c r="BF100" s="29"/>
      <c r="BG100" s="29"/>
      <c r="BH100" s="29"/>
      <c r="BI100" s="29"/>
    </row>
  </sheetData>
  <conditionalFormatting sqref="D2:BI97">
    <cfRule type="cellIs" dxfId="8" priority="1" stopIfTrue="1" operator="equal">
      <formula>1</formula>
    </cfRule>
  </conditionalFormatting>
  <conditionalFormatting sqref="D2:BI97">
    <cfRule type="cellIs" dxfId="9" priority="2" stopIfTrue="1" operator="equal">
      <formula>0.5</formula>
    </cfRule>
  </conditionalFormatting>
  <conditionalFormatting sqref="D2:BI97">
    <cfRule type="cellIs" dxfId="10" priority="3" stopIfTrue="1" operator="equal">
      <formula>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1C00"/>
    <outlinePr summaryBelow="0" summaryRight="0"/>
  </sheetPr>
  <sheetViews>
    <sheetView rightToLeft="1" workbookViewId="0">
      <pane ySplit="1.0" topLeftCell="A2" activePane="bottomLeft" state="frozen"/>
      <selection activeCell="B3" sqref="B3" pane="bottomLeft"/>
    </sheetView>
  </sheetViews>
  <sheetFormatPr customHeight="1" defaultColWidth="12.63" defaultRowHeight="15.75"/>
  <cols>
    <col customWidth="1" min="1" max="7" width="18.88"/>
    <col customWidth="1" min="8" max="8" width="9.63"/>
    <col customWidth="1" min="9" max="16" width="18.88"/>
    <col customWidth="1" min="17" max="17" width="63.25"/>
    <col customWidth="1" min="18" max="23" width="18.88"/>
  </cols>
  <sheetData>
    <row r="1" ht="22.5" customHeight="1">
      <c r="A1" s="56" t="s">
        <v>120</v>
      </c>
      <c r="B1" s="57" t="s">
        <v>24</v>
      </c>
      <c r="C1" s="57" t="s">
        <v>121</v>
      </c>
      <c r="D1" s="56" t="s">
        <v>27</v>
      </c>
      <c r="E1" s="58" t="s">
        <v>123</v>
      </c>
      <c r="F1" s="59" t="s">
        <v>124</v>
      </c>
      <c r="G1" s="58" t="s">
        <v>125</v>
      </c>
      <c r="H1" s="58" t="s">
        <v>126</v>
      </c>
      <c r="I1" s="59" t="s">
        <v>127</v>
      </c>
      <c r="J1" s="59" t="s">
        <v>128</v>
      </c>
      <c r="K1" s="59" t="s">
        <v>129</v>
      </c>
      <c r="L1" s="59" t="s">
        <v>130</v>
      </c>
      <c r="M1" s="59" t="s">
        <v>131</v>
      </c>
      <c r="N1" s="59" t="s">
        <v>132</v>
      </c>
      <c r="O1" s="59" t="s">
        <v>133</v>
      </c>
      <c r="P1" s="59" t="s">
        <v>134</v>
      </c>
      <c r="Q1" s="59" t="s">
        <v>135</v>
      </c>
      <c r="R1" s="60" t="s">
        <v>137</v>
      </c>
    </row>
    <row r="2" ht="22.5" customHeight="1">
      <c r="A2" s="61">
        <v>45991.528166793985</v>
      </c>
      <c r="B2" s="62" t="s">
        <v>143</v>
      </c>
      <c r="C2" s="63" t="s">
        <v>144</v>
      </c>
      <c r="D2" s="64" t="s">
        <v>146</v>
      </c>
      <c r="E2" s="65">
        <v>46002.0</v>
      </c>
      <c r="F2" s="65">
        <v>46021.0</v>
      </c>
      <c r="G2" s="66" t="s">
        <v>147</v>
      </c>
      <c r="H2" s="66" t="s">
        <v>148</v>
      </c>
      <c r="I2" s="67"/>
      <c r="J2" s="67"/>
      <c r="K2" s="67"/>
      <c r="L2" s="67"/>
      <c r="M2" s="67"/>
      <c r="N2" s="67"/>
      <c r="O2" s="67"/>
      <c r="P2" s="67"/>
      <c r="Q2" s="67"/>
      <c r="R2" s="68"/>
    </row>
    <row r="3" ht="22.5" customHeight="1">
      <c r="A3" s="61">
        <v>45993.502988356486</v>
      </c>
      <c r="B3" s="62" t="s">
        <v>72</v>
      </c>
      <c r="C3" s="62">
        <v>8577287.0</v>
      </c>
      <c r="D3" s="64" t="s">
        <v>94</v>
      </c>
      <c r="E3" s="65">
        <v>46037.0</v>
      </c>
      <c r="F3" s="65">
        <v>46040.0</v>
      </c>
      <c r="G3" s="66" t="s">
        <v>155</v>
      </c>
      <c r="H3" s="66" t="s">
        <v>148</v>
      </c>
      <c r="I3" s="65">
        <v>45993.0</v>
      </c>
      <c r="J3" s="65">
        <v>45993.0</v>
      </c>
      <c r="L3" s="66" t="s">
        <v>148</v>
      </c>
      <c r="M3" s="65">
        <v>45993.0</v>
      </c>
      <c r="N3" s="65">
        <v>45993.0</v>
      </c>
      <c r="P3" s="66" t="s">
        <v>148</v>
      </c>
      <c r="Q3" s="69"/>
      <c r="R3" s="70" t="s">
        <v>158</v>
      </c>
    </row>
    <row r="4" ht="22.5" customHeight="1">
      <c r="A4" s="61">
        <v>45993.504783993056</v>
      </c>
      <c r="B4" s="62" t="s">
        <v>160</v>
      </c>
      <c r="C4" s="62">
        <v>8140590.0</v>
      </c>
      <c r="D4" s="64" t="s">
        <v>94</v>
      </c>
      <c r="E4" s="65">
        <v>46015.0</v>
      </c>
      <c r="F4" s="65">
        <v>46018.0</v>
      </c>
      <c r="G4" s="66" t="s">
        <v>162</v>
      </c>
      <c r="H4" s="66" t="s">
        <v>148</v>
      </c>
      <c r="I4" s="65">
        <v>46042.0</v>
      </c>
      <c r="J4" s="65">
        <v>46043.0</v>
      </c>
      <c r="K4" s="66" t="s">
        <v>163</v>
      </c>
      <c r="L4" s="66" t="s">
        <v>148</v>
      </c>
      <c r="M4" s="65">
        <v>46050.0</v>
      </c>
      <c r="N4" s="65">
        <v>46051.0</v>
      </c>
      <c r="O4" s="66" t="s">
        <v>164</v>
      </c>
      <c r="P4" s="66" t="s">
        <v>148</v>
      </c>
      <c r="Q4" s="69"/>
      <c r="R4" s="72"/>
    </row>
    <row r="5" ht="22.5" customHeight="1">
      <c r="A5" s="61">
        <v>45993.50599815972</v>
      </c>
      <c r="B5" s="62" t="s">
        <v>166</v>
      </c>
      <c r="C5" s="62">
        <v>5211617.0</v>
      </c>
      <c r="D5" s="64" t="s">
        <v>94</v>
      </c>
      <c r="E5" s="65">
        <v>46036.0</v>
      </c>
      <c r="F5" s="65">
        <v>46041.0</v>
      </c>
      <c r="G5" s="66" t="s">
        <v>167</v>
      </c>
      <c r="H5" s="66" t="s">
        <v>168</v>
      </c>
      <c r="I5" s="65">
        <v>46022.0</v>
      </c>
      <c r="J5" s="65">
        <v>46022.0</v>
      </c>
      <c r="K5" s="66" t="s">
        <v>169</v>
      </c>
      <c r="L5" s="66" t="s">
        <v>148</v>
      </c>
      <c r="M5" s="65">
        <v>46023.0</v>
      </c>
      <c r="N5" s="65">
        <v>46023.0</v>
      </c>
      <c r="O5" s="66" t="s">
        <v>169</v>
      </c>
      <c r="P5" s="66" t="s">
        <v>148</v>
      </c>
      <c r="Q5" s="69"/>
      <c r="R5" s="72"/>
    </row>
    <row r="6" ht="22.5" customHeight="1">
      <c r="A6" s="61">
        <v>45993.50660738426</v>
      </c>
      <c r="B6" s="62" t="s">
        <v>170</v>
      </c>
      <c r="C6" s="62">
        <v>4276047.0</v>
      </c>
      <c r="D6" s="64" t="s">
        <v>94</v>
      </c>
      <c r="E6" s="65">
        <v>46015.0</v>
      </c>
      <c r="F6" s="65">
        <v>46040.0</v>
      </c>
      <c r="G6" s="66" t="s">
        <v>171</v>
      </c>
      <c r="H6" s="66" t="s">
        <v>148</v>
      </c>
      <c r="I6" s="65"/>
      <c r="J6" s="65"/>
      <c r="K6" s="66"/>
      <c r="M6" s="65"/>
      <c r="N6" s="65"/>
      <c r="O6" s="66"/>
      <c r="R6" s="79"/>
    </row>
    <row r="7" ht="22.5" customHeight="1">
      <c r="A7" s="61">
        <v>45993.5092252662</v>
      </c>
      <c r="B7" s="62" t="s">
        <v>75</v>
      </c>
      <c r="C7" s="62">
        <v>7081804.0</v>
      </c>
      <c r="D7" s="64" t="s">
        <v>94</v>
      </c>
      <c r="E7" s="65">
        <v>46017.0</v>
      </c>
      <c r="F7" s="65">
        <v>46018.0</v>
      </c>
      <c r="G7" s="66" t="s">
        <v>172</v>
      </c>
      <c r="H7" s="66" t="s">
        <v>148</v>
      </c>
      <c r="I7" s="65">
        <v>46037.0</v>
      </c>
      <c r="J7" s="65">
        <v>46039.0</v>
      </c>
      <c r="K7" s="66" t="s">
        <v>172</v>
      </c>
      <c r="L7" s="66" t="s">
        <v>148</v>
      </c>
      <c r="M7" s="65">
        <v>46024.0</v>
      </c>
      <c r="N7" s="65">
        <v>46025.0</v>
      </c>
      <c r="O7" s="66" t="s">
        <v>172</v>
      </c>
      <c r="P7" s="66" t="s">
        <v>148</v>
      </c>
      <c r="Q7" s="69"/>
      <c r="R7" s="72"/>
    </row>
    <row r="8" ht="22.5" customHeight="1">
      <c r="A8" s="61">
        <v>45993.51892019676</v>
      </c>
      <c r="B8" s="62" t="s">
        <v>175</v>
      </c>
      <c r="C8" s="62">
        <v>5759919.0</v>
      </c>
      <c r="D8" s="64" t="s">
        <v>94</v>
      </c>
      <c r="E8" s="65">
        <v>46012.0</v>
      </c>
      <c r="F8" s="65">
        <v>46019.0</v>
      </c>
      <c r="G8" s="66" t="s">
        <v>176</v>
      </c>
      <c r="H8" s="66" t="s">
        <v>148</v>
      </c>
      <c r="I8" s="65">
        <v>46036.0</v>
      </c>
      <c r="J8" s="65">
        <v>46040.0</v>
      </c>
      <c r="K8" s="66" t="s">
        <v>177</v>
      </c>
      <c r="L8" s="66" t="s">
        <v>148</v>
      </c>
      <c r="M8" s="65">
        <v>46377.0</v>
      </c>
      <c r="N8" s="65">
        <v>46074.0</v>
      </c>
      <c r="O8" s="66" t="s">
        <v>178</v>
      </c>
      <c r="P8" s="66" t="s">
        <v>148</v>
      </c>
      <c r="Q8" s="69"/>
      <c r="R8" s="72"/>
    </row>
    <row r="9" ht="22.5" customHeight="1">
      <c r="A9" s="61">
        <v>45993.527810671294</v>
      </c>
      <c r="B9" s="62" t="s">
        <v>179</v>
      </c>
      <c r="C9" s="62">
        <v>7024334.0</v>
      </c>
      <c r="D9" s="64" t="s">
        <v>94</v>
      </c>
      <c r="E9" s="65">
        <v>46018.0</v>
      </c>
      <c r="F9" s="65">
        <v>46029.0</v>
      </c>
      <c r="G9" s="66" t="s">
        <v>180</v>
      </c>
      <c r="H9" s="66" t="s">
        <v>148</v>
      </c>
      <c r="I9" s="65">
        <v>46018.0</v>
      </c>
      <c r="J9" s="65">
        <v>46029.0</v>
      </c>
      <c r="M9" s="65">
        <v>46018.0</v>
      </c>
      <c r="N9" s="65">
        <v>46029.0</v>
      </c>
      <c r="R9" s="79"/>
    </row>
    <row r="10" ht="22.5" customHeight="1">
      <c r="A10" s="61">
        <v>45993.53906818287</v>
      </c>
      <c r="B10" s="62" t="s">
        <v>182</v>
      </c>
      <c r="C10" s="62">
        <v>7023922.0</v>
      </c>
      <c r="D10" s="64" t="s">
        <v>146</v>
      </c>
      <c r="E10" s="65">
        <v>45659.0</v>
      </c>
      <c r="F10" s="65">
        <v>46025.0</v>
      </c>
      <c r="G10" s="66" t="s">
        <v>183</v>
      </c>
      <c r="H10" s="66" t="s">
        <v>148</v>
      </c>
      <c r="I10" s="65">
        <v>46028.0</v>
      </c>
      <c r="J10" s="65">
        <v>46030.0</v>
      </c>
      <c r="K10" s="66" t="s">
        <v>183</v>
      </c>
      <c r="L10" s="66" t="s">
        <v>148</v>
      </c>
      <c r="M10" s="65">
        <v>46038.0</v>
      </c>
      <c r="N10" s="65">
        <v>46039.0</v>
      </c>
      <c r="O10" s="66" t="s">
        <v>183</v>
      </c>
      <c r="P10" s="66" t="s">
        <v>148</v>
      </c>
      <c r="Q10" s="69"/>
      <c r="R10" s="72"/>
    </row>
    <row r="11" ht="22.5" customHeight="1">
      <c r="A11" s="61">
        <v>45993.54084638889</v>
      </c>
      <c r="B11" s="62" t="s">
        <v>186</v>
      </c>
      <c r="C11" s="62">
        <v>7023922.0</v>
      </c>
      <c r="D11" s="64" t="s">
        <v>94</v>
      </c>
      <c r="E11" s="65">
        <v>46042.0</v>
      </c>
      <c r="F11" s="65">
        <v>46044.0</v>
      </c>
      <c r="G11" s="66" t="s">
        <v>183</v>
      </c>
      <c r="H11" s="66" t="s">
        <v>148</v>
      </c>
      <c r="I11" s="65">
        <v>46052.0</v>
      </c>
      <c r="J11" s="65">
        <v>46053.0</v>
      </c>
      <c r="K11" s="66" t="s">
        <v>183</v>
      </c>
      <c r="L11" s="66" t="s">
        <v>148</v>
      </c>
      <c r="M11" s="65">
        <v>46056.0</v>
      </c>
      <c r="N11" s="65">
        <v>46058.0</v>
      </c>
      <c r="O11" s="66" t="s">
        <v>183</v>
      </c>
      <c r="P11" s="66" t="s">
        <v>148</v>
      </c>
      <c r="Q11" s="69"/>
      <c r="R11" s="72"/>
    </row>
    <row r="12" ht="22.5" customHeight="1">
      <c r="A12" s="61">
        <v>45993.542339374995</v>
      </c>
      <c r="B12" s="62" t="s">
        <v>186</v>
      </c>
      <c r="C12" s="62">
        <v>7023922.0</v>
      </c>
      <c r="D12" s="64" t="s">
        <v>94</v>
      </c>
      <c r="E12" s="65">
        <v>46066.0</v>
      </c>
      <c r="F12" s="65">
        <v>46067.0</v>
      </c>
      <c r="G12" s="66" t="s">
        <v>183</v>
      </c>
      <c r="H12" s="66" t="s">
        <v>148</v>
      </c>
      <c r="I12" s="65">
        <v>46070.0</v>
      </c>
      <c r="J12" s="65">
        <v>46072.0</v>
      </c>
      <c r="K12" s="66" t="s">
        <v>183</v>
      </c>
      <c r="L12" s="66" t="s">
        <v>148</v>
      </c>
      <c r="M12" s="65">
        <v>46080.0</v>
      </c>
      <c r="N12" s="65">
        <v>46081.0</v>
      </c>
      <c r="O12" s="66" t="s">
        <v>183</v>
      </c>
      <c r="P12" s="66" t="s">
        <v>148</v>
      </c>
      <c r="Q12" s="69"/>
      <c r="R12" s="72"/>
    </row>
    <row r="13" ht="22.5" customHeight="1">
      <c r="A13" s="61">
        <v>45993.56530342593</v>
      </c>
      <c r="B13" s="62" t="s">
        <v>119</v>
      </c>
      <c r="C13" s="62">
        <v>7301390.0</v>
      </c>
      <c r="D13" s="64" t="s">
        <v>94</v>
      </c>
      <c r="E13" s="65">
        <v>46049.0</v>
      </c>
      <c r="F13" s="65">
        <v>46051.0</v>
      </c>
      <c r="G13" s="66" t="s">
        <v>194</v>
      </c>
      <c r="H13" s="66" t="s">
        <v>148</v>
      </c>
      <c r="R13" s="79"/>
    </row>
    <row r="14" ht="22.5" customHeight="1">
      <c r="A14" s="61">
        <v>45993.574288090276</v>
      </c>
      <c r="B14" s="62" t="s">
        <v>191</v>
      </c>
      <c r="C14" s="62">
        <v>5999668.0</v>
      </c>
      <c r="D14" s="64" t="s">
        <v>94</v>
      </c>
      <c r="E14" s="65">
        <v>46016.0</v>
      </c>
      <c r="F14" s="65">
        <v>46025.0</v>
      </c>
      <c r="G14" s="66" t="s">
        <v>197</v>
      </c>
      <c r="H14" s="66" t="s">
        <v>148</v>
      </c>
      <c r="I14" s="65">
        <v>46033.0</v>
      </c>
      <c r="J14" s="65">
        <v>46051.0</v>
      </c>
      <c r="K14" s="66" t="s">
        <v>197</v>
      </c>
      <c r="L14" s="66" t="s">
        <v>148</v>
      </c>
      <c r="Q14" s="66" t="s">
        <v>200</v>
      </c>
      <c r="R14" s="72"/>
    </row>
    <row r="15" ht="22.5" customHeight="1">
      <c r="A15" s="61">
        <v>45993.578482337965</v>
      </c>
      <c r="B15" s="62" t="s">
        <v>140</v>
      </c>
      <c r="C15" s="62">
        <v>8125678.0</v>
      </c>
      <c r="D15" s="64" t="s">
        <v>94</v>
      </c>
      <c r="E15" s="65">
        <v>46012.0</v>
      </c>
      <c r="F15" s="65">
        <v>46013.0</v>
      </c>
      <c r="G15" s="66" t="s">
        <v>201</v>
      </c>
      <c r="H15" s="66" t="s">
        <v>148</v>
      </c>
      <c r="I15" s="65">
        <v>46043.0</v>
      </c>
      <c r="J15" s="65">
        <v>46044.0</v>
      </c>
      <c r="K15" s="66" t="s">
        <v>202</v>
      </c>
      <c r="L15" s="66" t="s">
        <v>148</v>
      </c>
      <c r="R15" s="79"/>
    </row>
    <row r="16" ht="22.5" customHeight="1">
      <c r="A16" s="61">
        <v>45993.641332824074</v>
      </c>
      <c r="B16" s="62" t="s">
        <v>203</v>
      </c>
      <c r="C16" s="62">
        <v>6977337.0</v>
      </c>
      <c r="D16" s="64" t="s">
        <v>94</v>
      </c>
      <c r="E16" s="65">
        <v>46040.0</v>
      </c>
      <c r="F16" s="65">
        <v>46051.0</v>
      </c>
      <c r="G16" s="66" t="s">
        <v>206</v>
      </c>
      <c r="H16" s="66" t="s">
        <v>148</v>
      </c>
      <c r="R16" s="79"/>
    </row>
    <row r="17" ht="22.5" customHeight="1">
      <c r="A17" s="61">
        <v>45993.707384849535</v>
      </c>
      <c r="B17" s="62" t="s">
        <v>207</v>
      </c>
      <c r="C17" s="62">
        <v>3782633.0</v>
      </c>
      <c r="D17" s="64" t="s">
        <v>94</v>
      </c>
      <c r="E17" s="65">
        <v>46021.0</v>
      </c>
      <c r="F17" s="65">
        <v>46026.0</v>
      </c>
      <c r="G17" s="66" t="s">
        <v>208</v>
      </c>
      <c r="H17" s="66" t="s">
        <v>148</v>
      </c>
      <c r="L17" s="66" t="s">
        <v>148</v>
      </c>
      <c r="P17" s="66" t="s">
        <v>148</v>
      </c>
      <c r="R17" s="79"/>
    </row>
    <row r="18" ht="22.5" customHeight="1">
      <c r="A18" s="61">
        <v>45993.78747818287</v>
      </c>
      <c r="B18" s="62" t="s">
        <v>209</v>
      </c>
      <c r="C18" s="62">
        <v>8115729.0</v>
      </c>
      <c r="D18" s="64" t="s">
        <v>94</v>
      </c>
      <c r="E18" s="65">
        <v>46009.0</v>
      </c>
      <c r="F18" s="65">
        <v>46012.0</v>
      </c>
      <c r="G18" s="66" t="s">
        <v>210</v>
      </c>
      <c r="H18" s="66" t="s">
        <v>148</v>
      </c>
      <c r="I18" s="65">
        <v>46022.0</v>
      </c>
      <c r="J18" s="65">
        <v>46026.0</v>
      </c>
      <c r="K18" s="66" t="s">
        <v>211</v>
      </c>
      <c r="R18" s="79"/>
    </row>
    <row r="19" ht="22.5" customHeight="1">
      <c r="A19" s="61">
        <v>45993.82300377315</v>
      </c>
      <c r="B19" s="62" t="s">
        <v>67</v>
      </c>
      <c r="C19" s="62">
        <v>5222292.0</v>
      </c>
      <c r="D19" s="64" t="s">
        <v>94</v>
      </c>
      <c r="E19" s="65">
        <v>46035.0</v>
      </c>
      <c r="F19" s="65">
        <v>46056.0</v>
      </c>
      <c r="G19" s="66" t="s">
        <v>212</v>
      </c>
      <c r="H19" s="66" t="s">
        <v>148</v>
      </c>
      <c r="R19" s="79"/>
    </row>
    <row r="20" ht="22.5" customHeight="1">
      <c r="A20" s="61">
        <v>45993.853129490744</v>
      </c>
      <c r="B20" s="62" t="s">
        <v>213</v>
      </c>
      <c r="C20" s="62">
        <v>4604692.0</v>
      </c>
      <c r="D20" s="64" t="s">
        <v>214</v>
      </c>
      <c r="E20" s="65">
        <v>46028.0</v>
      </c>
      <c r="F20" s="65">
        <v>46028.0</v>
      </c>
      <c r="G20" s="66" t="s">
        <v>215</v>
      </c>
      <c r="H20" s="66" t="s">
        <v>148</v>
      </c>
      <c r="R20" s="79"/>
    </row>
    <row r="21" ht="22.5" customHeight="1">
      <c r="A21" s="61">
        <v>45993.8748935301</v>
      </c>
      <c r="B21" s="62" t="s">
        <v>68</v>
      </c>
      <c r="C21" s="62">
        <v>5126913.0</v>
      </c>
      <c r="D21" s="64" t="s">
        <v>94</v>
      </c>
      <c r="E21" s="65">
        <v>46020.0</v>
      </c>
      <c r="F21" s="65">
        <v>46026.0</v>
      </c>
      <c r="G21" s="66" t="s">
        <v>216</v>
      </c>
      <c r="H21" s="66" t="s">
        <v>148</v>
      </c>
      <c r="I21" s="65">
        <v>46036.0</v>
      </c>
      <c r="J21" s="65">
        <v>46041.0</v>
      </c>
      <c r="K21" s="66" t="s">
        <v>216</v>
      </c>
      <c r="L21" s="66" t="s">
        <v>148</v>
      </c>
      <c r="M21" s="65">
        <v>46044.0</v>
      </c>
      <c r="N21" s="65">
        <v>46049.0</v>
      </c>
      <c r="O21" s="66" t="s">
        <v>216</v>
      </c>
      <c r="P21" s="66" t="s">
        <v>148</v>
      </c>
      <c r="Q21" s="66" t="s">
        <v>217</v>
      </c>
      <c r="R21" s="72"/>
    </row>
    <row r="22" ht="22.5" customHeight="1">
      <c r="A22" s="61">
        <v>45993.89580211806</v>
      </c>
      <c r="B22" s="62" t="s">
        <v>218</v>
      </c>
      <c r="C22" s="62">
        <v>4382868.0</v>
      </c>
      <c r="D22" s="64" t="s">
        <v>94</v>
      </c>
      <c r="E22" s="65">
        <v>46026.0</v>
      </c>
      <c r="F22" s="65">
        <v>46033.0</v>
      </c>
      <c r="G22" s="66" t="s">
        <v>219</v>
      </c>
      <c r="H22" s="66" t="s">
        <v>148</v>
      </c>
      <c r="I22" s="65">
        <v>46040.0</v>
      </c>
      <c r="J22" s="65">
        <v>46047.0</v>
      </c>
      <c r="K22" s="66" t="s">
        <v>219</v>
      </c>
      <c r="L22" s="66" t="s">
        <v>148</v>
      </c>
      <c r="Q22" s="66" t="s">
        <v>220</v>
      </c>
      <c r="R22" s="72"/>
    </row>
    <row r="23" ht="22.5" customHeight="1">
      <c r="A23" s="61">
        <v>45993.91581744213</v>
      </c>
      <c r="B23" s="62" t="s">
        <v>222</v>
      </c>
      <c r="C23" s="62">
        <v>4635553.0</v>
      </c>
      <c r="D23" s="64" t="s">
        <v>94</v>
      </c>
      <c r="E23" s="65">
        <v>46037.0</v>
      </c>
      <c r="F23" s="65">
        <v>46064.0</v>
      </c>
      <c r="G23" s="66" t="s">
        <v>223</v>
      </c>
      <c r="H23" s="66" t="s">
        <v>148</v>
      </c>
      <c r="Q23" s="66" t="s">
        <v>224</v>
      </c>
      <c r="R23" s="72"/>
    </row>
    <row r="24" ht="22.5" customHeight="1">
      <c r="A24" s="61">
        <v>45994.55055539352</v>
      </c>
      <c r="B24" s="62" t="s">
        <v>225</v>
      </c>
      <c r="C24" s="62">
        <v>7157051.0</v>
      </c>
      <c r="D24" s="64" t="s">
        <v>94</v>
      </c>
      <c r="E24" s="65">
        <v>46022.0</v>
      </c>
      <c r="F24" s="65">
        <v>46025.0</v>
      </c>
      <c r="G24" s="66" t="s">
        <v>226</v>
      </c>
      <c r="H24" s="66" t="s">
        <v>148</v>
      </c>
      <c r="I24" s="65">
        <v>46033.0</v>
      </c>
      <c r="J24" s="65">
        <v>46036.0</v>
      </c>
      <c r="K24" s="66" t="s">
        <v>227</v>
      </c>
      <c r="L24" s="66" t="s">
        <v>148</v>
      </c>
      <c r="M24" s="65">
        <v>46044.0</v>
      </c>
      <c r="N24" s="65">
        <v>46046.0</v>
      </c>
      <c r="P24" s="66" t="s">
        <v>148</v>
      </c>
      <c r="R24" s="79"/>
    </row>
    <row r="25" ht="22.5" customHeight="1">
      <c r="A25" s="61">
        <v>45994.678488460646</v>
      </c>
      <c r="B25" s="62" t="s">
        <v>228</v>
      </c>
      <c r="C25" s="62">
        <v>5682069.0</v>
      </c>
      <c r="D25" s="64" t="s">
        <v>94</v>
      </c>
      <c r="E25" s="65">
        <v>46034.0</v>
      </c>
      <c r="F25" s="65">
        <v>46035.0</v>
      </c>
      <c r="G25" s="66" t="s">
        <v>230</v>
      </c>
      <c r="H25" s="66" t="s">
        <v>148</v>
      </c>
      <c r="I25" s="65">
        <v>46025.0</v>
      </c>
      <c r="J25" s="65">
        <v>46026.0</v>
      </c>
      <c r="K25" s="66" t="s">
        <v>231</v>
      </c>
      <c r="L25" s="66" t="s">
        <v>148</v>
      </c>
      <c r="R25" s="79"/>
    </row>
    <row r="26" ht="22.5" customHeight="1">
      <c r="A26" s="61">
        <v>45994.76481163195</v>
      </c>
      <c r="B26" s="62" t="s">
        <v>232</v>
      </c>
      <c r="C26" s="62">
        <v>5085966.0</v>
      </c>
      <c r="D26" s="64" t="s">
        <v>87</v>
      </c>
      <c r="E26" s="65">
        <v>46013.0</v>
      </c>
      <c r="F26" s="65">
        <v>45999.0</v>
      </c>
      <c r="G26" s="66" t="s">
        <v>233</v>
      </c>
      <c r="H26" s="66" t="s">
        <v>148</v>
      </c>
      <c r="I26" s="65">
        <v>46017.0</v>
      </c>
      <c r="J26" s="65">
        <v>46017.0</v>
      </c>
      <c r="K26" s="66" t="s">
        <v>234</v>
      </c>
      <c r="L26" s="66" t="s">
        <v>148</v>
      </c>
      <c r="M26" s="65">
        <v>46019.0</v>
      </c>
      <c r="N26" s="65">
        <v>46019.0</v>
      </c>
      <c r="Q26" s="66" t="s">
        <v>235</v>
      </c>
      <c r="R26" s="72"/>
    </row>
    <row r="27" ht="22.5" customHeight="1">
      <c r="A27" s="61">
        <v>45994.82011547453</v>
      </c>
      <c r="B27" s="62" t="s">
        <v>236</v>
      </c>
      <c r="C27" s="62">
        <v>8202000.0</v>
      </c>
      <c r="D27" s="64" t="s">
        <v>94</v>
      </c>
      <c r="E27" s="65">
        <v>46040.0</v>
      </c>
      <c r="F27" s="65">
        <v>46040.0</v>
      </c>
      <c r="G27" s="66" t="s">
        <v>237</v>
      </c>
      <c r="H27" s="66" t="s">
        <v>148</v>
      </c>
      <c r="R27" s="79"/>
    </row>
    <row r="28" ht="22.5" customHeight="1">
      <c r="A28" s="61">
        <v>45994.86448128472</v>
      </c>
      <c r="B28" s="62" t="s">
        <v>238</v>
      </c>
      <c r="C28" s="62">
        <v>5146385.0</v>
      </c>
      <c r="D28" s="64" t="s">
        <v>87</v>
      </c>
      <c r="E28" s="65">
        <v>46042.0</v>
      </c>
      <c r="F28" s="65">
        <v>46043.0</v>
      </c>
      <c r="G28" s="66" t="s">
        <v>239</v>
      </c>
      <c r="H28" s="66" t="s">
        <v>148</v>
      </c>
      <c r="R28" s="79"/>
    </row>
    <row r="29" ht="22.5" customHeight="1">
      <c r="A29" s="61">
        <v>45994.96777040509</v>
      </c>
      <c r="B29" s="62" t="s">
        <v>117</v>
      </c>
      <c r="C29" s="62">
        <v>5372450.0</v>
      </c>
      <c r="D29" s="64" t="s">
        <v>94</v>
      </c>
      <c r="E29" s="65">
        <v>46019.0</v>
      </c>
      <c r="F29" s="65">
        <v>46021.0</v>
      </c>
      <c r="G29" s="66" t="s">
        <v>172</v>
      </c>
      <c r="H29" s="66" t="s">
        <v>148</v>
      </c>
      <c r="I29" s="65">
        <v>46027.0</v>
      </c>
      <c r="J29" s="65">
        <v>46033.0</v>
      </c>
      <c r="K29" s="66" t="s">
        <v>240</v>
      </c>
      <c r="L29" s="66" t="s">
        <v>148</v>
      </c>
      <c r="M29" s="65">
        <v>46042.0</v>
      </c>
      <c r="N29" s="65">
        <v>46047.0</v>
      </c>
      <c r="O29" s="66" t="s">
        <v>241</v>
      </c>
      <c r="P29" s="66" t="s">
        <v>148</v>
      </c>
      <c r="R29" s="79"/>
    </row>
    <row r="30" ht="22.5" customHeight="1">
      <c r="A30" s="61">
        <v>45994.97136739583</v>
      </c>
      <c r="B30" s="62" t="s">
        <v>242</v>
      </c>
      <c r="C30" s="62">
        <v>5103212.0</v>
      </c>
      <c r="D30" s="64" t="s">
        <v>94</v>
      </c>
      <c r="E30" s="65">
        <v>46036.0</v>
      </c>
      <c r="F30" s="65">
        <v>46041.0</v>
      </c>
      <c r="G30" s="66" t="s">
        <v>244</v>
      </c>
      <c r="H30" s="66" t="s">
        <v>168</v>
      </c>
      <c r="R30" s="79"/>
    </row>
    <row r="31" ht="22.5" customHeight="1">
      <c r="A31" s="61">
        <v>45995.17120967593</v>
      </c>
      <c r="B31" s="62" t="s">
        <v>86</v>
      </c>
      <c r="C31" s="62">
        <v>5151252.0</v>
      </c>
      <c r="D31" s="64" t="s">
        <v>94</v>
      </c>
      <c r="E31" s="65">
        <v>46031.0</v>
      </c>
      <c r="F31" s="65">
        <v>46032.0</v>
      </c>
      <c r="G31" s="66" t="s">
        <v>246</v>
      </c>
      <c r="H31" s="66" t="s">
        <v>148</v>
      </c>
      <c r="R31" s="79"/>
    </row>
    <row r="32" ht="22.5" customHeight="1">
      <c r="A32" s="61">
        <v>45995.391273217596</v>
      </c>
      <c r="B32" s="62" t="s">
        <v>243</v>
      </c>
      <c r="C32" s="62">
        <v>7236705.0</v>
      </c>
      <c r="D32" s="64" t="s">
        <v>112</v>
      </c>
      <c r="E32" s="65">
        <v>46047.0</v>
      </c>
      <c r="F32" s="65">
        <v>46051.0</v>
      </c>
      <c r="G32" s="66" t="s">
        <v>247</v>
      </c>
      <c r="H32" s="66" t="s">
        <v>168</v>
      </c>
      <c r="I32" s="65">
        <v>46058.0</v>
      </c>
      <c r="J32" s="65">
        <v>46062.0</v>
      </c>
      <c r="K32" s="66" t="s">
        <v>247</v>
      </c>
      <c r="L32" s="66" t="s">
        <v>168</v>
      </c>
      <c r="Q32" s="66" t="s">
        <v>248</v>
      </c>
      <c r="R32" s="72"/>
    </row>
    <row r="33" ht="22.5" customHeight="1">
      <c r="A33" s="61">
        <v>45995.428983564816</v>
      </c>
      <c r="B33" s="62" t="s">
        <v>249</v>
      </c>
      <c r="C33" s="62">
        <v>4667148.0</v>
      </c>
      <c r="D33" s="64" t="s">
        <v>116</v>
      </c>
      <c r="E33" s="65">
        <v>46026.0</v>
      </c>
      <c r="F33" s="65">
        <v>46030.0</v>
      </c>
      <c r="G33" s="66" t="s">
        <v>241</v>
      </c>
      <c r="H33" s="66" t="s">
        <v>148</v>
      </c>
      <c r="Q33" s="66" t="s">
        <v>250</v>
      </c>
      <c r="R33" s="72"/>
    </row>
    <row r="34" ht="22.5" customHeight="1">
      <c r="A34" s="61">
        <v>45995.575431793986</v>
      </c>
      <c r="B34" s="62" t="s">
        <v>56</v>
      </c>
      <c r="C34" s="62">
        <v>8621107.0</v>
      </c>
      <c r="D34" s="64" t="s">
        <v>116</v>
      </c>
      <c r="E34" s="65">
        <v>46041.0</v>
      </c>
      <c r="F34" s="65">
        <v>46044.0</v>
      </c>
      <c r="G34" s="66" t="s">
        <v>251</v>
      </c>
      <c r="H34" s="66" t="s">
        <v>148</v>
      </c>
      <c r="I34" s="65">
        <v>46026.0</v>
      </c>
      <c r="J34" s="65">
        <v>46026.0</v>
      </c>
      <c r="K34" s="66" t="s">
        <v>201</v>
      </c>
      <c r="L34" s="66" t="s">
        <v>148</v>
      </c>
      <c r="R34" s="79"/>
    </row>
    <row r="35" ht="22.5" customHeight="1">
      <c r="A35" s="61">
        <v>45995.583707638885</v>
      </c>
      <c r="B35" s="62" t="s">
        <v>252</v>
      </c>
      <c r="C35" s="62">
        <v>7489746.0</v>
      </c>
      <c r="D35" s="64" t="s">
        <v>94</v>
      </c>
      <c r="E35" s="65">
        <v>46033.0</v>
      </c>
      <c r="F35" s="65">
        <v>46051.0</v>
      </c>
      <c r="G35" s="66" t="s">
        <v>253</v>
      </c>
      <c r="H35" s="66" t="s">
        <v>148</v>
      </c>
      <c r="Q35" s="66" t="s">
        <v>253</v>
      </c>
      <c r="R35" s="72"/>
    </row>
    <row r="36" ht="22.5" customHeight="1">
      <c r="A36" s="61">
        <v>45995.59736300926</v>
      </c>
      <c r="B36" s="62" t="s">
        <v>254</v>
      </c>
      <c r="C36" s="62">
        <v>5645367.0</v>
      </c>
      <c r="D36" s="64" t="s">
        <v>94</v>
      </c>
      <c r="E36" s="65">
        <v>46040.0</v>
      </c>
      <c r="F36" s="65">
        <v>46040.0</v>
      </c>
      <c r="G36" s="66" t="s">
        <v>255</v>
      </c>
      <c r="H36" s="66" t="s">
        <v>148</v>
      </c>
      <c r="I36" s="65">
        <v>46024.0</v>
      </c>
      <c r="J36" s="65">
        <v>46025.0</v>
      </c>
      <c r="K36" s="66" t="s">
        <v>256</v>
      </c>
      <c r="L36" s="66" t="s">
        <v>148</v>
      </c>
      <c r="M36" s="65">
        <v>46031.0</v>
      </c>
      <c r="N36" s="65">
        <v>46032.0</v>
      </c>
      <c r="O36" s="66" t="s">
        <v>257</v>
      </c>
      <c r="P36" s="66" t="s">
        <v>148</v>
      </c>
      <c r="R36" s="79"/>
    </row>
    <row r="37" ht="22.5" customHeight="1">
      <c r="A37" s="61">
        <v>45993.67981434028</v>
      </c>
      <c r="B37" s="62" t="s">
        <v>258</v>
      </c>
      <c r="C37" s="62">
        <v>7379602.0</v>
      </c>
      <c r="D37" s="64" t="s">
        <v>94</v>
      </c>
      <c r="E37" s="65">
        <v>46016.0</v>
      </c>
      <c r="F37" s="65">
        <v>46017.0</v>
      </c>
      <c r="G37" s="66" t="s">
        <v>259</v>
      </c>
      <c r="H37" s="66" t="s">
        <v>148</v>
      </c>
      <c r="R37" s="79"/>
    </row>
    <row r="38" ht="22.5" customHeight="1">
      <c r="A38" s="61">
        <v>45995.8218816088</v>
      </c>
      <c r="B38" s="62" t="s">
        <v>258</v>
      </c>
      <c r="C38" s="62">
        <v>7379602.0</v>
      </c>
      <c r="D38" s="64" t="s">
        <v>94</v>
      </c>
      <c r="E38" s="65">
        <v>46016.0</v>
      </c>
      <c r="F38" s="65">
        <v>46017.0</v>
      </c>
      <c r="G38" s="66" t="s">
        <v>260</v>
      </c>
      <c r="H38" s="66" t="s">
        <v>148</v>
      </c>
      <c r="I38" s="65">
        <v>46026.0</v>
      </c>
      <c r="J38" s="65">
        <v>46027.0</v>
      </c>
      <c r="K38" s="66" t="s">
        <v>261</v>
      </c>
      <c r="L38" s="66" t="s">
        <v>148</v>
      </c>
      <c r="R38" s="79"/>
    </row>
    <row r="39" ht="22.5" customHeight="1">
      <c r="A39" s="61">
        <v>45995.93277428241</v>
      </c>
      <c r="B39" s="62" t="s">
        <v>262</v>
      </c>
      <c r="C39" s="62">
        <v>6428995.0</v>
      </c>
      <c r="D39" s="64" t="s">
        <v>94</v>
      </c>
      <c r="E39" s="65">
        <v>46046.0</v>
      </c>
      <c r="F39" s="65">
        <v>46022.0</v>
      </c>
      <c r="G39" s="66" t="s">
        <v>264</v>
      </c>
      <c r="H39" s="66" t="s">
        <v>148</v>
      </c>
      <c r="I39" s="65">
        <v>46054.0</v>
      </c>
      <c r="J39" s="65">
        <v>46002.0</v>
      </c>
      <c r="K39" s="66" t="s">
        <v>265</v>
      </c>
      <c r="L39" s="66" t="s">
        <v>168</v>
      </c>
      <c r="R39" s="79"/>
    </row>
    <row r="40" ht="22.5" customHeight="1">
      <c r="A40" s="61">
        <v>45995.95733542824</v>
      </c>
      <c r="B40" s="62" t="s">
        <v>174</v>
      </c>
      <c r="C40" s="62">
        <v>5112996.0</v>
      </c>
      <c r="D40" s="64" t="s">
        <v>94</v>
      </c>
      <c r="E40" s="65">
        <v>46012.0</v>
      </c>
      <c r="F40" s="65">
        <v>46013.0</v>
      </c>
      <c r="G40" s="66" t="s">
        <v>266</v>
      </c>
      <c r="H40" s="66" t="s">
        <v>148</v>
      </c>
      <c r="I40" s="65">
        <v>46037.0</v>
      </c>
      <c r="J40" s="65">
        <v>46041.0</v>
      </c>
      <c r="K40" s="66" t="s">
        <v>267</v>
      </c>
      <c r="L40" s="66" t="s">
        <v>148</v>
      </c>
      <c r="M40" s="65">
        <v>46032.0</v>
      </c>
      <c r="N40" s="65">
        <v>46037.0</v>
      </c>
      <c r="O40" s="66" t="s">
        <v>241</v>
      </c>
      <c r="P40" s="66" t="s">
        <v>148</v>
      </c>
      <c r="R40" s="79"/>
    </row>
    <row r="41" ht="22.5" customHeight="1">
      <c r="A41" s="61">
        <v>45996.23809694445</v>
      </c>
      <c r="B41" s="62" t="s">
        <v>268</v>
      </c>
      <c r="C41" s="62">
        <v>5757009.0</v>
      </c>
      <c r="D41" s="64" t="s">
        <v>94</v>
      </c>
      <c r="E41" s="65">
        <v>46013.0</v>
      </c>
      <c r="F41" s="65">
        <v>46014.0</v>
      </c>
      <c r="G41" s="66" t="s">
        <v>269</v>
      </c>
      <c r="H41" s="66" t="s">
        <v>148</v>
      </c>
      <c r="I41" s="65">
        <v>46035.0</v>
      </c>
      <c r="J41" s="65">
        <v>46036.0</v>
      </c>
      <c r="K41" s="66" t="s">
        <v>271</v>
      </c>
      <c r="L41" s="66" t="s">
        <v>148</v>
      </c>
      <c r="R41" s="79"/>
    </row>
    <row r="42" ht="22.5" customHeight="1">
      <c r="A42" s="61">
        <v>45996.38142447917</v>
      </c>
      <c r="B42" s="62" t="s">
        <v>229</v>
      </c>
      <c r="C42" s="62">
        <v>6392386.0</v>
      </c>
      <c r="D42" s="64" t="s">
        <v>94</v>
      </c>
      <c r="E42" s="65">
        <v>46019.0</v>
      </c>
      <c r="F42" s="65">
        <v>46019.0</v>
      </c>
      <c r="G42" s="66" t="s">
        <v>272</v>
      </c>
      <c r="H42" s="66" t="s">
        <v>148</v>
      </c>
      <c r="I42" s="65">
        <v>46022.0</v>
      </c>
      <c r="J42" s="65">
        <v>46022.0</v>
      </c>
      <c r="K42" s="66" t="s">
        <v>273</v>
      </c>
      <c r="L42" s="66" t="s">
        <v>148</v>
      </c>
      <c r="Q42" s="66" t="s">
        <v>274</v>
      </c>
      <c r="R42" s="72"/>
    </row>
    <row r="43" ht="22.5" customHeight="1">
      <c r="A43" s="61">
        <v>45996.49180716435</v>
      </c>
      <c r="B43" s="62" t="s">
        <v>275</v>
      </c>
      <c r="C43" s="62">
        <v>6874858.0</v>
      </c>
      <c r="D43" s="64" t="s">
        <v>214</v>
      </c>
      <c r="E43" s="65">
        <v>46020.0</v>
      </c>
      <c r="F43" s="65">
        <v>46053.0</v>
      </c>
      <c r="G43" s="66" t="s">
        <v>276</v>
      </c>
      <c r="H43" s="66" t="s">
        <v>148</v>
      </c>
      <c r="Q43" s="66" t="s">
        <v>277</v>
      </c>
      <c r="R43" s="72"/>
    </row>
    <row r="44" ht="22.5" customHeight="1">
      <c r="A44" s="61">
        <v>45996.63208793981</v>
      </c>
      <c r="B44" s="62" t="s">
        <v>78</v>
      </c>
      <c r="C44" s="62">
        <v>5003391.0</v>
      </c>
      <c r="D44" s="64" t="s">
        <v>94</v>
      </c>
      <c r="E44" s="65">
        <v>46042.0</v>
      </c>
      <c r="F44" s="65">
        <v>46042.0</v>
      </c>
      <c r="G44" s="66" t="s">
        <v>278</v>
      </c>
      <c r="H44" s="66" t="s">
        <v>148</v>
      </c>
      <c r="R44" s="79"/>
    </row>
    <row r="45" ht="22.5" customHeight="1">
      <c r="A45" s="61">
        <v>45996.83637820602</v>
      </c>
      <c r="B45" s="62" t="s">
        <v>114</v>
      </c>
      <c r="C45" s="62">
        <v>4388611.0</v>
      </c>
      <c r="D45" s="64" t="s">
        <v>146</v>
      </c>
      <c r="E45" s="65">
        <v>46018.0</v>
      </c>
      <c r="F45" s="65">
        <v>46020.0</v>
      </c>
      <c r="G45" s="66" t="s">
        <v>279</v>
      </c>
      <c r="H45" s="66" t="s">
        <v>148</v>
      </c>
      <c r="I45" s="65">
        <v>46023.0</v>
      </c>
      <c r="J45" s="65">
        <v>46024.0</v>
      </c>
      <c r="K45" s="66" t="s">
        <v>280</v>
      </c>
      <c r="L45" s="66" t="s">
        <v>148</v>
      </c>
      <c r="M45" s="65">
        <v>46025.0</v>
      </c>
      <c r="N45" s="65">
        <v>46027.0</v>
      </c>
      <c r="O45" s="66" t="s">
        <v>279</v>
      </c>
      <c r="P45" s="66" t="s">
        <v>148</v>
      </c>
      <c r="Q45" s="66" t="s">
        <v>279</v>
      </c>
      <c r="R45" s="72"/>
    </row>
    <row r="46" ht="22.5" customHeight="1">
      <c r="A46" s="61">
        <v>45997.82427106482</v>
      </c>
      <c r="B46" s="62" t="s">
        <v>281</v>
      </c>
      <c r="C46" s="62">
        <v>8789129.0</v>
      </c>
      <c r="D46" s="64" t="s">
        <v>94</v>
      </c>
      <c r="E46" s="65">
        <v>46029.0</v>
      </c>
      <c r="F46" s="65">
        <v>46034.0</v>
      </c>
      <c r="G46" s="66" t="s">
        <v>282</v>
      </c>
      <c r="H46" s="66" t="s">
        <v>168</v>
      </c>
      <c r="I46" s="65">
        <v>46027.0</v>
      </c>
      <c r="J46" s="65">
        <v>46027.0</v>
      </c>
      <c r="K46" s="66" t="s">
        <v>283</v>
      </c>
      <c r="L46" s="66" t="s">
        <v>148</v>
      </c>
      <c r="R46" s="79"/>
    </row>
    <row r="47" ht="22.5" customHeight="1">
      <c r="A47" s="61">
        <v>45997.76566737269</v>
      </c>
      <c r="B47" s="62" t="s">
        <v>284</v>
      </c>
      <c r="C47" s="62">
        <v>6977049.0</v>
      </c>
      <c r="D47" s="64" t="s">
        <v>94</v>
      </c>
      <c r="E47" s="65">
        <v>46029.0</v>
      </c>
      <c r="F47" s="65">
        <v>46032.0</v>
      </c>
      <c r="G47" s="66" t="s">
        <v>285</v>
      </c>
      <c r="H47" s="66" t="s">
        <v>148</v>
      </c>
      <c r="I47" s="65">
        <v>46038.0</v>
      </c>
      <c r="J47" s="65">
        <v>46042.0</v>
      </c>
      <c r="K47" s="66" t="s">
        <v>286</v>
      </c>
      <c r="L47" s="66" t="s">
        <v>148</v>
      </c>
      <c r="M47" s="65">
        <v>46050.0</v>
      </c>
      <c r="N47" s="65">
        <v>46051.0</v>
      </c>
      <c r="O47" s="66" t="s">
        <v>287</v>
      </c>
      <c r="P47" s="66" t="s">
        <v>148</v>
      </c>
      <c r="Q47" s="66" t="s">
        <v>288</v>
      </c>
      <c r="R47" s="72"/>
    </row>
    <row r="48" ht="22.5" customHeight="1">
      <c r="A48" s="61">
        <v>45997.83615042824</v>
      </c>
      <c r="B48" s="62" t="s">
        <v>66</v>
      </c>
      <c r="C48" s="62">
        <v>7256596.0</v>
      </c>
      <c r="D48" s="64" t="s">
        <v>94</v>
      </c>
      <c r="E48" s="65">
        <v>46014.0</v>
      </c>
      <c r="F48" s="65">
        <v>45993.0</v>
      </c>
      <c r="G48" s="66" t="s">
        <v>289</v>
      </c>
      <c r="H48" s="66" t="s">
        <v>168</v>
      </c>
      <c r="R48" s="79"/>
    </row>
    <row r="49" ht="22.5" customHeight="1">
      <c r="A49" s="61"/>
      <c r="B49" s="62"/>
      <c r="C49" s="93"/>
      <c r="D49" s="65"/>
      <c r="E49" s="65"/>
      <c r="F49" s="65"/>
      <c r="G49" s="66"/>
      <c r="H49" s="66"/>
      <c r="I49" s="65"/>
      <c r="J49" s="65"/>
      <c r="K49" s="66"/>
      <c r="L49" s="66"/>
      <c r="R49" s="79"/>
    </row>
    <row r="50" ht="22.5" customHeight="1">
      <c r="A50" s="61">
        <v>45997.88041204862</v>
      </c>
      <c r="B50" s="62" t="s">
        <v>151</v>
      </c>
      <c r="C50" s="62">
        <v>6068607.0</v>
      </c>
      <c r="D50" s="64" t="s">
        <v>94</v>
      </c>
      <c r="E50" s="65">
        <v>46027.0</v>
      </c>
      <c r="F50" s="65">
        <v>46029.0</v>
      </c>
      <c r="G50" s="66" t="s">
        <v>292</v>
      </c>
      <c r="H50" s="66" t="s">
        <v>148</v>
      </c>
      <c r="I50" s="65">
        <v>46022.0</v>
      </c>
      <c r="J50" s="65">
        <v>46025.0</v>
      </c>
      <c r="K50" s="66" t="s">
        <v>293</v>
      </c>
      <c r="L50" s="66" t="s">
        <v>148</v>
      </c>
      <c r="M50" s="65">
        <v>46048.0</v>
      </c>
      <c r="N50" s="65">
        <v>46050.0</v>
      </c>
      <c r="P50" s="66" t="s">
        <v>148</v>
      </c>
      <c r="R50" s="79"/>
    </row>
    <row r="51" ht="22.5" customHeight="1">
      <c r="A51" s="61">
        <v>45993.61803798611</v>
      </c>
      <c r="B51" s="62" t="s">
        <v>294</v>
      </c>
      <c r="C51" s="62">
        <v>5249134.0</v>
      </c>
      <c r="D51" s="64" t="s">
        <v>94</v>
      </c>
      <c r="E51" s="65">
        <v>46047.0</v>
      </c>
      <c r="F51" s="65">
        <v>46050.0</v>
      </c>
      <c r="G51" s="66" t="s">
        <v>295</v>
      </c>
      <c r="H51" s="66" t="s">
        <v>148</v>
      </c>
      <c r="I51" s="65">
        <v>46036.0</v>
      </c>
      <c r="J51" s="65">
        <v>46041.0</v>
      </c>
      <c r="K51" s="66" t="s">
        <v>296</v>
      </c>
      <c r="L51" s="66" t="s">
        <v>148</v>
      </c>
      <c r="R51" s="79"/>
    </row>
    <row r="52" ht="22.5" customHeight="1">
      <c r="A52" s="61">
        <v>45997.96085694444</v>
      </c>
      <c r="B52" s="62" t="s">
        <v>294</v>
      </c>
      <c r="C52" s="62">
        <v>5249134.0</v>
      </c>
      <c r="D52" s="64" t="s">
        <v>94</v>
      </c>
      <c r="E52" s="65">
        <v>46047.0</v>
      </c>
      <c r="F52" s="65">
        <v>46050.0</v>
      </c>
      <c r="G52" s="66" t="s">
        <v>297</v>
      </c>
      <c r="H52" s="66" t="s">
        <v>148</v>
      </c>
      <c r="I52" s="65">
        <v>46033.0</v>
      </c>
      <c r="J52" s="65">
        <v>46033.0</v>
      </c>
      <c r="K52" s="66" t="s">
        <v>298</v>
      </c>
      <c r="L52" s="66" t="s">
        <v>148</v>
      </c>
      <c r="M52" s="65">
        <v>46040.0</v>
      </c>
      <c r="N52" s="65">
        <v>46041.0</v>
      </c>
      <c r="O52" s="66" t="s">
        <v>299</v>
      </c>
      <c r="P52" s="66" t="s">
        <v>148</v>
      </c>
      <c r="Q52" s="66" t="s">
        <v>300</v>
      </c>
      <c r="R52" s="72"/>
    </row>
    <row r="53" ht="22.5" customHeight="1">
      <c r="A53" s="61">
        <v>45998.50604045139</v>
      </c>
      <c r="B53" s="62" t="s">
        <v>301</v>
      </c>
      <c r="C53" s="62">
        <v>6910712.0</v>
      </c>
      <c r="D53" s="64" t="s">
        <v>116</v>
      </c>
      <c r="E53" s="65">
        <v>46025.0</v>
      </c>
      <c r="F53" s="65">
        <v>46041.0</v>
      </c>
      <c r="G53" s="66" t="s">
        <v>303</v>
      </c>
      <c r="H53" s="66" t="s">
        <v>168</v>
      </c>
    </row>
    <row r="54" ht="22.5" customHeight="1">
      <c r="A54" s="61">
        <v>45998.60171368056</v>
      </c>
      <c r="B54" s="62" t="s">
        <v>304</v>
      </c>
      <c r="C54" s="62">
        <v>6031430.0</v>
      </c>
      <c r="D54" s="64" t="s">
        <v>94</v>
      </c>
      <c r="E54" s="65">
        <v>46016.0</v>
      </c>
      <c r="F54" s="65">
        <v>46018.0</v>
      </c>
      <c r="G54" s="66" t="s">
        <v>306</v>
      </c>
      <c r="H54" s="66" t="s">
        <v>148</v>
      </c>
      <c r="I54" s="65">
        <v>46031.0</v>
      </c>
      <c r="J54" s="65">
        <v>46032.0</v>
      </c>
      <c r="K54" s="66" t="s">
        <v>308</v>
      </c>
      <c r="L54" s="66" t="s">
        <v>148</v>
      </c>
      <c r="M54" s="65">
        <v>46038.0</v>
      </c>
      <c r="N54" s="65">
        <v>46039.0</v>
      </c>
      <c r="O54" s="66" t="s">
        <v>309</v>
      </c>
      <c r="P54" s="66" t="s">
        <v>148</v>
      </c>
    </row>
    <row r="55" ht="22.5" customHeight="1">
      <c r="A55" s="61">
        <v>45998.93823315972</v>
      </c>
      <c r="B55" s="62" t="s">
        <v>58</v>
      </c>
      <c r="C55" s="62">
        <v>6153853.0</v>
      </c>
      <c r="D55" s="64" t="s">
        <v>94</v>
      </c>
      <c r="E55" s="65">
        <v>46016.0</v>
      </c>
      <c r="F55" s="65">
        <v>46019.0</v>
      </c>
      <c r="G55" s="66" t="s">
        <v>311</v>
      </c>
      <c r="H55" s="66" t="s">
        <v>148</v>
      </c>
      <c r="I55" s="65">
        <v>46028.0</v>
      </c>
      <c r="J55" s="65">
        <v>46033.0</v>
      </c>
      <c r="K55" s="66" t="s">
        <v>312</v>
      </c>
      <c r="L55" s="66" t="s">
        <v>148</v>
      </c>
      <c r="M55" s="65">
        <v>46042.0</v>
      </c>
      <c r="N55" s="65">
        <v>46047.0</v>
      </c>
      <c r="O55" s="66" t="s">
        <v>313</v>
      </c>
      <c r="P55" s="66" t="s">
        <v>148</v>
      </c>
      <c r="Q55" s="66" t="s">
        <v>314</v>
      </c>
    </row>
    <row r="56" ht="22.5" customHeight="1">
      <c r="A56" s="61">
        <v>45999.47400244213</v>
      </c>
      <c r="B56" s="62" t="s">
        <v>174</v>
      </c>
      <c r="C56" s="62">
        <v>5112996.0</v>
      </c>
      <c r="D56" s="64" t="s">
        <v>94</v>
      </c>
      <c r="E56" s="65">
        <v>46012.0</v>
      </c>
      <c r="F56" s="65">
        <v>46013.0</v>
      </c>
      <c r="G56" s="66" t="s">
        <v>315</v>
      </c>
      <c r="H56" s="66" t="s">
        <v>148</v>
      </c>
    </row>
    <row r="57">
      <c r="B57" s="94"/>
      <c r="C57" s="94"/>
    </row>
    <row r="58">
      <c r="A58" s="95">
        <v>45999.625</v>
      </c>
      <c r="B58" s="94" t="s">
        <v>60</v>
      </c>
      <c r="C58" s="96">
        <v>5152068.0</v>
      </c>
      <c r="D58" s="7" t="s">
        <v>87</v>
      </c>
    </row>
    <row r="59">
      <c r="A59" s="95">
        <v>45999.625</v>
      </c>
      <c r="B59" s="94" t="s">
        <v>329</v>
      </c>
      <c r="C59" s="96">
        <v>6068858.0</v>
      </c>
      <c r="D59" s="7" t="s">
        <v>94</v>
      </c>
    </row>
    <row r="60">
      <c r="A60" s="95">
        <v>45999.625</v>
      </c>
      <c r="B60" s="94" t="s">
        <v>74</v>
      </c>
      <c r="C60" s="96">
        <v>5896011.0</v>
      </c>
      <c r="D60" s="7" t="s">
        <v>94</v>
      </c>
    </row>
    <row r="61">
      <c r="A61" s="95">
        <v>45999.625</v>
      </c>
      <c r="B61" s="94" t="s">
        <v>245</v>
      </c>
      <c r="C61" s="96">
        <v>7444240.0</v>
      </c>
      <c r="D61" s="7" t="s">
        <v>94</v>
      </c>
    </row>
    <row r="62">
      <c r="A62" s="95">
        <v>45999.625</v>
      </c>
      <c r="B62" s="94" t="s">
        <v>65</v>
      </c>
      <c r="C62" s="96">
        <v>4634057.0</v>
      </c>
      <c r="D62" s="7" t="s">
        <v>87</v>
      </c>
    </row>
    <row r="63">
      <c r="A63" s="95">
        <v>45999.625</v>
      </c>
      <c r="B63" s="94" t="s">
        <v>184</v>
      </c>
      <c r="C63" s="96">
        <v>6381240.0</v>
      </c>
      <c r="D63" s="7" t="s">
        <v>185</v>
      </c>
      <c r="E63" s="97">
        <v>46012.0</v>
      </c>
      <c r="F63" s="97">
        <v>46016.0</v>
      </c>
    </row>
    <row r="64">
      <c r="A64" s="95">
        <v>45999.625</v>
      </c>
      <c r="B64" s="94" t="s">
        <v>187</v>
      </c>
      <c r="C64" s="96">
        <v>4687808.0</v>
      </c>
      <c r="D64" s="7" t="s">
        <v>188</v>
      </c>
    </row>
    <row r="65">
      <c r="A65" s="95">
        <v>45999.625</v>
      </c>
      <c r="B65" s="94" t="s">
        <v>71</v>
      </c>
      <c r="C65" s="96">
        <v>8655973.0</v>
      </c>
      <c r="D65" s="7" t="s">
        <v>94</v>
      </c>
    </row>
    <row r="66">
      <c r="A66" s="95">
        <v>45999.625</v>
      </c>
      <c r="B66" s="94" t="s">
        <v>204</v>
      </c>
      <c r="C66" s="96">
        <v>4319295.0</v>
      </c>
      <c r="D66" s="7" t="s">
        <v>94</v>
      </c>
    </row>
    <row r="67">
      <c r="A67" s="95">
        <v>45999.625</v>
      </c>
      <c r="B67" s="94" t="s">
        <v>221</v>
      </c>
      <c r="C67" s="96">
        <v>5821173.0</v>
      </c>
      <c r="D67" s="7" t="s">
        <v>94</v>
      </c>
    </row>
    <row r="68">
      <c r="A68" s="95">
        <v>45999.625</v>
      </c>
      <c r="B68" s="94" t="s">
        <v>59</v>
      </c>
      <c r="C68" s="96">
        <v>5785566.0</v>
      </c>
      <c r="D68" s="7" t="s">
        <v>87</v>
      </c>
    </row>
    <row r="69">
      <c r="A69" s="95">
        <v>45999.625</v>
      </c>
      <c r="B69" s="94" t="s">
        <v>263</v>
      </c>
      <c r="C69" s="96">
        <v>5895057.0</v>
      </c>
      <c r="D69" s="7" t="s">
        <v>94</v>
      </c>
    </row>
    <row r="70">
      <c r="A70" s="95">
        <v>45999.625</v>
      </c>
      <c r="B70" s="94" t="s">
        <v>270</v>
      </c>
      <c r="C70" s="96">
        <v>5821097.0</v>
      </c>
      <c r="D70" s="7" t="s">
        <v>94</v>
      </c>
    </row>
    <row r="71">
      <c r="A71" s="95">
        <v>45999.625</v>
      </c>
      <c r="B71" s="94" t="s">
        <v>291</v>
      </c>
      <c r="C71" s="96">
        <v>7144025.0</v>
      </c>
      <c r="D71" s="7" t="s">
        <v>94</v>
      </c>
    </row>
    <row r="72">
      <c r="A72" s="95">
        <v>45999.625</v>
      </c>
      <c r="B72" s="94" t="s">
        <v>83</v>
      </c>
      <c r="C72" s="96">
        <v>8357953.0</v>
      </c>
      <c r="D72" s="7" t="s">
        <v>87</v>
      </c>
    </row>
    <row r="73">
      <c r="A73" s="95">
        <v>45999.625</v>
      </c>
      <c r="B73" s="94" t="s">
        <v>302</v>
      </c>
      <c r="C73" s="96">
        <v>4383619.0</v>
      </c>
      <c r="D73" s="7" t="s">
        <v>188</v>
      </c>
    </row>
    <row r="74">
      <c r="A74" s="95">
        <v>45999.625</v>
      </c>
      <c r="B74" s="94" t="s">
        <v>305</v>
      </c>
      <c r="C74" s="96">
        <v>5064080.0</v>
      </c>
      <c r="D74" s="7" t="s">
        <v>214</v>
      </c>
    </row>
    <row r="75">
      <c r="A75" s="95">
        <v>45999.625</v>
      </c>
      <c r="B75" s="94" t="s">
        <v>307</v>
      </c>
      <c r="C75" s="96">
        <v>5203697.0</v>
      </c>
      <c r="D75" s="7" t="s">
        <v>94</v>
      </c>
    </row>
    <row r="76">
      <c r="A76" s="95">
        <v>45999.625</v>
      </c>
      <c r="B76" s="94" t="s">
        <v>310</v>
      </c>
      <c r="C76" s="96">
        <v>4683682.0</v>
      </c>
      <c r="D76" s="7" t="s">
        <v>94</v>
      </c>
    </row>
    <row r="77">
      <c r="A77" s="95">
        <v>45999.625</v>
      </c>
      <c r="B77" s="94" t="s">
        <v>328</v>
      </c>
      <c r="C77" s="96">
        <v>1.231231E8</v>
      </c>
      <c r="D77" s="7" t="s">
        <v>94</v>
      </c>
    </row>
    <row r="78">
      <c r="A78" s="95">
        <v>45999.625</v>
      </c>
      <c r="B78" s="94" t="s">
        <v>331</v>
      </c>
      <c r="C78" s="96">
        <v>8015196.0</v>
      </c>
      <c r="D78" s="7" t="s">
        <v>94</v>
      </c>
      <c r="E78" s="97">
        <v>46012.0</v>
      </c>
      <c r="F78" s="97">
        <v>46068.0</v>
      </c>
    </row>
    <row r="79">
      <c r="A79" s="95">
        <v>45999.625</v>
      </c>
      <c r="B79" s="94" t="s">
        <v>330</v>
      </c>
      <c r="C79" s="96">
        <v>8689198.0</v>
      </c>
      <c r="D79" s="7" t="s">
        <v>94</v>
      </c>
    </row>
    <row r="80">
      <c r="A80" s="95">
        <v>45999.625</v>
      </c>
      <c r="B80" s="94" t="s">
        <v>332</v>
      </c>
      <c r="C80" s="96">
        <v>7593462.0</v>
      </c>
      <c r="D80" s="7" t="s">
        <v>94</v>
      </c>
    </row>
    <row r="81">
      <c r="A81" s="95">
        <v>45999.625</v>
      </c>
      <c r="B81" s="94" t="s">
        <v>333</v>
      </c>
      <c r="C81" s="96">
        <v>3779457.0</v>
      </c>
      <c r="D81" s="7" t="s">
        <v>188</v>
      </c>
    </row>
    <row r="82">
      <c r="A82" s="95">
        <v>45999.625</v>
      </c>
      <c r="B82" s="94" t="s">
        <v>84</v>
      </c>
      <c r="C82" s="96">
        <v>5075673.0</v>
      </c>
      <c r="D82" s="7" t="s">
        <v>94</v>
      </c>
    </row>
    <row r="83">
      <c r="A83" s="95">
        <v>45999.625</v>
      </c>
      <c r="B83" s="94" t="s">
        <v>334</v>
      </c>
      <c r="C83" s="98" t="s">
        <v>335</v>
      </c>
      <c r="D83" s="7" t="s">
        <v>94</v>
      </c>
    </row>
    <row r="84">
      <c r="A84" s="95">
        <v>45999.625</v>
      </c>
      <c r="B84" s="94" t="s">
        <v>336</v>
      </c>
      <c r="C84" s="96">
        <v>6357677.0</v>
      </c>
      <c r="D84" s="7" t="s">
        <v>87</v>
      </c>
    </row>
    <row r="85">
      <c r="A85" s="95">
        <v>45999.625</v>
      </c>
      <c r="B85" s="94" t="s">
        <v>337</v>
      </c>
      <c r="C85" s="96">
        <v>7563119.0</v>
      </c>
      <c r="D85" s="7" t="s">
        <v>94</v>
      </c>
    </row>
    <row r="86">
      <c r="A86" s="95">
        <v>45999.625</v>
      </c>
      <c r="B86" s="94" t="s">
        <v>338</v>
      </c>
      <c r="C86" s="96">
        <v>5000933.0</v>
      </c>
      <c r="D86" s="7" t="s">
        <v>185</v>
      </c>
    </row>
    <row r="87">
      <c r="A87" s="95">
        <v>45999.625</v>
      </c>
      <c r="B87" s="94" t="s">
        <v>339</v>
      </c>
      <c r="C87" s="96">
        <v>7082818.0</v>
      </c>
      <c r="D87" s="7" t="s">
        <v>87</v>
      </c>
    </row>
    <row r="88">
      <c r="A88" s="95">
        <v>45999.625</v>
      </c>
      <c r="B88" s="94" t="s">
        <v>340</v>
      </c>
      <c r="C88" s="96">
        <v>6349422.0</v>
      </c>
      <c r="D88" s="7" t="s">
        <v>94</v>
      </c>
      <c r="E88" s="97">
        <v>46012.0</v>
      </c>
      <c r="F88" s="97">
        <v>46068.0</v>
      </c>
    </row>
    <row r="89">
      <c r="A89" s="95">
        <v>45999.625</v>
      </c>
      <c r="B89" s="94" t="s">
        <v>85</v>
      </c>
      <c r="C89" s="96">
        <v>5071665.0</v>
      </c>
      <c r="D89" s="7" t="s">
        <v>94</v>
      </c>
    </row>
    <row r="90">
      <c r="A90" s="95">
        <v>45999.625</v>
      </c>
      <c r="B90" s="94" t="s">
        <v>341</v>
      </c>
      <c r="C90" s="96">
        <v>8276502.0</v>
      </c>
      <c r="D90" s="7" t="s">
        <v>94</v>
      </c>
    </row>
    <row r="91">
      <c r="A91" s="95">
        <v>45999.625</v>
      </c>
      <c r="B91" s="94" t="s">
        <v>342</v>
      </c>
      <c r="C91" s="96">
        <v>4357123.0</v>
      </c>
      <c r="D91" s="7" t="s">
        <v>112</v>
      </c>
    </row>
    <row r="92">
      <c r="A92" s="95">
        <v>45999.625</v>
      </c>
      <c r="B92" s="94" t="s">
        <v>320</v>
      </c>
      <c r="C92" s="96">
        <v>6370712.0</v>
      </c>
      <c r="D92" s="7" t="s">
        <v>87</v>
      </c>
    </row>
    <row r="93">
      <c r="A93" s="95">
        <v>45999.625</v>
      </c>
      <c r="B93" s="94" t="s">
        <v>343</v>
      </c>
      <c r="C93" s="96">
        <v>5811600.0</v>
      </c>
      <c r="D93" s="7" t="s">
        <v>94</v>
      </c>
    </row>
    <row r="94">
      <c r="A94" s="95">
        <v>45999.625</v>
      </c>
      <c r="B94" s="94" t="s">
        <v>290</v>
      </c>
      <c r="C94" s="98" t="s">
        <v>345</v>
      </c>
      <c r="D94" s="7" t="s">
        <v>146</v>
      </c>
    </row>
    <row r="95">
      <c r="B95" s="94"/>
      <c r="C95" s="94"/>
    </row>
    <row r="96">
      <c r="B96" s="94"/>
      <c r="C96" s="94"/>
    </row>
    <row r="97">
      <c r="B97" s="94"/>
      <c r="C97" s="94"/>
    </row>
    <row r="98">
      <c r="B98" s="94"/>
      <c r="C98" s="94"/>
    </row>
    <row r="99">
      <c r="B99" s="94"/>
      <c r="C99" s="94"/>
    </row>
    <row r="100">
      <c r="B100" s="94"/>
      <c r="C100" s="94"/>
    </row>
    <row r="101">
      <c r="B101" s="94"/>
      <c r="C101" s="94"/>
    </row>
    <row r="102">
      <c r="B102" s="94"/>
      <c r="C102" s="94"/>
    </row>
    <row r="103">
      <c r="B103" s="94"/>
      <c r="C103" s="94"/>
    </row>
    <row r="104">
      <c r="B104" s="94"/>
      <c r="C104" s="94"/>
    </row>
    <row r="105">
      <c r="B105" s="94"/>
      <c r="C105" s="94"/>
    </row>
    <row r="106">
      <c r="B106" s="94"/>
      <c r="C106" s="94"/>
    </row>
    <row r="107">
      <c r="B107" s="94"/>
      <c r="C107" s="94"/>
    </row>
  </sheetData>
  <drawing r:id="rId1"/>
  <tableParts count="1">
    <tablePart r:id="rId3"/>
  </tableParts>
</worksheet>
</file>